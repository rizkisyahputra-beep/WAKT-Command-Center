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4b450d414ffaca7/Dokumen/VERIFIKASI TAFOR/"/>
    </mc:Choice>
  </mc:AlternateContent>
  <xr:revisionPtr revIDLastSave="3623" documentId="8_{9BF64DAC-1C78-49BE-8757-28DEE451D9C1}" xr6:coauthVersionLast="47" xr6:coauthVersionMax="47" xr10:uidLastSave="{23F49495-2008-494D-A43F-3D565ED3FD73}"/>
  <bookViews>
    <workbookView xWindow="-120" yWindow="-120" windowWidth="29040" windowHeight="15720" xr2:uid="{F2B920E5-ADA0-DA4E-B495-4D526A13BB70}"/>
  </bookViews>
  <sheets>
    <sheet name="REKAP" sheetId="1" r:id="rId1"/>
    <sheet name="1" sheetId="2" r:id="rId2"/>
    <sheet name="2" sheetId="3" r:id="rId3"/>
    <sheet name="3" sheetId="4" r:id="rId4"/>
    <sheet name="4" sheetId="5" r:id="rId5"/>
    <sheet name="5" sheetId="6" r:id="rId6"/>
    <sheet name="6" sheetId="7" r:id="rId7"/>
    <sheet name="7" sheetId="8" r:id="rId8"/>
    <sheet name="8" sheetId="9" r:id="rId9"/>
    <sheet name="9" sheetId="10" r:id="rId10"/>
    <sheet name="10" sheetId="11" r:id="rId11"/>
    <sheet name="11" sheetId="12" r:id="rId12"/>
    <sheet name="12" sheetId="13" r:id="rId13"/>
    <sheet name="13" sheetId="14" r:id="rId14"/>
    <sheet name="14" sheetId="15" r:id="rId15"/>
    <sheet name="15" sheetId="16" r:id="rId16"/>
    <sheet name="16" sheetId="17" r:id="rId17"/>
    <sheet name="17" sheetId="18" r:id="rId18"/>
    <sheet name="18" sheetId="19" r:id="rId19"/>
    <sheet name="19" sheetId="20" r:id="rId20"/>
    <sheet name="20" sheetId="21" r:id="rId21"/>
    <sheet name="21" sheetId="22" r:id="rId22"/>
    <sheet name="22" sheetId="23" r:id="rId23"/>
    <sheet name="23" sheetId="24" r:id="rId24"/>
    <sheet name="24" sheetId="25" r:id="rId25"/>
    <sheet name="25" sheetId="26" r:id="rId26"/>
    <sheet name="26" sheetId="27" r:id="rId27"/>
    <sheet name="27" sheetId="28" r:id="rId28"/>
    <sheet name="28" sheetId="29" r:id="rId29"/>
    <sheet name="29" sheetId="30" r:id="rId30"/>
    <sheet name="30" sheetId="31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9" i="29" l="1"/>
  <c r="O99" i="29"/>
  <c r="N99" i="29" s="1"/>
  <c r="P99" i="29"/>
  <c r="Q99" i="29"/>
  <c r="R99" i="29"/>
  <c r="S99" i="29"/>
  <c r="T99" i="29"/>
  <c r="U99" i="29"/>
  <c r="V99" i="29" s="1"/>
  <c r="W99" i="29"/>
  <c r="X99" i="29"/>
  <c r="Y99" i="29"/>
  <c r="Z99" i="29"/>
  <c r="M100" i="29"/>
  <c r="N100" i="29" s="1"/>
  <c r="O100" i="29"/>
  <c r="P100" i="29"/>
  <c r="Q100" i="29"/>
  <c r="R100" i="29" s="1"/>
  <c r="S100" i="29"/>
  <c r="T100" i="29" s="1"/>
  <c r="U100" i="29"/>
  <c r="V100" i="29"/>
  <c r="W100" i="29"/>
  <c r="X100" i="29" s="1"/>
  <c r="Y100" i="29"/>
  <c r="Z100" i="29" s="1"/>
  <c r="M101" i="29"/>
  <c r="N101" i="29" s="1"/>
  <c r="O101" i="29"/>
  <c r="P101" i="29"/>
  <c r="Q101" i="29"/>
  <c r="R101" i="29" s="1"/>
  <c r="S101" i="29"/>
  <c r="T101" i="29" s="1"/>
  <c r="U101" i="29"/>
  <c r="V101" i="29" s="1"/>
  <c r="W101" i="29"/>
  <c r="M102" i="29"/>
  <c r="O102" i="29"/>
  <c r="Q102" i="29"/>
  <c r="R102" i="29" s="1"/>
  <c r="S102" i="29"/>
  <c r="T102" i="29" s="1"/>
  <c r="U102" i="29"/>
  <c r="V102" i="29" s="1"/>
  <c r="W102" i="29"/>
  <c r="M103" i="29"/>
  <c r="N103" i="29" s="1"/>
  <c r="O103" i="29"/>
  <c r="P103" i="29"/>
  <c r="Q103" i="29"/>
  <c r="R103" i="29"/>
  <c r="S103" i="29"/>
  <c r="T103" i="29"/>
  <c r="U103" i="29"/>
  <c r="V103" i="29"/>
  <c r="W103" i="29"/>
  <c r="X103" i="29"/>
  <c r="Y103" i="29"/>
  <c r="Z103" i="29"/>
  <c r="M104" i="29"/>
  <c r="O104" i="29"/>
  <c r="N104" i="29" s="1"/>
  <c r="P104" i="29"/>
  <c r="Q104" i="29"/>
  <c r="R104" i="29"/>
  <c r="S104" i="29"/>
  <c r="T104" i="29"/>
  <c r="U104" i="29"/>
  <c r="V104" i="29"/>
  <c r="W104" i="29"/>
  <c r="X104" i="29"/>
  <c r="Y104" i="29"/>
  <c r="Z104" i="29"/>
  <c r="M71" i="29"/>
  <c r="O71" i="29"/>
  <c r="N71" i="29" s="1"/>
  <c r="P71" i="29"/>
  <c r="Q71" i="29"/>
  <c r="R71" i="29"/>
  <c r="S71" i="29"/>
  <c r="T71" i="29"/>
  <c r="U71" i="29"/>
  <c r="V71" i="29"/>
  <c r="W71" i="29"/>
  <c r="X71" i="29"/>
  <c r="Y71" i="29"/>
  <c r="Z71" i="29"/>
  <c r="M72" i="29"/>
  <c r="O72" i="29"/>
  <c r="N72" i="29" s="1"/>
  <c r="P72" i="29"/>
  <c r="Q72" i="29"/>
  <c r="R72" i="29"/>
  <c r="S72" i="29"/>
  <c r="T72" i="29"/>
  <c r="U72" i="29"/>
  <c r="V72" i="29"/>
  <c r="W72" i="29"/>
  <c r="M73" i="29"/>
  <c r="O73" i="29"/>
  <c r="N73" i="29" s="1"/>
  <c r="P73" i="29"/>
  <c r="Q73" i="29"/>
  <c r="R73" i="29"/>
  <c r="S73" i="29"/>
  <c r="T73" i="29"/>
  <c r="U73" i="29"/>
  <c r="V73" i="29"/>
  <c r="W73" i="29"/>
  <c r="X73" i="29"/>
  <c r="Y73" i="29"/>
  <c r="Z73" i="29"/>
  <c r="M74" i="29"/>
  <c r="O74" i="29"/>
  <c r="N74" i="29" s="1"/>
  <c r="P74" i="29"/>
  <c r="Q74" i="29"/>
  <c r="R74" i="29"/>
  <c r="S74" i="29"/>
  <c r="T74" i="29"/>
  <c r="U74" i="29"/>
  <c r="V74" i="29"/>
  <c r="W74" i="29"/>
  <c r="X74" i="29"/>
  <c r="Y74" i="29"/>
  <c r="Z74" i="29"/>
  <c r="M75" i="29"/>
  <c r="O75" i="29"/>
  <c r="N75" i="29" s="1"/>
  <c r="P75" i="29"/>
  <c r="Q75" i="29"/>
  <c r="R75" i="29"/>
  <c r="S75" i="29"/>
  <c r="T75" i="29"/>
  <c r="U75" i="29"/>
  <c r="V75" i="29"/>
  <c r="W75" i="29"/>
  <c r="X75" i="29"/>
  <c r="Y75" i="29"/>
  <c r="Z75" i="29"/>
  <c r="M76" i="29"/>
  <c r="O76" i="29"/>
  <c r="N76" i="29" s="1"/>
  <c r="P76" i="29"/>
  <c r="Q76" i="29"/>
  <c r="R76" i="29"/>
  <c r="S76" i="29"/>
  <c r="T76" i="29" s="1"/>
  <c r="U76" i="29"/>
  <c r="V76" i="29" s="1"/>
  <c r="W76" i="29"/>
  <c r="X76" i="29" s="1"/>
  <c r="Y76" i="29"/>
  <c r="Z76" i="29" s="1"/>
  <c r="M42" i="29"/>
  <c r="O42" i="29"/>
  <c r="Q42" i="29"/>
  <c r="R42" i="29" s="1"/>
  <c r="S42" i="29"/>
  <c r="T42" i="29" s="1"/>
  <c r="U42" i="29"/>
  <c r="V42" i="29" s="1"/>
  <c r="W42" i="29"/>
  <c r="X42" i="29" s="1"/>
  <c r="Y42" i="29"/>
  <c r="Z42" i="29" s="1"/>
  <c r="M43" i="29"/>
  <c r="O43" i="29"/>
  <c r="Q43" i="29"/>
  <c r="R43" i="29"/>
  <c r="S43" i="29"/>
  <c r="T43" i="29" s="1"/>
  <c r="U43" i="29"/>
  <c r="V43" i="29" s="1"/>
  <c r="W43" i="29"/>
  <c r="M44" i="29"/>
  <c r="O44" i="29"/>
  <c r="P44" i="29" s="1"/>
  <c r="Q44" i="29"/>
  <c r="R44" i="29" s="1"/>
  <c r="S44" i="29"/>
  <c r="T44" i="29" s="1"/>
  <c r="U44" i="29"/>
  <c r="V44" i="29" s="1"/>
  <c r="W44" i="29"/>
  <c r="X44" i="29" s="1"/>
  <c r="Y44" i="29"/>
  <c r="Z44" i="29" s="1"/>
  <c r="M45" i="29"/>
  <c r="O45" i="29"/>
  <c r="P45" i="29"/>
  <c r="Q45" i="29"/>
  <c r="R45" i="29" s="1"/>
  <c r="S45" i="29"/>
  <c r="T45" i="29" s="1"/>
  <c r="U45" i="29"/>
  <c r="V45" i="29"/>
  <c r="W45" i="29"/>
  <c r="M46" i="29"/>
  <c r="O46" i="29"/>
  <c r="P46" i="29" s="1"/>
  <c r="Q46" i="29"/>
  <c r="R46" i="29"/>
  <c r="S46" i="29"/>
  <c r="T46" i="29" s="1"/>
  <c r="U46" i="29"/>
  <c r="V46" i="29" s="1"/>
  <c r="W46" i="29"/>
  <c r="M47" i="29"/>
  <c r="O47" i="29"/>
  <c r="Q47" i="29"/>
  <c r="R47" i="29"/>
  <c r="S47" i="29"/>
  <c r="T47" i="29" s="1"/>
  <c r="U47" i="29"/>
  <c r="V47" i="29" s="1"/>
  <c r="W47" i="29"/>
  <c r="M15" i="29"/>
  <c r="O15" i="29"/>
  <c r="P15" i="29"/>
  <c r="Q15" i="29"/>
  <c r="R15" i="29" s="1"/>
  <c r="S15" i="29"/>
  <c r="T15" i="29" s="1"/>
  <c r="U15" i="29"/>
  <c r="V15" i="29" s="1"/>
  <c r="W15" i="29"/>
  <c r="M16" i="29"/>
  <c r="O16" i="29"/>
  <c r="N16" i="29" s="1"/>
  <c r="P16" i="29"/>
  <c r="Q16" i="29"/>
  <c r="R16" i="29" s="1"/>
  <c r="S16" i="29"/>
  <c r="T16" i="29" s="1"/>
  <c r="U16" i="29"/>
  <c r="V16" i="29" s="1"/>
  <c r="W16" i="29"/>
  <c r="X16" i="29" s="1"/>
  <c r="Y16" i="29"/>
  <c r="Z16" i="29" s="1"/>
  <c r="M17" i="29"/>
  <c r="O17" i="29"/>
  <c r="P17" i="29"/>
  <c r="Q17" i="29"/>
  <c r="R17" i="29" s="1"/>
  <c r="S17" i="29"/>
  <c r="T17" i="29" s="1"/>
  <c r="U17" i="29"/>
  <c r="V17" i="29" s="1"/>
  <c r="W17" i="29"/>
  <c r="M18" i="29"/>
  <c r="O18" i="29"/>
  <c r="Q18" i="29"/>
  <c r="R18" i="29" s="1"/>
  <c r="S18" i="29"/>
  <c r="T18" i="29" s="1"/>
  <c r="U18" i="29"/>
  <c r="V18" i="29" s="1"/>
  <c r="W18" i="29"/>
  <c r="W98" i="27"/>
  <c r="Y45" i="27"/>
  <c r="W45" i="27"/>
  <c r="U45" i="27"/>
  <c r="S45" i="27"/>
  <c r="Q45" i="27"/>
  <c r="R45" i="27" s="1"/>
  <c r="O45" i="27"/>
  <c r="N45" i="27"/>
  <c r="P45" i="27"/>
  <c r="T45" i="27"/>
  <c r="V45" i="27"/>
  <c r="X45" i="27"/>
  <c r="Z45" i="27"/>
  <c r="M44" i="27"/>
  <c r="M45" i="27"/>
  <c r="M43" i="24"/>
  <c r="N43" i="24" s="1"/>
  <c r="O43" i="24"/>
  <c r="P43" i="24" s="1"/>
  <c r="M99" i="26"/>
  <c r="O99" i="26"/>
  <c r="N99" i="26" s="1"/>
  <c r="P99" i="26"/>
  <c r="Q99" i="26"/>
  <c r="R99" i="26"/>
  <c r="S99" i="26"/>
  <c r="T99" i="26"/>
  <c r="U99" i="26"/>
  <c r="V99" i="26"/>
  <c r="W99" i="26"/>
  <c r="X99" i="26"/>
  <c r="Y99" i="26"/>
  <c r="Z99" i="26" s="1"/>
  <c r="M100" i="26"/>
  <c r="O100" i="26"/>
  <c r="N100" i="26" s="1"/>
  <c r="P100" i="26"/>
  <c r="Q100" i="26"/>
  <c r="R100" i="26"/>
  <c r="S100" i="26"/>
  <c r="T100" i="26"/>
  <c r="U100" i="26"/>
  <c r="V100" i="26"/>
  <c r="W100" i="26"/>
  <c r="X100" i="26"/>
  <c r="Y100" i="26"/>
  <c r="Z100" i="26" s="1"/>
  <c r="M101" i="26"/>
  <c r="O101" i="26"/>
  <c r="N101" i="26" s="1"/>
  <c r="P101" i="26"/>
  <c r="Q101" i="26"/>
  <c r="R101" i="26"/>
  <c r="S101" i="26"/>
  <c r="T101" i="26" s="1"/>
  <c r="U101" i="26"/>
  <c r="V101" i="26" s="1"/>
  <c r="W101" i="26"/>
  <c r="M102" i="26"/>
  <c r="N102" i="26" s="1"/>
  <c r="O102" i="26"/>
  <c r="P102" i="26" s="1"/>
  <c r="Q102" i="26"/>
  <c r="R102" i="26"/>
  <c r="S102" i="26"/>
  <c r="T102" i="26" s="1"/>
  <c r="U102" i="26"/>
  <c r="V102" i="26" s="1"/>
  <c r="W102" i="26"/>
  <c r="X102" i="26"/>
  <c r="Y102" i="26"/>
  <c r="Z102" i="26" s="1"/>
  <c r="M103" i="26"/>
  <c r="O103" i="26"/>
  <c r="Q103" i="26"/>
  <c r="R103" i="26" s="1"/>
  <c r="S103" i="26"/>
  <c r="T103" i="26" s="1"/>
  <c r="U103" i="26"/>
  <c r="V103" i="26" s="1"/>
  <c r="W103" i="26"/>
  <c r="X103" i="26"/>
  <c r="Y103" i="26"/>
  <c r="Z103" i="26"/>
  <c r="M104" i="26"/>
  <c r="O104" i="26"/>
  <c r="Q104" i="26"/>
  <c r="R104" i="26" s="1"/>
  <c r="S104" i="26"/>
  <c r="T104" i="26" s="1"/>
  <c r="U104" i="26"/>
  <c r="V104" i="26"/>
  <c r="W104" i="26"/>
  <c r="X104" i="26" s="1"/>
  <c r="Y104" i="26"/>
  <c r="Z104" i="26" s="1"/>
  <c r="Y76" i="26"/>
  <c r="Z76" i="26" s="1"/>
  <c r="Y74" i="26"/>
  <c r="Z74" i="26" s="1"/>
  <c r="Y73" i="26"/>
  <c r="Z73" i="26" s="1"/>
  <c r="Y72" i="26"/>
  <c r="Z72" i="26" s="1"/>
  <c r="Y71" i="26"/>
  <c r="Z71" i="26" s="1"/>
  <c r="M71" i="26"/>
  <c r="O71" i="26"/>
  <c r="N71" i="26" s="1"/>
  <c r="P71" i="26"/>
  <c r="Q71" i="26"/>
  <c r="R71" i="26"/>
  <c r="S71" i="26"/>
  <c r="T71" i="26"/>
  <c r="U71" i="26"/>
  <c r="V71" i="26"/>
  <c r="W71" i="26"/>
  <c r="X71" i="26"/>
  <c r="M72" i="26"/>
  <c r="O72" i="26"/>
  <c r="N72" i="26" s="1"/>
  <c r="P72" i="26"/>
  <c r="Q72" i="26"/>
  <c r="R72" i="26"/>
  <c r="S72" i="26"/>
  <c r="T72" i="26"/>
  <c r="U72" i="26"/>
  <c r="V72" i="26"/>
  <c r="W72" i="26"/>
  <c r="X72" i="26"/>
  <c r="M73" i="26"/>
  <c r="N73" i="26" s="1"/>
  <c r="O73" i="26"/>
  <c r="P73" i="26"/>
  <c r="Q73" i="26"/>
  <c r="R73" i="26"/>
  <c r="S73" i="26"/>
  <c r="T73" i="26"/>
  <c r="U73" i="26"/>
  <c r="V73" i="26"/>
  <c r="W73" i="26"/>
  <c r="X73" i="26"/>
  <c r="M74" i="26"/>
  <c r="O74" i="26"/>
  <c r="N74" i="26" s="1"/>
  <c r="P74" i="26"/>
  <c r="Q74" i="26"/>
  <c r="R74" i="26" s="1"/>
  <c r="S74" i="26"/>
  <c r="T74" i="26"/>
  <c r="U74" i="26"/>
  <c r="V74" i="26"/>
  <c r="W74" i="26"/>
  <c r="X74" i="26"/>
  <c r="M75" i="26"/>
  <c r="O75" i="26"/>
  <c r="N75" i="26" s="1"/>
  <c r="P75" i="26"/>
  <c r="Q75" i="26"/>
  <c r="R75" i="26" s="1"/>
  <c r="S75" i="26"/>
  <c r="T75" i="26" s="1"/>
  <c r="U75" i="26"/>
  <c r="V75" i="26"/>
  <c r="W75" i="26"/>
  <c r="M76" i="26"/>
  <c r="O76" i="26"/>
  <c r="P76" i="26"/>
  <c r="Q76" i="26"/>
  <c r="R76" i="26"/>
  <c r="S76" i="26"/>
  <c r="T76" i="26" s="1"/>
  <c r="U76" i="26"/>
  <c r="V76" i="26"/>
  <c r="W76" i="26"/>
  <c r="X76" i="26" s="1"/>
  <c r="M42" i="26"/>
  <c r="O42" i="26"/>
  <c r="N42" i="26" s="1"/>
  <c r="P42" i="26"/>
  <c r="Q42" i="26"/>
  <c r="R42" i="26"/>
  <c r="S42" i="26"/>
  <c r="T42" i="26" s="1"/>
  <c r="U42" i="26"/>
  <c r="V42" i="26" s="1"/>
  <c r="W42" i="26"/>
  <c r="M43" i="26"/>
  <c r="O43" i="26"/>
  <c r="P43" i="26" s="1"/>
  <c r="Q43" i="26"/>
  <c r="R43" i="26" s="1"/>
  <c r="S43" i="26"/>
  <c r="T43" i="26" s="1"/>
  <c r="U43" i="26"/>
  <c r="V43" i="26" s="1"/>
  <c r="W43" i="26"/>
  <c r="M44" i="26"/>
  <c r="O44" i="26"/>
  <c r="Q44" i="26"/>
  <c r="R44" i="26" s="1"/>
  <c r="S44" i="26"/>
  <c r="T44" i="26" s="1"/>
  <c r="U44" i="26"/>
  <c r="V44" i="26" s="1"/>
  <c r="W44" i="26"/>
  <c r="M45" i="26"/>
  <c r="O45" i="26"/>
  <c r="Q45" i="26"/>
  <c r="R45" i="26" s="1"/>
  <c r="S45" i="26"/>
  <c r="T45" i="26" s="1"/>
  <c r="U45" i="26"/>
  <c r="V45" i="26" s="1"/>
  <c r="W45" i="26"/>
  <c r="M46" i="26"/>
  <c r="O46" i="26"/>
  <c r="P46" i="26"/>
  <c r="Q46" i="26"/>
  <c r="R46" i="26"/>
  <c r="S46" i="26"/>
  <c r="T46" i="26" s="1"/>
  <c r="U46" i="26"/>
  <c r="V46" i="26" s="1"/>
  <c r="W46" i="26"/>
  <c r="M47" i="26"/>
  <c r="O47" i="26"/>
  <c r="Q47" i="26"/>
  <c r="R47" i="26"/>
  <c r="S47" i="26"/>
  <c r="T47" i="26"/>
  <c r="U47" i="26"/>
  <c r="V47" i="26"/>
  <c r="W47" i="26"/>
  <c r="X47" i="26"/>
  <c r="Y47" i="26"/>
  <c r="Z47" i="26" s="1"/>
  <c r="M14" i="26"/>
  <c r="O14" i="26"/>
  <c r="P14" i="26"/>
  <c r="Q14" i="26"/>
  <c r="R14" i="26"/>
  <c r="S14" i="26"/>
  <c r="T14" i="26" s="1"/>
  <c r="U14" i="26"/>
  <c r="V14" i="26" s="1"/>
  <c r="W14" i="26"/>
  <c r="M15" i="26"/>
  <c r="O15" i="26"/>
  <c r="P15" i="26"/>
  <c r="Q15" i="26"/>
  <c r="R15" i="26" s="1"/>
  <c r="S15" i="26"/>
  <c r="T15" i="26" s="1"/>
  <c r="U15" i="26"/>
  <c r="V15" i="26" s="1"/>
  <c r="W15" i="26"/>
  <c r="M16" i="26"/>
  <c r="O16" i="26"/>
  <c r="P16" i="26" s="1"/>
  <c r="Q16" i="26"/>
  <c r="R16" i="26" s="1"/>
  <c r="S16" i="26"/>
  <c r="T16" i="26" s="1"/>
  <c r="U16" i="26"/>
  <c r="V16" i="26" s="1"/>
  <c r="W16" i="26"/>
  <c r="M17" i="26"/>
  <c r="O17" i="26"/>
  <c r="Q17" i="26"/>
  <c r="R17" i="26" s="1"/>
  <c r="S17" i="26"/>
  <c r="T17" i="26" s="1"/>
  <c r="U17" i="26"/>
  <c r="V17" i="26" s="1"/>
  <c r="W17" i="26"/>
  <c r="X17" i="26" s="1"/>
  <c r="Y17" i="26"/>
  <c r="Z17" i="26" s="1"/>
  <c r="M18" i="26"/>
  <c r="O18" i="26"/>
  <c r="P18" i="26" s="1"/>
  <c r="Q18" i="26"/>
  <c r="R18" i="26" s="1"/>
  <c r="S18" i="26"/>
  <c r="T18" i="26" s="1"/>
  <c r="U18" i="26"/>
  <c r="V18" i="26" s="1"/>
  <c r="W18" i="26"/>
  <c r="M99" i="23"/>
  <c r="N99" i="23" s="1"/>
  <c r="O99" i="23"/>
  <c r="P99" i="23"/>
  <c r="Q99" i="23"/>
  <c r="R99" i="23" s="1"/>
  <c r="S99" i="23"/>
  <c r="T99" i="23" s="1"/>
  <c r="U99" i="23"/>
  <c r="V99" i="23"/>
  <c r="W99" i="23"/>
  <c r="X99" i="23"/>
  <c r="Y99" i="23"/>
  <c r="Z99" i="23" s="1"/>
  <c r="M100" i="23"/>
  <c r="N100" i="23" s="1"/>
  <c r="O100" i="23"/>
  <c r="P100" i="23"/>
  <c r="Q100" i="23"/>
  <c r="R100" i="23"/>
  <c r="S100" i="23"/>
  <c r="T100" i="23"/>
  <c r="U100" i="23"/>
  <c r="V100" i="23" s="1"/>
  <c r="W100" i="23"/>
  <c r="X100" i="23"/>
  <c r="Y100" i="23"/>
  <c r="Z100" i="23"/>
  <c r="M101" i="23"/>
  <c r="O101" i="23"/>
  <c r="N101" i="23" s="1"/>
  <c r="Q101" i="23"/>
  <c r="R101" i="23"/>
  <c r="S101" i="23"/>
  <c r="T101" i="23"/>
  <c r="U101" i="23"/>
  <c r="V101" i="23"/>
  <c r="W101" i="23"/>
  <c r="X101" i="23"/>
  <c r="Y101" i="23"/>
  <c r="Z101" i="23" s="1"/>
  <c r="M102" i="23"/>
  <c r="N102" i="23" s="1"/>
  <c r="O102" i="23"/>
  <c r="P102" i="23"/>
  <c r="Q102" i="23"/>
  <c r="R102" i="23"/>
  <c r="S102" i="23"/>
  <c r="T102" i="23"/>
  <c r="U102" i="23"/>
  <c r="V102" i="23" s="1"/>
  <c r="W102" i="23"/>
  <c r="X102" i="23"/>
  <c r="Y102" i="23"/>
  <c r="Z102" i="23"/>
  <c r="M103" i="23"/>
  <c r="N103" i="23" s="1"/>
  <c r="O103" i="23"/>
  <c r="P103" i="23" s="1"/>
  <c r="Q103" i="23"/>
  <c r="R103" i="23" s="1"/>
  <c r="S103" i="23"/>
  <c r="T103" i="23" s="1"/>
  <c r="U103" i="23"/>
  <c r="V103" i="23"/>
  <c r="W103" i="23"/>
  <c r="X103" i="23"/>
  <c r="Y103" i="23"/>
  <c r="Z103" i="23" s="1"/>
  <c r="M104" i="23"/>
  <c r="N104" i="23" s="1"/>
  <c r="O104" i="23"/>
  <c r="P104" i="23"/>
  <c r="Q104" i="23"/>
  <c r="R104" i="23"/>
  <c r="S104" i="23"/>
  <c r="T104" i="23"/>
  <c r="U104" i="23"/>
  <c r="V104" i="23" s="1"/>
  <c r="W104" i="23"/>
  <c r="X104" i="23"/>
  <c r="Y104" i="23"/>
  <c r="Z104" i="23"/>
  <c r="M71" i="23"/>
  <c r="O71" i="23"/>
  <c r="N71" i="23" s="1"/>
  <c r="P71" i="23"/>
  <c r="Q71" i="23"/>
  <c r="R71" i="23"/>
  <c r="S71" i="23"/>
  <c r="T71" i="23"/>
  <c r="U71" i="23"/>
  <c r="V71" i="23"/>
  <c r="W71" i="23"/>
  <c r="X71" i="23"/>
  <c r="Y71" i="23"/>
  <c r="Z71" i="23"/>
  <c r="M72" i="23"/>
  <c r="O72" i="23"/>
  <c r="N72" i="23" s="1"/>
  <c r="P72" i="23"/>
  <c r="Q72" i="23"/>
  <c r="R72" i="23"/>
  <c r="S72" i="23"/>
  <c r="T72" i="23"/>
  <c r="U72" i="23"/>
  <c r="V72" i="23"/>
  <c r="W72" i="23"/>
  <c r="X72" i="23"/>
  <c r="Y72" i="23"/>
  <c r="Z72" i="23" s="1"/>
  <c r="M73" i="23"/>
  <c r="O73" i="23"/>
  <c r="N73" i="23" s="1"/>
  <c r="P73" i="23"/>
  <c r="Q73" i="23"/>
  <c r="R73" i="23"/>
  <c r="S73" i="23"/>
  <c r="T73" i="23"/>
  <c r="U73" i="23"/>
  <c r="V73" i="23"/>
  <c r="W73" i="23"/>
  <c r="X73" i="23"/>
  <c r="Y73" i="23"/>
  <c r="Z73" i="23"/>
  <c r="M74" i="23"/>
  <c r="O74" i="23"/>
  <c r="N74" i="23" s="1"/>
  <c r="P74" i="23"/>
  <c r="Q74" i="23"/>
  <c r="R74" i="23"/>
  <c r="S74" i="23"/>
  <c r="T74" i="23"/>
  <c r="U74" i="23"/>
  <c r="V74" i="23"/>
  <c r="W74" i="23"/>
  <c r="X74" i="23"/>
  <c r="Y74" i="23"/>
  <c r="Z74" i="23"/>
  <c r="M75" i="23"/>
  <c r="O75" i="23"/>
  <c r="N75" i="23" s="1"/>
  <c r="P75" i="23"/>
  <c r="Q75" i="23"/>
  <c r="R75" i="23"/>
  <c r="S75" i="23"/>
  <c r="T75" i="23"/>
  <c r="U75" i="23"/>
  <c r="V75" i="23"/>
  <c r="W75" i="23"/>
  <c r="X75" i="23"/>
  <c r="Y75" i="23"/>
  <c r="Z75" i="23"/>
  <c r="M76" i="23"/>
  <c r="O76" i="23"/>
  <c r="N76" i="23" s="1"/>
  <c r="P76" i="23"/>
  <c r="Q76" i="23"/>
  <c r="R76" i="23"/>
  <c r="S76" i="23"/>
  <c r="T76" i="23"/>
  <c r="U76" i="23"/>
  <c r="V76" i="23"/>
  <c r="W76" i="23"/>
  <c r="X76" i="23"/>
  <c r="Y76" i="23"/>
  <c r="Z76" i="23"/>
  <c r="M42" i="23"/>
  <c r="O42" i="23"/>
  <c r="N42" i="23" s="1"/>
  <c r="P42" i="23"/>
  <c r="Q42" i="23"/>
  <c r="R42" i="23"/>
  <c r="S42" i="23"/>
  <c r="T42" i="23"/>
  <c r="U42" i="23"/>
  <c r="V42" i="23"/>
  <c r="W42" i="23"/>
  <c r="X42" i="23"/>
  <c r="Y42" i="23"/>
  <c r="Z42" i="23" s="1"/>
  <c r="M43" i="23"/>
  <c r="N43" i="23"/>
  <c r="O43" i="23"/>
  <c r="P43" i="23"/>
  <c r="Q43" i="23"/>
  <c r="R43" i="23"/>
  <c r="S43" i="23"/>
  <c r="T43" i="23" s="1"/>
  <c r="U43" i="23"/>
  <c r="V43" i="23"/>
  <c r="W43" i="23"/>
  <c r="X43" i="23"/>
  <c r="Y43" i="23"/>
  <c r="Z43" i="23"/>
  <c r="M44" i="23"/>
  <c r="O44" i="23"/>
  <c r="N44" i="23" s="1"/>
  <c r="P44" i="23"/>
  <c r="Q44" i="23"/>
  <c r="R44" i="23"/>
  <c r="S44" i="23"/>
  <c r="T44" i="23"/>
  <c r="U44" i="23"/>
  <c r="V44" i="23"/>
  <c r="W44" i="23"/>
  <c r="X44" i="23"/>
  <c r="Y44" i="23"/>
  <c r="Z44" i="23"/>
  <c r="M45" i="23"/>
  <c r="O45" i="23"/>
  <c r="N45" i="23" s="1"/>
  <c r="P45" i="23"/>
  <c r="Q45" i="23"/>
  <c r="R45" i="23"/>
  <c r="S45" i="23"/>
  <c r="T45" i="23"/>
  <c r="U45" i="23"/>
  <c r="V45" i="23"/>
  <c r="W45" i="23"/>
  <c r="X45" i="23"/>
  <c r="Y45" i="23"/>
  <c r="Z45" i="23"/>
  <c r="M46" i="23"/>
  <c r="O46" i="23"/>
  <c r="N46" i="23" s="1"/>
  <c r="P46" i="23"/>
  <c r="Q46" i="23"/>
  <c r="R46" i="23"/>
  <c r="S46" i="23"/>
  <c r="T46" i="23"/>
  <c r="U46" i="23"/>
  <c r="V46" i="23"/>
  <c r="W46" i="23"/>
  <c r="X46" i="23"/>
  <c r="Y46" i="23"/>
  <c r="Z46" i="23"/>
  <c r="M47" i="23"/>
  <c r="O47" i="23"/>
  <c r="N47" i="23" s="1"/>
  <c r="P47" i="23"/>
  <c r="Q47" i="23"/>
  <c r="R47" i="23"/>
  <c r="S47" i="23"/>
  <c r="T47" i="23"/>
  <c r="U47" i="23"/>
  <c r="V47" i="23"/>
  <c r="W47" i="23"/>
  <c r="X47" i="23"/>
  <c r="Y47" i="23"/>
  <c r="Z47" i="23"/>
  <c r="X101" i="29" l="1"/>
  <c r="Y101" i="29"/>
  <c r="Z101" i="29" s="1"/>
  <c r="N102" i="29"/>
  <c r="P102" i="29"/>
  <c r="X102" i="29"/>
  <c r="Y102" i="29"/>
  <c r="Z102" i="29" s="1"/>
  <c r="N46" i="29"/>
  <c r="Y72" i="29"/>
  <c r="Z72" i="29" s="1"/>
  <c r="X72" i="29"/>
  <c r="X43" i="29"/>
  <c r="Y43" i="29"/>
  <c r="Z43" i="29" s="1"/>
  <c r="Y17" i="29"/>
  <c r="Z17" i="29" s="1"/>
  <c r="X17" i="29"/>
  <c r="N44" i="29"/>
  <c r="N17" i="29"/>
  <c r="X45" i="29"/>
  <c r="Y45" i="29"/>
  <c r="Z45" i="29" s="1"/>
  <c r="N18" i="29"/>
  <c r="P18" i="29"/>
  <c r="N45" i="29"/>
  <c r="N42" i="29"/>
  <c r="P42" i="29"/>
  <c r="N43" i="29"/>
  <c r="P43" i="29"/>
  <c r="X46" i="29"/>
  <c r="Y46" i="29"/>
  <c r="Z46" i="29" s="1"/>
  <c r="N47" i="29"/>
  <c r="P47" i="29"/>
  <c r="X47" i="29"/>
  <c r="Y47" i="29"/>
  <c r="Z47" i="29" s="1"/>
  <c r="X15" i="29"/>
  <c r="Y15" i="29"/>
  <c r="Z15" i="29" s="1"/>
  <c r="Y18" i="29"/>
  <c r="Z18" i="29" s="1"/>
  <c r="X18" i="29"/>
  <c r="N15" i="29"/>
  <c r="X101" i="26"/>
  <c r="Y101" i="26"/>
  <c r="Z101" i="26" s="1"/>
  <c r="N103" i="26"/>
  <c r="P103" i="26"/>
  <c r="P104" i="26"/>
  <c r="N104" i="26"/>
  <c r="N76" i="26"/>
  <c r="X75" i="26"/>
  <c r="Y75" i="26"/>
  <c r="Z75" i="26" s="1"/>
  <c r="X16" i="26"/>
  <c r="Y16" i="26"/>
  <c r="Z16" i="26" s="1"/>
  <c r="N14" i="26"/>
  <c r="X45" i="26"/>
  <c r="Y45" i="26"/>
  <c r="Z45" i="26" s="1"/>
  <c r="N47" i="26"/>
  <c r="P47" i="26"/>
  <c r="N43" i="26"/>
  <c r="N46" i="26"/>
  <c r="N15" i="26"/>
  <c r="X42" i="26"/>
  <c r="Y42" i="26"/>
  <c r="Z42" i="26" s="1"/>
  <c r="P44" i="26"/>
  <c r="N44" i="26"/>
  <c r="X43" i="26"/>
  <c r="Y43" i="26"/>
  <c r="Z43" i="26" s="1"/>
  <c r="X44" i="26"/>
  <c r="Y44" i="26"/>
  <c r="Z44" i="26" s="1"/>
  <c r="P45" i="26"/>
  <c r="N45" i="26"/>
  <c r="X46" i="26"/>
  <c r="Y46" i="26"/>
  <c r="Z46" i="26" s="1"/>
  <c r="N16" i="26"/>
  <c r="N18" i="26"/>
  <c r="X15" i="26"/>
  <c r="Y15" i="26"/>
  <c r="Z15" i="26" s="1"/>
  <c r="X14" i="26"/>
  <c r="Y14" i="26"/>
  <c r="Z14" i="26" s="1"/>
  <c r="N17" i="26"/>
  <c r="P17" i="26"/>
  <c r="X18" i="26"/>
  <c r="Y18" i="26"/>
  <c r="Z18" i="26" s="1"/>
  <c r="P101" i="23"/>
  <c r="U94" i="20"/>
  <c r="U95" i="20"/>
  <c r="U96" i="20"/>
  <c r="U97" i="20"/>
  <c r="U98" i="20"/>
  <c r="U99" i="20"/>
  <c r="U100" i="20"/>
  <c r="U101" i="20"/>
  <c r="U102" i="20"/>
  <c r="U103" i="20"/>
  <c r="U104" i="20"/>
  <c r="M94" i="20"/>
  <c r="M95" i="20"/>
  <c r="M96" i="20"/>
  <c r="M97" i="20"/>
  <c r="M98" i="20"/>
  <c r="M99" i="20"/>
  <c r="M100" i="20"/>
  <c r="M101" i="20"/>
  <c r="M102" i="20"/>
  <c r="M103" i="20"/>
  <c r="M104" i="20"/>
  <c r="U8" i="21"/>
  <c r="U9" i="21"/>
  <c r="U10" i="21"/>
  <c r="U11" i="21"/>
  <c r="U12" i="21"/>
  <c r="U13" i="21"/>
  <c r="U14" i="21"/>
  <c r="U15" i="21"/>
  <c r="U16" i="21"/>
  <c r="U17" i="21"/>
  <c r="U18" i="21"/>
  <c r="U70" i="20"/>
  <c r="U71" i="20"/>
  <c r="U72" i="20"/>
  <c r="U73" i="20"/>
  <c r="U74" i="20"/>
  <c r="U75" i="20"/>
  <c r="U76" i="20"/>
  <c r="U11" i="20"/>
  <c r="U12" i="20"/>
  <c r="U13" i="20"/>
  <c r="U14" i="20"/>
  <c r="U15" i="20"/>
  <c r="U16" i="20"/>
  <c r="U17" i="20"/>
  <c r="U18" i="20"/>
  <c r="U42" i="20"/>
  <c r="U43" i="20"/>
  <c r="U44" i="20"/>
  <c r="U45" i="20"/>
  <c r="U46" i="20"/>
  <c r="U47" i="20"/>
  <c r="M100" i="19"/>
  <c r="N100" i="19" s="1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M101" i="19"/>
  <c r="O101" i="19"/>
  <c r="N101" i="19" s="1"/>
  <c r="P101" i="19"/>
  <c r="Q101" i="19"/>
  <c r="R101" i="19"/>
  <c r="S101" i="19"/>
  <c r="T101" i="19"/>
  <c r="U101" i="19"/>
  <c r="V101" i="19"/>
  <c r="W101" i="19"/>
  <c r="X101" i="19" s="1"/>
  <c r="Y101" i="19"/>
  <c r="Z101" i="19" s="1"/>
  <c r="M102" i="19"/>
  <c r="N102" i="19" s="1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M103" i="19"/>
  <c r="O103" i="19"/>
  <c r="N103" i="19" s="1"/>
  <c r="P103" i="19"/>
  <c r="Q103" i="19"/>
  <c r="R103" i="19"/>
  <c r="S103" i="19"/>
  <c r="T103" i="19"/>
  <c r="U103" i="19"/>
  <c r="V103" i="19"/>
  <c r="W103" i="19"/>
  <c r="X103" i="19" s="1"/>
  <c r="M104" i="19"/>
  <c r="N104" i="19" s="1"/>
  <c r="O104" i="19"/>
  <c r="P104" i="19"/>
  <c r="Q104" i="19"/>
  <c r="R104" i="19"/>
  <c r="S104" i="19"/>
  <c r="T104" i="19" s="1"/>
  <c r="U104" i="19"/>
  <c r="V104" i="19"/>
  <c r="W104" i="19"/>
  <c r="X104" i="19"/>
  <c r="Y104" i="19"/>
  <c r="Z104" i="19"/>
  <c r="M71" i="19"/>
  <c r="O71" i="19"/>
  <c r="P71" i="19" s="1"/>
  <c r="Q71" i="19"/>
  <c r="R71" i="19"/>
  <c r="S71" i="19"/>
  <c r="T71" i="19" s="1"/>
  <c r="U71" i="19"/>
  <c r="V71" i="19"/>
  <c r="W71" i="19"/>
  <c r="X71" i="19" s="1"/>
  <c r="M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M73" i="19"/>
  <c r="O73" i="19"/>
  <c r="N73" i="19" s="1"/>
  <c r="P73" i="19"/>
  <c r="Q73" i="19"/>
  <c r="R73" i="19"/>
  <c r="S73" i="19"/>
  <c r="T73" i="19"/>
  <c r="U73" i="19"/>
  <c r="V73" i="19" s="1"/>
  <c r="W73" i="19"/>
  <c r="X73" i="19" s="1"/>
  <c r="M74" i="19"/>
  <c r="O74" i="19"/>
  <c r="N74" i="19" s="1"/>
  <c r="P74" i="19"/>
  <c r="Q74" i="19"/>
  <c r="R74" i="19" s="1"/>
  <c r="S74" i="19"/>
  <c r="T74" i="19" s="1"/>
  <c r="U74" i="19"/>
  <c r="V74" i="19"/>
  <c r="W74" i="19"/>
  <c r="X74" i="19" s="1"/>
  <c r="M75" i="19"/>
  <c r="O75" i="19"/>
  <c r="N75" i="19" s="1"/>
  <c r="Q75" i="19"/>
  <c r="R75" i="19"/>
  <c r="S75" i="19"/>
  <c r="T75" i="19"/>
  <c r="U75" i="19"/>
  <c r="V75" i="19"/>
  <c r="W75" i="19"/>
  <c r="X75" i="19" s="1"/>
  <c r="M76" i="19"/>
  <c r="O76" i="19"/>
  <c r="N76" i="19" s="1"/>
  <c r="Q76" i="19"/>
  <c r="R76" i="19" s="1"/>
  <c r="S76" i="19"/>
  <c r="T76" i="19"/>
  <c r="U76" i="19"/>
  <c r="V76" i="19"/>
  <c r="W76" i="19"/>
  <c r="X76" i="19" s="1"/>
  <c r="M42" i="19"/>
  <c r="O42" i="19"/>
  <c r="N42" i="19" s="1"/>
  <c r="Q42" i="19"/>
  <c r="R42" i="19"/>
  <c r="S42" i="19"/>
  <c r="T42" i="19"/>
  <c r="U42" i="19"/>
  <c r="V42" i="19" s="1"/>
  <c r="W42" i="19"/>
  <c r="X42" i="19"/>
  <c r="Y42" i="19"/>
  <c r="Z42" i="19"/>
  <c r="M43" i="19"/>
  <c r="O43" i="19"/>
  <c r="P43" i="19"/>
  <c r="Q43" i="19"/>
  <c r="R43" i="19" s="1"/>
  <c r="S43" i="19"/>
  <c r="T43" i="19" s="1"/>
  <c r="U43" i="19"/>
  <c r="V43" i="19" s="1"/>
  <c r="W43" i="19"/>
  <c r="X43" i="19" s="1"/>
  <c r="Y43" i="19"/>
  <c r="Z43" i="19"/>
  <c r="M44" i="19"/>
  <c r="O44" i="19"/>
  <c r="Q44" i="19"/>
  <c r="R44" i="19" s="1"/>
  <c r="S44" i="19"/>
  <c r="T44" i="19"/>
  <c r="U44" i="19"/>
  <c r="V44" i="19"/>
  <c r="W44" i="19"/>
  <c r="X44" i="19"/>
  <c r="Y44" i="19"/>
  <c r="Z44" i="19"/>
  <c r="M45" i="19"/>
  <c r="O45" i="19"/>
  <c r="N45" i="19" s="1"/>
  <c r="P45" i="19"/>
  <c r="Q45" i="19"/>
  <c r="R45" i="19"/>
  <c r="S45" i="19"/>
  <c r="T45" i="19"/>
  <c r="U45" i="19"/>
  <c r="V45" i="19"/>
  <c r="W45" i="19"/>
  <c r="X45" i="19" s="1"/>
  <c r="M46" i="19"/>
  <c r="O46" i="19"/>
  <c r="N46" i="19" s="1"/>
  <c r="Q46" i="19"/>
  <c r="R46" i="19" s="1"/>
  <c r="S46" i="19"/>
  <c r="T46" i="19" s="1"/>
  <c r="U46" i="19"/>
  <c r="V46" i="19" s="1"/>
  <c r="W46" i="19"/>
  <c r="X46" i="19" s="1"/>
  <c r="Y46" i="19"/>
  <c r="Z46" i="19"/>
  <c r="M47" i="19"/>
  <c r="O47" i="19"/>
  <c r="P47" i="19"/>
  <c r="Q47" i="19"/>
  <c r="R47" i="19"/>
  <c r="S47" i="19"/>
  <c r="T47" i="19"/>
  <c r="U47" i="19"/>
  <c r="V47" i="19"/>
  <c r="W47" i="19"/>
  <c r="X47" i="19"/>
  <c r="Y47" i="19"/>
  <c r="Z47" i="19" s="1"/>
  <c r="M15" i="19"/>
  <c r="O15" i="19"/>
  <c r="N15" i="19" s="1"/>
  <c r="Q15" i="19"/>
  <c r="R15" i="19" s="1"/>
  <c r="S15" i="19"/>
  <c r="T15" i="19" s="1"/>
  <c r="U15" i="19"/>
  <c r="V15" i="19" s="1"/>
  <c r="W15" i="19"/>
  <c r="X15" i="19" s="1"/>
  <c r="M16" i="19"/>
  <c r="O16" i="19"/>
  <c r="N16" i="19" s="1"/>
  <c r="P16" i="19"/>
  <c r="Q16" i="19"/>
  <c r="R16" i="19"/>
  <c r="S16" i="19"/>
  <c r="T16" i="19"/>
  <c r="U16" i="19"/>
  <c r="V16" i="19"/>
  <c r="W16" i="19"/>
  <c r="X16" i="19"/>
  <c r="Y16" i="19"/>
  <c r="Z16" i="19" s="1"/>
  <c r="M17" i="19"/>
  <c r="O17" i="19"/>
  <c r="P17" i="19"/>
  <c r="Q17" i="19"/>
  <c r="R17" i="19" s="1"/>
  <c r="S17" i="19"/>
  <c r="T17" i="19" s="1"/>
  <c r="U17" i="19"/>
  <c r="V17" i="19" s="1"/>
  <c r="W17" i="19"/>
  <c r="X17" i="19"/>
  <c r="Y17" i="19"/>
  <c r="Z17" i="19" s="1"/>
  <c r="M18" i="19"/>
  <c r="O18" i="19"/>
  <c r="P18" i="19" s="1"/>
  <c r="Q18" i="19"/>
  <c r="R18" i="19" s="1"/>
  <c r="S18" i="19"/>
  <c r="T18" i="19"/>
  <c r="U18" i="19"/>
  <c r="V18" i="19" s="1"/>
  <c r="W18" i="19"/>
  <c r="Y18" i="19" s="1"/>
  <c r="Z18" i="19" s="1"/>
  <c r="X18" i="19"/>
  <c r="M100" i="15"/>
  <c r="O100" i="15"/>
  <c r="P100" i="15" s="1"/>
  <c r="Q100" i="15"/>
  <c r="R100" i="15"/>
  <c r="S100" i="15"/>
  <c r="T100" i="15"/>
  <c r="U100" i="15"/>
  <c r="V100" i="15"/>
  <c r="W100" i="15"/>
  <c r="X100" i="15" s="1"/>
  <c r="Y100" i="15"/>
  <c r="Z100" i="15"/>
  <c r="M101" i="15"/>
  <c r="O101" i="15"/>
  <c r="N101" i="15" s="1"/>
  <c r="P101" i="15"/>
  <c r="Q101" i="15"/>
  <c r="R101" i="15"/>
  <c r="S101" i="15"/>
  <c r="T101" i="15"/>
  <c r="U101" i="15"/>
  <c r="V101" i="15" s="1"/>
  <c r="W101" i="15"/>
  <c r="Y101" i="15" s="1"/>
  <c r="Z101" i="15" s="1"/>
  <c r="M102" i="15"/>
  <c r="N102" i="15" s="1"/>
  <c r="O102" i="15"/>
  <c r="P102" i="15"/>
  <c r="Q102" i="15"/>
  <c r="R102" i="15" s="1"/>
  <c r="S102" i="15"/>
  <c r="T102" i="15"/>
  <c r="U102" i="15"/>
  <c r="V102" i="15"/>
  <c r="W102" i="15"/>
  <c r="X102" i="15"/>
  <c r="Y102" i="15"/>
  <c r="Z102" i="15"/>
  <c r="M103" i="15"/>
  <c r="O103" i="15"/>
  <c r="N103" i="15" s="1"/>
  <c r="P103" i="15"/>
  <c r="Q103" i="15"/>
  <c r="R103" i="15"/>
  <c r="S103" i="15"/>
  <c r="T103" i="15"/>
  <c r="U103" i="15"/>
  <c r="V103" i="15"/>
  <c r="W103" i="15"/>
  <c r="X103" i="15"/>
  <c r="Y103" i="15"/>
  <c r="Z103" i="15"/>
  <c r="M104" i="15"/>
  <c r="N104" i="15" s="1"/>
  <c r="O104" i="15"/>
  <c r="P104" i="15"/>
  <c r="Q104" i="15"/>
  <c r="R104" i="15"/>
  <c r="S104" i="15"/>
  <c r="T104" i="15"/>
  <c r="U104" i="15"/>
  <c r="V104" i="15"/>
  <c r="W104" i="15"/>
  <c r="X104" i="15"/>
  <c r="Y104" i="15"/>
  <c r="Z104" i="15"/>
  <c r="M71" i="15"/>
  <c r="O71" i="15"/>
  <c r="N71" i="15" s="1"/>
  <c r="P71" i="15"/>
  <c r="Q71" i="15"/>
  <c r="R71" i="15"/>
  <c r="S71" i="15"/>
  <c r="T71" i="15"/>
  <c r="U71" i="15"/>
  <c r="V71" i="15"/>
  <c r="W71" i="15"/>
  <c r="X71" i="15"/>
  <c r="Y71" i="15"/>
  <c r="Z71" i="15"/>
  <c r="M72" i="15"/>
  <c r="O72" i="15"/>
  <c r="N72" i="15" s="1"/>
  <c r="P72" i="15"/>
  <c r="Q72" i="15"/>
  <c r="R72" i="15"/>
  <c r="S72" i="15"/>
  <c r="T72" i="15"/>
  <c r="U72" i="15"/>
  <c r="V72" i="15"/>
  <c r="W72" i="15"/>
  <c r="X72" i="15"/>
  <c r="Y72" i="15"/>
  <c r="Z72" i="15"/>
  <c r="M73" i="15"/>
  <c r="O73" i="15"/>
  <c r="N73" i="15" s="1"/>
  <c r="P73" i="15"/>
  <c r="Q73" i="15"/>
  <c r="R73" i="15"/>
  <c r="S73" i="15"/>
  <c r="T73" i="15"/>
  <c r="U73" i="15"/>
  <c r="V73" i="15"/>
  <c r="W73" i="15"/>
  <c r="X73" i="15" s="1"/>
  <c r="Y73" i="15"/>
  <c r="Z73" i="15"/>
  <c r="M74" i="15"/>
  <c r="N74" i="15" s="1"/>
  <c r="O74" i="15"/>
  <c r="P74" i="15"/>
  <c r="Q74" i="15"/>
  <c r="R74" i="15"/>
  <c r="S74" i="15"/>
  <c r="T74" i="15"/>
  <c r="U74" i="15"/>
  <c r="V74" i="15"/>
  <c r="W74" i="15"/>
  <c r="Y74" i="15" s="1"/>
  <c r="Z74" i="15" s="1"/>
  <c r="M75" i="15"/>
  <c r="O75" i="15"/>
  <c r="N75" i="15" s="1"/>
  <c r="P75" i="15"/>
  <c r="Q75" i="15"/>
  <c r="R75" i="15"/>
  <c r="S75" i="15"/>
  <c r="T75" i="15"/>
  <c r="U75" i="15"/>
  <c r="V75" i="15"/>
  <c r="W75" i="15"/>
  <c r="X75" i="15" s="1"/>
  <c r="Y75" i="15"/>
  <c r="Z75" i="15"/>
  <c r="M76" i="15"/>
  <c r="O76" i="15"/>
  <c r="N76" i="15" s="1"/>
  <c r="P76" i="15"/>
  <c r="Q76" i="15"/>
  <c r="R76" i="15"/>
  <c r="S76" i="15"/>
  <c r="T76" i="15"/>
  <c r="U76" i="15"/>
  <c r="V76" i="15"/>
  <c r="W76" i="15"/>
  <c r="X76" i="15"/>
  <c r="Y76" i="15"/>
  <c r="Z76" i="15"/>
  <c r="M38" i="15"/>
  <c r="O38" i="15"/>
  <c r="Q38" i="15"/>
  <c r="R38" i="15" s="1"/>
  <c r="S38" i="15"/>
  <c r="T38" i="15"/>
  <c r="U38" i="15"/>
  <c r="V38" i="15" s="1"/>
  <c r="W38" i="15"/>
  <c r="X38" i="15" s="1"/>
  <c r="M39" i="15"/>
  <c r="O39" i="15"/>
  <c r="N39" i="15" s="1"/>
  <c r="Q39" i="15"/>
  <c r="R39" i="15" s="1"/>
  <c r="S39" i="15"/>
  <c r="T39" i="15"/>
  <c r="U39" i="15"/>
  <c r="V39" i="15"/>
  <c r="W39" i="15"/>
  <c r="Y39" i="15" s="1"/>
  <c r="Z39" i="15" s="1"/>
  <c r="M40" i="15"/>
  <c r="O40" i="15"/>
  <c r="N40" i="15" s="1"/>
  <c r="Q40" i="15"/>
  <c r="R40" i="15"/>
  <c r="S40" i="15"/>
  <c r="T40" i="15"/>
  <c r="U40" i="15"/>
  <c r="V40" i="15" s="1"/>
  <c r="W40" i="15"/>
  <c r="X40" i="15" s="1"/>
  <c r="M41" i="15"/>
  <c r="O41" i="15"/>
  <c r="N41" i="15" s="1"/>
  <c r="P41" i="15"/>
  <c r="Q41" i="15"/>
  <c r="R41" i="15"/>
  <c r="S41" i="15"/>
  <c r="T41" i="15"/>
  <c r="U41" i="15"/>
  <c r="V41" i="15" s="1"/>
  <c r="W41" i="15"/>
  <c r="X41" i="15"/>
  <c r="Y41" i="15"/>
  <c r="Z41" i="15"/>
  <c r="M42" i="15"/>
  <c r="O42" i="15"/>
  <c r="N42" i="15" s="1"/>
  <c r="P42" i="15"/>
  <c r="Q42" i="15"/>
  <c r="R42" i="15"/>
  <c r="S42" i="15"/>
  <c r="T42" i="15"/>
  <c r="U42" i="15"/>
  <c r="V42" i="15" s="1"/>
  <c r="W42" i="15"/>
  <c r="Y42" i="15" s="1"/>
  <c r="Z42" i="15" s="1"/>
  <c r="X42" i="15"/>
  <c r="M43" i="15"/>
  <c r="O43" i="15"/>
  <c r="N43" i="15" s="1"/>
  <c r="P43" i="15"/>
  <c r="Q43" i="15"/>
  <c r="R43" i="15"/>
  <c r="S43" i="15"/>
  <c r="T43" i="15"/>
  <c r="U43" i="15"/>
  <c r="V43" i="15"/>
  <c r="W43" i="15"/>
  <c r="X43" i="15"/>
  <c r="Y43" i="15"/>
  <c r="Z43" i="15" s="1"/>
  <c r="M44" i="15"/>
  <c r="O44" i="15"/>
  <c r="N44" i="15" s="1"/>
  <c r="P44" i="15"/>
  <c r="Q44" i="15"/>
  <c r="R44" i="15"/>
  <c r="S44" i="15"/>
  <c r="T44" i="15"/>
  <c r="U44" i="15"/>
  <c r="V44" i="15" s="1"/>
  <c r="W44" i="15"/>
  <c r="X44" i="15"/>
  <c r="Y44" i="15"/>
  <c r="Z44" i="15"/>
  <c r="M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M46" i="15"/>
  <c r="O46" i="15"/>
  <c r="P46" i="15" s="1"/>
  <c r="Q46" i="15"/>
  <c r="R46" i="15" s="1"/>
  <c r="S46" i="15"/>
  <c r="T46" i="15"/>
  <c r="U46" i="15"/>
  <c r="V46" i="15"/>
  <c r="W46" i="15"/>
  <c r="X46" i="15"/>
  <c r="Y46" i="15"/>
  <c r="Z46" i="15"/>
  <c r="M47" i="15"/>
  <c r="O47" i="15"/>
  <c r="N47" i="15" s="1"/>
  <c r="P47" i="15"/>
  <c r="Q47" i="15"/>
  <c r="R47" i="15" s="1"/>
  <c r="S47" i="15"/>
  <c r="T47" i="15" s="1"/>
  <c r="U47" i="15"/>
  <c r="V47" i="15"/>
  <c r="W47" i="15"/>
  <c r="X47" i="15"/>
  <c r="Y47" i="15"/>
  <c r="Z47" i="15"/>
  <c r="M100" i="12"/>
  <c r="O100" i="12"/>
  <c r="N100" i="12" s="1"/>
  <c r="P100" i="12"/>
  <c r="Q100" i="12"/>
  <c r="R100" i="12"/>
  <c r="S100" i="12"/>
  <c r="T100" i="12"/>
  <c r="U100" i="12"/>
  <c r="V100" i="12"/>
  <c r="W100" i="12"/>
  <c r="X100" i="12"/>
  <c r="Y100" i="12"/>
  <c r="Z100" i="12"/>
  <c r="M101" i="12"/>
  <c r="N101" i="12" s="1"/>
  <c r="O101" i="12"/>
  <c r="P101" i="12"/>
  <c r="Q101" i="12"/>
  <c r="R101" i="12"/>
  <c r="S101" i="12"/>
  <c r="T101" i="12" s="1"/>
  <c r="U101" i="12"/>
  <c r="V101" i="12"/>
  <c r="W101" i="12"/>
  <c r="X101" i="12"/>
  <c r="Y101" i="12"/>
  <c r="Z101" i="12"/>
  <c r="M102" i="12"/>
  <c r="O102" i="12"/>
  <c r="N102" i="12" s="1"/>
  <c r="P102" i="12"/>
  <c r="Q102" i="12"/>
  <c r="R102" i="12"/>
  <c r="S102" i="12"/>
  <c r="T102" i="12"/>
  <c r="U102" i="12"/>
  <c r="V102" i="12"/>
  <c r="W102" i="12"/>
  <c r="X102" i="12"/>
  <c r="Y102" i="12"/>
  <c r="Z102" i="12"/>
  <c r="M103" i="12"/>
  <c r="O103" i="12"/>
  <c r="N103" i="12" s="1"/>
  <c r="P103" i="12"/>
  <c r="Q103" i="12"/>
  <c r="R103" i="12"/>
  <c r="S103" i="12"/>
  <c r="T103" i="12" s="1"/>
  <c r="U103" i="12"/>
  <c r="V103" i="12"/>
  <c r="W103" i="12"/>
  <c r="X103" i="12"/>
  <c r="Y103" i="12"/>
  <c r="Z103" i="12"/>
  <c r="M104" i="12"/>
  <c r="O104" i="12"/>
  <c r="N104" i="12" s="1"/>
  <c r="P104" i="12"/>
  <c r="Q104" i="12"/>
  <c r="R104" i="12"/>
  <c r="S104" i="12"/>
  <c r="T104" i="12"/>
  <c r="U104" i="12"/>
  <c r="V104" i="12"/>
  <c r="W104" i="12"/>
  <c r="X104" i="12"/>
  <c r="Y104" i="12"/>
  <c r="Z104" i="12"/>
  <c r="M71" i="12"/>
  <c r="O71" i="12"/>
  <c r="N71" i="12" s="1"/>
  <c r="Q71" i="12"/>
  <c r="R71" i="12" s="1"/>
  <c r="S71" i="12"/>
  <c r="T71" i="12" s="1"/>
  <c r="U71" i="12"/>
  <c r="V71" i="12"/>
  <c r="W71" i="12"/>
  <c r="X71" i="12"/>
  <c r="Y71" i="12"/>
  <c r="Z71" i="12"/>
  <c r="M72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M73" i="12"/>
  <c r="O73" i="12"/>
  <c r="N73" i="12" s="1"/>
  <c r="P73" i="12"/>
  <c r="Q73" i="12"/>
  <c r="R73" i="12" s="1"/>
  <c r="S73" i="12"/>
  <c r="T73" i="12"/>
  <c r="U73" i="12"/>
  <c r="V73" i="12"/>
  <c r="W73" i="12"/>
  <c r="X73" i="12"/>
  <c r="Y73" i="12"/>
  <c r="Z73" i="12"/>
  <c r="M74" i="12"/>
  <c r="O74" i="12"/>
  <c r="N74" i="12" s="1"/>
  <c r="P74" i="12"/>
  <c r="Q74" i="12"/>
  <c r="R74" i="12" s="1"/>
  <c r="S74" i="12"/>
  <c r="T74" i="12"/>
  <c r="U74" i="12"/>
  <c r="V74" i="12"/>
  <c r="W74" i="12"/>
  <c r="X74" i="12"/>
  <c r="Y74" i="12"/>
  <c r="Z74" i="12"/>
  <c r="M75" i="12"/>
  <c r="O75" i="12"/>
  <c r="N75" i="12" s="1"/>
  <c r="P75" i="12"/>
  <c r="Q75" i="12"/>
  <c r="R75" i="12" s="1"/>
  <c r="S75" i="12"/>
  <c r="T75" i="12" s="1"/>
  <c r="U75" i="12"/>
  <c r="V75" i="12"/>
  <c r="W75" i="12"/>
  <c r="Y75" i="12" s="1"/>
  <c r="Z75" i="12" s="1"/>
  <c r="X75" i="12"/>
  <c r="M76" i="12"/>
  <c r="O76" i="12"/>
  <c r="N76" i="12" s="1"/>
  <c r="Q76" i="12"/>
  <c r="R76" i="12"/>
  <c r="S76" i="12"/>
  <c r="T76" i="12"/>
  <c r="U76" i="12"/>
  <c r="V76" i="12"/>
  <c r="W76" i="12"/>
  <c r="X76" i="12" s="1"/>
  <c r="Y76" i="12"/>
  <c r="Z76" i="12"/>
  <c r="M42" i="12"/>
  <c r="O42" i="12"/>
  <c r="P42" i="12" s="1"/>
  <c r="Q42" i="12"/>
  <c r="R42" i="12" s="1"/>
  <c r="S42" i="12"/>
  <c r="T42" i="12"/>
  <c r="U42" i="12"/>
  <c r="V42" i="12"/>
  <c r="W42" i="12"/>
  <c r="X42" i="12" s="1"/>
  <c r="Y42" i="12"/>
  <c r="Z42" i="12" s="1"/>
  <c r="M43" i="12"/>
  <c r="O43" i="12"/>
  <c r="N43" i="12" s="1"/>
  <c r="Q43" i="12"/>
  <c r="R43" i="12"/>
  <c r="S43" i="12"/>
  <c r="T43" i="12"/>
  <c r="U43" i="12"/>
  <c r="V43" i="12"/>
  <c r="W43" i="12"/>
  <c r="X43" i="12"/>
  <c r="Y43" i="12"/>
  <c r="Z43" i="12"/>
  <c r="M44" i="12"/>
  <c r="O44" i="12"/>
  <c r="P44" i="12" s="1"/>
  <c r="Q44" i="12"/>
  <c r="R44" i="12"/>
  <c r="S44" i="12"/>
  <c r="T44" i="12"/>
  <c r="U44" i="12"/>
  <c r="V44" i="12"/>
  <c r="W44" i="12"/>
  <c r="X44" i="12"/>
  <c r="Y44" i="12"/>
  <c r="Z44" i="12"/>
  <c r="M45" i="12"/>
  <c r="O45" i="12"/>
  <c r="N45" i="12" s="1"/>
  <c r="P45" i="12"/>
  <c r="Q45" i="12"/>
  <c r="R45" i="12"/>
  <c r="S45" i="12"/>
  <c r="T45" i="12" s="1"/>
  <c r="U45" i="12"/>
  <c r="V45" i="12"/>
  <c r="W45" i="12"/>
  <c r="X45" i="12" s="1"/>
  <c r="Y45" i="12"/>
  <c r="Z45" i="12"/>
  <c r="M46" i="12"/>
  <c r="O46" i="12"/>
  <c r="P46" i="12" s="1"/>
  <c r="Q46" i="12"/>
  <c r="R46" i="12"/>
  <c r="S46" i="12"/>
  <c r="T46" i="12" s="1"/>
  <c r="U46" i="12"/>
  <c r="V46" i="12" s="1"/>
  <c r="W46" i="12"/>
  <c r="X46" i="12" s="1"/>
  <c r="M47" i="12"/>
  <c r="O47" i="12"/>
  <c r="N47" i="12" s="1"/>
  <c r="P47" i="12"/>
  <c r="Q47" i="12"/>
  <c r="R47" i="12"/>
  <c r="S47" i="12"/>
  <c r="T47" i="12"/>
  <c r="U47" i="12"/>
  <c r="V47" i="12"/>
  <c r="W47" i="12"/>
  <c r="X47" i="12"/>
  <c r="Y47" i="12"/>
  <c r="Z47" i="12"/>
  <c r="M15" i="12"/>
  <c r="O15" i="12"/>
  <c r="P15" i="12" s="1"/>
  <c r="Q15" i="12"/>
  <c r="R15" i="12" s="1"/>
  <c r="S15" i="12"/>
  <c r="T15" i="12"/>
  <c r="U15" i="12"/>
  <c r="V15" i="12"/>
  <c r="W15" i="12"/>
  <c r="X15" i="12" s="1"/>
  <c r="M16" i="12"/>
  <c r="O16" i="12"/>
  <c r="P16" i="12"/>
  <c r="Q16" i="12"/>
  <c r="R16" i="12"/>
  <c r="S16" i="12"/>
  <c r="T16" i="12" s="1"/>
  <c r="U16" i="12"/>
  <c r="V16" i="12"/>
  <c r="W16" i="12"/>
  <c r="Y16" i="12" s="1"/>
  <c r="Z16" i="12" s="1"/>
  <c r="M17" i="12"/>
  <c r="O17" i="12"/>
  <c r="N17" i="12" s="1"/>
  <c r="Q17" i="12"/>
  <c r="R17" i="12" s="1"/>
  <c r="S17" i="12"/>
  <c r="T17" i="12" s="1"/>
  <c r="U17" i="12"/>
  <c r="V17" i="12" s="1"/>
  <c r="W17" i="12"/>
  <c r="Y17" i="12" s="1"/>
  <c r="Z17" i="12" s="1"/>
  <c r="X17" i="12"/>
  <c r="M18" i="12"/>
  <c r="O18" i="12"/>
  <c r="N18" i="12" s="1"/>
  <c r="P18" i="12"/>
  <c r="Q18" i="12"/>
  <c r="R18" i="12" s="1"/>
  <c r="S18" i="12"/>
  <c r="T18" i="12" s="1"/>
  <c r="U18" i="12"/>
  <c r="V18" i="12" s="1"/>
  <c r="W18" i="12"/>
  <c r="X18" i="12" s="1"/>
  <c r="Y18" i="12"/>
  <c r="Z18" i="12" s="1"/>
  <c r="M93" i="10"/>
  <c r="N93" i="10" s="1"/>
  <c r="O93" i="10"/>
  <c r="P93" i="10" s="1"/>
  <c r="Q93" i="10"/>
  <c r="R93" i="10"/>
  <c r="S93" i="10"/>
  <c r="T93" i="10" s="1"/>
  <c r="U93" i="10"/>
  <c r="V93" i="10" s="1"/>
  <c r="W93" i="10"/>
  <c r="M42" i="8"/>
  <c r="O42" i="8"/>
  <c r="N42" i="8" s="1"/>
  <c r="P42" i="8"/>
  <c r="Q42" i="8"/>
  <c r="R42" i="8" s="1"/>
  <c r="S42" i="8"/>
  <c r="T42" i="8"/>
  <c r="U42" i="8"/>
  <c r="V42" i="8"/>
  <c r="W42" i="8"/>
  <c r="X42" i="8"/>
  <c r="Y42" i="8"/>
  <c r="Z42" i="8"/>
  <c r="M43" i="8"/>
  <c r="O43" i="8"/>
  <c r="N43" i="8" s="1"/>
  <c r="P43" i="8"/>
  <c r="Q43" i="8"/>
  <c r="R43" i="8"/>
  <c r="S43" i="8"/>
  <c r="T43" i="8"/>
  <c r="U43" i="8"/>
  <c r="V43" i="8"/>
  <c r="W43" i="8"/>
  <c r="X43" i="8"/>
  <c r="Y43" i="8"/>
  <c r="Z43" i="8"/>
  <c r="M44" i="8"/>
  <c r="O44" i="8"/>
  <c r="N44" i="8" s="1"/>
  <c r="P44" i="8"/>
  <c r="Q44" i="8"/>
  <c r="R44" i="8" s="1"/>
  <c r="S44" i="8"/>
  <c r="T44" i="8"/>
  <c r="U44" i="8"/>
  <c r="V44" i="8"/>
  <c r="W44" i="8"/>
  <c r="X44" i="8"/>
  <c r="Y44" i="8"/>
  <c r="Z44" i="8"/>
  <c r="M45" i="8"/>
  <c r="O45" i="8"/>
  <c r="N45" i="8" s="1"/>
  <c r="P45" i="8"/>
  <c r="Q45" i="8"/>
  <c r="R45" i="8"/>
  <c r="S45" i="8"/>
  <c r="T45" i="8"/>
  <c r="U45" i="8"/>
  <c r="V45" i="8"/>
  <c r="W45" i="8"/>
  <c r="X45" i="8"/>
  <c r="Y45" i="8"/>
  <c r="Z45" i="8"/>
  <c r="M46" i="8"/>
  <c r="O46" i="8"/>
  <c r="N46" i="8" s="1"/>
  <c r="P46" i="8"/>
  <c r="Q46" i="8"/>
  <c r="R46" i="8" s="1"/>
  <c r="S46" i="8"/>
  <c r="T46" i="8"/>
  <c r="U46" i="8"/>
  <c r="V46" i="8"/>
  <c r="W46" i="8"/>
  <c r="X46" i="8"/>
  <c r="Y46" i="8"/>
  <c r="Z46" i="8"/>
  <c r="M47" i="8"/>
  <c r="O47" i="8"/>
  <c r="N47" i="8" s="1"/>
  <c r="P47" i="8"/>
  <c r="Q47" i="8"/>
  <c r="R47" i="8"/>
  <c r="S47" i="8"/>
  <c r="T47" i="8"/>
  <c r="U47" i="8"/>
  <c r="V47" i="8"/>
  <c r="W47" i="8"/>
  <c r="X47" i="8"/>
  <c r="Y47" i="8"/>
  <c r="Z47" i="8"/>
  <c r="M99" i="8"/>
  <c r="O99" i="8"/>
  <c r="N99" i="8" s="1"/>
  <c r="P99" i="8"/>
  <c r="Q99" i="8"/>
  <c r="R99" i="8"/>
  <c r="S99" i="8"/>
  <c r="T99" i="8"/>
  <c r="U99" i="8"/>
  <c r="V99" i="8"/>
  <c r="W99" i="8"/>
  <c r="X99" i="8"/>
  <c r="Y99" i="8"/>
  <c r="Z99" i="8" s="1"/>
  <c r="M100" i="8"/>
  <c r="O100" i="8"/>
  <c r="N100" i="8" s="1"/>
  <c r="P100" i="8"/>
  <c r="Q100" i="8"/>
  <c r="R100" i="8" s="1"/>
  <c r="S100" i="8"/>
  <c r="T100" i="8" s="1"/>
  <c r="U100" i="8"/>
  <c r="V100" i="8" s="1"/>
  <c r="W100" i="8"/>
  <c r="X100" i="8"/>
  <c r="Y100" i="8"/>
  <c r="Z100" i="8" s="1"/>
  <c r="M101" i="8"/>
  <c r="O101" i="8"/>
  <c r="N101" i="8" s="1"/>
  <c r="P101" i="8"/>
  <c r="Q101" i="8"/>
  <c r="R101" i="8"/>
  <c r="S101" i="8"/>
  <c r="T101" i="8"/>
  <c r="U101" i="8"/>
  <c r="V101" i="8"/>
  <c r="W101" i="8"/>
  <c r="X101" i="8"/>
  <c r="Y101" i="8"/>
  <c r="Z101" i="8" s="1"/>
  <c r="M102" i="8"/>
  <c r="N102" i="8" s="1"/>
  <c r="O102" i="8"/>
  <c r="P102" i="8"/>
  <c r="Q102" i="8"/>
  <c r="R102" i="8" s="1"/>
  <c r="S102" i="8"/>
  <c r="T102" i="8" s="1"/>
  <c r="U102" i="8"/>
  <c r="V102" i="8"/>
  <c r="W102" i="8"/>
  <c r="X102" i="8"/>
  <c r="Y102" i="8"/>
  <c r="Z102" i="8" s="1"/>
  <c r="M103" i="8"/>
  <c r="O103" i="8"/>
  <c r="N103" i="8" s="1"/>
  <c r="P103" i="8"/>
  <c r="Q103" i="8"/>
  <c r="R103" i="8"/>
  <c r="S103" i="8"/>
  <c r="T103" i="8"/>
  <c r="U103" i="8"/>
  <c r="V103" i="8"/>
  <c r="W103" i="8"/>
  <c r="X103" i="8"/>
  <c r="Y103" i="8"/>
  <c r="Z103" i="8"/>
  <c r="M104" i="8"/>
  <c r="O104" i="8"/>
  <c r="N104" i="8" s="1"/>
  <c r="P104" i="8"/>
  <c r="Q104" i="8"/>
  <c r="R104" i="8"/>
  <c r="S104" i="8"/>
  <c r="T104" i="8" s="1"/>
  <c r="U104" i="8"/>
  <c r="V104" i="8"/>
  <c r="W104" i="8"/>
  <c r="X104" i="8" s="1"/>
  <c r="Y104" i="8"/>
  <c r="Z104" i="8" s="1"/>
  <c r="M71" i="8"/>
  <c r="N71" i="8" s="1"/>
  <c r="O71" i="8"/>
  <c r="P71" i="8"/>
  <c r="Q71" i="8"/>
  <c r="R71" i="8"/>
  <c r="S71" i="8"/>
  <c r="T71" i="8"/>
  <c r="U71" i="8"/>
  <c r="V71" i="8" s="1"/>
  <c r="W71" i="8"/>
  <c r="X71" i="8" s="1"/>
  <c r="Y71" i="8"/>
  <c r="Z71" i="8" s="1"/>
  <c r="M72" i="8"/>
  <c r="O72" i="8"/>
  <c r="N72" i="8" s="1"/>
  <c r="P72" i="8"/>
  <c r="Q72" i="8"/>
  <c r="R72" i="8"/>
  <c r="S72" i="8"/>
  <c r="T72" i="8" s="1"/>
  <c r="U72" i="8"/>
  <c r="V72" i="8" s="1"/>
  <c r="W72" i="8"/>
  <c r="X72" i="8" s="1"/>
  <c r="Y72" i="8"/>
  <c r="Z72" i="8"/>
  <c r="M73" i="8"/>
  <c r="O73" i="8"/>
  <c r="P73" i="8"/>
  <c r="Q73" i="8"/>
  <c r="R73" i="8"/>
  <c r="S73" i="8"/>
  <c r="T73" i="8"/>
  <c r="U73" i="8"/>
  <c r="V73" i="8" s="1"/>
  <c r="W73" i="8"/>
  <c r="Y73" i="8" s="1"/>
  <c r="Z73" i="8" s="1"/>
  <c r="X73" i="8"/>
  <c r="M74" i="8"/>
  <c r="O74" i="8"/>
  <c r="N74" i="8" s="1"/>
  <c r="Q74" i="8"/>
  <c r="R74" i="8" s="1"/>
  <c r="S74" i="8"/>
  <c r="T74" i="8"/>
  <c r="U74" i="8"/>
  <c r="V74" i="8"/>
  <c r="W74" i="8"/>
  <c r="X74" i="8"/>
  <c r="Y74" i="8"/>
  <c r="Z74" i="8" s="1"/>
  <c r="M75" i="8"/>
  <c r="O75" i="8"/>
  <c r="P75" i="8"/>
  <c r="Q75" i="8"/>
  <c r="R75" i="8"/>
  <c r="S75" i="8"/>
  <c r="T75" i="8" s="1"/>
  <c r="U75" i="8"/>
  <c r="V75" i="8"/>
  <c r="W75" i="8"/>
  <c r="X75" i="8"/>
  <c r="Y75" i="8"/>
  <c r="Z75" i="8" s="1"/>
  <c r="M76" i="8"/>
  <c r="O76" i="8"/>
  <c r="P76" i="8" s="1"/>
  <c r="Q76" i="8"/>
  <c r="R76" i="8" s="1"/>
  <c r="S76" i="8"/>
  <c r="T76" i="8"/>
  <c r="U76" i="8"/>
  <c r="V76" i="8"/>
  <c r="W76" i="8"/>
  <c r="X76" i="8"/>
  <c r="Y76" i="8"/>
  <c r="Z76" i="8" s="1"/>
  <c r="O17" i="8"/>
  <c r="P17" i="8" s="1"/>
  <c r="Q17" i="8"/>
  <c r="R17" i="8"/>
  <c r="S17" i="8"/>
  <c r="T17" i="8" s="1"/>
  <c r="U17" i="8"/>
  <c r="V17" i="8" s="1"/>
  <c r="W17" i="8"/>
  <c r="X17" i="8" s="1"/>
  <c r="Y17" i="8"/>
  <c r="Z17" i="8" s="1"/>
  <c r="O18" i="8"/>
  <c r="P18" i="8" s="1"/>
  <c r="Q18" i="8"/>
  <c r="R18" i="8"/>
  <c r="S18" i="8"/>
  <c r="T18" i="8" s="1"/>
  <c r="U18" i="8"/>
  <c r="V18" i="8"/>
  <c r="W18" i="8"/>
  <c r="X18" i="8" s="1"/>
  <c r="Y18" i="8"/>
  <c r="Z18" i="8" s="1"/>
  <c r="M17" i="8"/>
  <c r="M18" i="8"/>
  <c r="M13" i="8"/>
  <c r="O13" i="8"/>
  <c r="N13" i="8" s="1"/>
  <c r="Q13" i="8"/>
  <c r="R13" i="8" s="1"/>
  <c r="S13" i="8"/>
  <c r="T13" i="8" s="1"/>
  <c r="U13" i="8"/>
  <c r="V13" i="8" s="1"/>
  <c r="W13" i="8"/>
  <c r="X13" i="8" s="1"/>
  <c r="Y13" i="8"/>
  <c r="Z13" i="8" s="1"/>
  <c r="M14" i="8"/>
  <c r="O14" i="8"/>
  <c r="N14" i="8" s="1"/>
  <c r="Q14" i="8"/>
  <c r="R14" i="8" s="1"/>
  <c r="S14" i="8"/>
  <c r="T14" i="8" s="1"/>
  <c r="U14" i="8"/>
  <c r="V14" i="8"/>
  <c r="W14" i="8"/>
  <c r="X14" i="8"/>
  <c r="Y14" i="8"/>
  <c r="Z14" i="8" s="1"/>
  <c r="M15" i="8"/>
  <c r="O15" i="8"/>
  <c r="Q15" i="8"/>
  <c r="R15" i="8"/>
  <c r="S15" i="8"/>
  <c r="T15" i="8" s="1"/>
  <c r="U15" i="8"/>
  <c r="V15" i="8"/>
  <c r="W15" i="8"/>
  <c r="X15" i="8" s="1"/>
  <c r="Y15" i="8"/>
  <c r="Z15" i="8" s="1"/>
  <c r="M16" i="8"/>
  <c r="O16" i="8"/>
  <c r="N16" i="8" s="1"/>
  <c r="Q16" i="8"/>
  <c r="R16" i="8" s="1"/>
  <c r="S16" i="8"/>
  <c r="T16" i="8" s="1"/>
  <c r="U16" i="8"/>
  <c r="V16" i="8" s="1"/>
  <c r="W16" i="8"/>
  <c r="X16" i="8"/>
  <c r="Y16" i="8"/>
  <c r="Z16" i="8"/>
  <c r="Y103" i="19" l="1"/>
  <c r="Z103" i="19" s="1"/>
  <c r="Y74" i="19"/>
  <c r="Z74" i="19" s="1"/>
  <c r="N47" i="19"/>
  <c r="Y76" i="19"/>
  <c r="Z76" i="19" s="1"/>
  <c r="N72" i="19"/>
  <c r="N44" i="19"/>
  <c r="P75" i="19"/>
  <c r="Y45" i="19"/>
  <c r="Z45" i="19" s="1"/>
  <c r="P76" i="19"/>
  <c r="N71" i="19"/>
  <c r="Y75" i="19"/>
  <c r="Z75" i="19" s="1"/>
  <c r="Y73" i="19"/>
  <c r="Z73" i="19" s="1"/>
  <c r="Y71" i="19"/>
  <c r="Z71" i="19" s="1"/>
  <c r="P46" i="19"/>
  <c r="N43" i="19"/>
  <c r="N18" i="19"/>
  <c r="P42" i="19"/>
  <c r="P44" i="19"/>
  <c r="P15" i="19"/>
  <c r="N17" i="19"/>
  <c r="Y15" i="19"/>
  <c r="Z15" i="19" s="1"/>
  <c r="X101" i="15"/>
  <c r="N100" i="15"/>
  <c r="X74" i="15"/>
  <c r="Y38" i="15"/>
  <c r="Z38" i="15" s="1"/>
  <c r="P40" i="15"/>
  <c r="N46" i="15"/>
  <c r="Y40" i="15"/>
  <c r="Z40" i="15" s="1"/>
  <c r="N45" i="15"/>
  <c r="N38" i="15"/>
  <c r="P39" i="15"/>
  <c r="X39" i="15"/>
  <c r="P38" i="15"/>
  <c r="P43" i="12"/>
  <c r="N72" i="12"/>
  <c r="N46" i="12"/>
  <c r="P71" i="12"/>
  <c r="N42" i="12"/>
  <c r="P76" i="12"/>
  <c r="Y46" i="12"/>
  <c r="Z46" i="12" s="1"/>
  <c r="N44" i="12"/>
  <c r="N15" i="12"/>
  <c r="X16" i="12"/>
  <c r="N16" i="12"/>
  <c r="P17" i="12"/>
  <c r="Y15" i="12"/>
  <c r="Z15" i="12" s="1"/>
  <c r="N75" i="8"/>
  <c r="N73" i="8"/>
  <c r="N76" i="8"/>
  <c r="P74" i="8"/>
  <c r="N15" i="8"/>
  <c r="N18" i="8"/>
  <c r="P14" i="8"/>
  <c r="P15" i="8"/>
  <c r="P16" i="8"/>
  <c r="N17" i="8"/>
  <c r="P13" i="8"/>
  <c r="M99" i="5"/>
  <c r="N99" i="5" s="1"/>
  <c r="O99" i="5"/>
  <c r="P99" i="5" s="1"/>
  <c r="Q99" i="5"/>
  <c r="R99" i="5"/>
  <c r="S99" i="5"/>
  <c r="T99" i="5"/>
  <c r="U99" i="5"/>
  <c r="V99" i="5"/>
  <c r="W99" i="5"/>
  <c r="X99" i="5"/>
  <c r="Y99" i="5"/>
  <c r="Z99" i="5"/>
  <c r="M100" i="5"/>
  <c r="O100" i="5"/>
  <c r="N100" i="5" s="1"/>
  <c r="P100" i="5"/>
  <c r="Q100" i="5"/>
  <c r="R100" i="5"/>
  <c r="S100" i="5"/>
  <c r="T100" i="5"/>
  <c r="U100" i="5"/>
  <c r="V100" i="5" s="1"/>
  <c r="W100" i="5"/>
  <c r="X100" i="5" s="1"/>
  <c r="M101" i="5"/>
  <c r="N101" i="5" s="1"/>
  <c r="O101" i="5"/>
  <c r="P101" i="5" s="1"/>
  <c r="Q101" i="5"/>
  <c r="R101" i="5"/>
  <c r="S101" i="5"/>
  <c r="T101" i="5"/>
  <c r="U101" i="5"/>
  <c r="V101" i="5"/>
  <c r="W101" i="5"/>
  <c r="X101" i="5"/>
  <c r="Y101" i="5"/>
  <c r="Z101" i="5"/>
  <c r="M102" i="5"/>
  <c r="O102" i="5"/>
  <c r="N102" i="5" s="1"/>
  <c r="P102" i="5"/>
  <c r="Q102" i="5"/>
  <c r="R102" i="5"/>
  <c r="S102" i="5"/>
  <c r="T102" i="5"/>
  <c r="U102" i="5"/>
  <c r="V102" i="5" s="1"/>
  <c r="W102" i="5"/>
  <c r="X102" i="5" s="1"/>
  <c r="M103" i="5"/>
  <c r="N103" i="5" s="1"/>
  <c r="O103" i="5"/>
  <c r="P103" i="5" s="1"/>
  <c r="Q103" i="5"/>
  <c r="R103" i="5"/>
  <c r="S103" i="5"/>
  <c r="T103" i="5"/>
  <c r="U103" i="5"/>
  <c r="V103" i="5"/>
  <c r="W103" i="5"/>
  <c r="X103" i="5"/>
  <c r="Y103" i="5"/>
  <c r="Z103" i="5"/>
  <c r="M104" i="5"/>
  <c r="O104" i="5"/>
  <c r="N104" i="5" s="1"/>
  <c r="P104" i="5"/>
  <c r="Q104" i="5"/>
  <c r="R104" i="5"/>
  <c r="S104" i="5"/>
  <c r="T104" i="5"/>
  <c r="U104" i="5"/>
  <c r="V104" i="5" s="1"/>
  <c r="W104" i="5"/>
  <c r="X104" i="5" s="1"/>
  <c r="M71" i="5"/>
  <c r="O71" i="5"/>
  <c r="N71" i="5" s="1"/>
  <c r="Q71" i="5"/>
  <c r="R71" i="5"/>
  <c r="S71" i="5"/>
  <c r="T71" i="5"/>
  <c r="U71" i="5"/>
  <c r="V71" i="5"/>
  <c r="W71" i="5"/>
  <c r="X71" i="5" s="1"/>
  <c r="M72" i="5"/>
  <c r="O72" i="5"/>
  <c r="N72" i="5" s="1"/>
  <c r="P72" i="5"/>
  <c r="Q72" i="5"/>
  <c r="R72" i="5"/>
  <c r="S72" i="5"/>
  <c r="T72" i="5"/>
  <c r="U72" i="5"/>
  <c r="V72" i="5"/>
  <c r="W72" i="5"/>
  <c r="X72" i="5" s="1"/>
  <c r="M73" i="5"/>
  <c r="O73" i="5"/>
  <c r="N73" i="5" s="1"/>
  <c r="Q73" i="5"/>
  <c r="R73" i="5"/>
  <c r="S73" i="5"/>
  <c r="T73" i="5"/>
  <c r="U73" i="5"/>
  <c r="V73" i="5"/>
  <c r="W73" i="5"/>
  <c r="X73" i="5" s="1"/>
  <c r="M74" i="5"/>
  <c r="O74" i="5"/>
  <c r="N74" i="5" s="1"/>
  <c r="P74" i="5"/>
  <c r="Q74" i="5"/>
  <c r="R74" i="5"/>
  <c r="S74" i="5"/>
  <c r="T74" i="5"/>
  <c r="U74" i="5"/>
  <c r="V74" i="5"/>
  <c r="W74" i="5"/>
  <c r="X74" i="5" s="1"/>
  <c r="Y74" i="5"/>
  <c r="Z74" i="5"/>
  <c r="M75" i="5"/>
  <c r="O75" i="5"/>
  <c r="N75" i="5" s="1"/>
  <c r="Q75" i="5"/>
  <c r="R75" i="5"/>
  <c r="S75" i="5"/>
  <c r="T75" i="5"/>
  <c r="U75" i="5"/>
  <c r="V75" i="5"/>
  <c r="W75" i="5"/>
  <c r="X75" i="5" s="1"/>
  <c r="M76" i="5"/>
  <c r="O76" i="5"/>
  <c r="N76" i="5" s="1"/>
  <c r="P76" i="5"/>
  <c r="Q76" i="5"/>
  <c r="R76" i="5"/>
  <c r="S76" i="5"/>
  <c r="T76" i="5"/>
  <c r="U76" i="5"/>
  <c r="V76" i="5"/>
  <c r="W76" i="5"/>
  <c r="X76" i="5" s="1"/>
  <c r="Y76" i="5"/>
  <c r="Z76" i="5"/>
  <c r="M38" i="5"/>
  <c r="N38" i="5" s="1"/>
  <c r="O38" i="5"/>
  <c r="P38" i="5" s="1"/>
  <c r="Q38" i="5"/>
  <c r="R38" i="5"/>
  <c r="S38" i="5"/>
  <c r="T38" i="5"/>
  <c r="U38" i="5"/>
  <c r="V38" i="5" s="1"/>
  <c r="W38" i="5"/>
  <c r="X38" i="5"/>
  <c r="Y38" i="5"/>
  <c r="Z38" i="5"/>
  <c r="M39" i="5"/>
  <c r="N39" i="5" s="1"/>
  <c r="O39" i="5"/>
  <c r="P39" i="5" s="1"/>
  <c r="Q39" i="5"/>
  <c r="R39" i="5"/>
  <c r="S39" i="5"/>
  <c r="T39" i="5" s="1"/>
  <c r="U39" i="5"/>
  <c r="V39" i="5"/>
  <c r="W39" i="5"/>
  <c r="X39" i="5" s="1"/>
  <c r="M40" i="5"/>
  <c r="O40" i="5"/>
  <c r="N40" i="5" s="1"/>
  <c r="P40" i="5"/>
  <c r="Q40" i="5"/>
  <c r="R40" i="5" s="1"/>
  <c r="S40" i="5"/>
  <c r="T40" i="5"/>
  <c r="U40" i="5"/>
  <c r="V40" i="5"/>
  <c r="W40" i="5"/>
  <c r="X40" i="5" s="1"/>
  <c r="M41" i="5"/>
  <c r="O41" i="5"/>
  <c r="N41" i="5" s="1"/>
  <c r="Q41" i="5"/>
  <c r="R41" i="5"/>
  <c r="S41" i="5"/>
  <c r="T41" i="5" s="1"/>
  <c r="U41" i="5"/>
  <c r="V41" i="5" s="1"/>
  <c r="W41" i="5"/>
  <c r="X41" i="5" s="1"/>
  <c r="M42" i="5"/>
  <c r="O42" i="5"/>
  <c r="N42" i="5" s="1"/>
  <c r="P42" i="5"/>
  <c r="Q42" i="5"/>
  <c r="R42" i="5"/>
  <c r="S42" i="5"/>
  <c r="T42" i="5"/>
  <c r="U42" i="5"/>
  <c r="V42" i="5"/>
  <c r="W42" i="5"/>
  <c r="X42" i="5" s="1"/>
  <c r="M43" i="5"/>
  <c r="O43" i="5"/>
  <c r="N43" i="5" s="1"/>
  <c r="Q43" i="5"/>
  <c r="R43" i="5" s="1"/>
  <c r="S43" i="5"/>
  <c r="T43" i="5" s="1"/>
  <c r="U43" i="5"/>
  <c r="V43" i="5" s="1"/>
  <c r="W43" i="5"/>
  <c r="X43" i="5" s="1"/>
  <c r="M44" i="5"/>
  <c r="O44" i="5"/>
  <c r="N44" i="5" s="1"/>
  <c r="P44" i="5"/>
  <c r="Q44" i="5"/>
  <c r="R44" i="5" s="1"/>
  <c r="S44" i="5"/>
  <c r="T44" i="5"/>
  <c r="U44" i="5"/>
  <c r="V44" i="5"/>
  <c r="W44" i="5"/>
  <c r="X44" i="5"/>
  <c r="Y44" i="5"/>
  <c r="Z44" i="5"/>
  <c r="M45" i="5"/>
  <c r="O45" i="5"/>
  <c r="N45" i="5" s="1"/>
  <c r="Q45" i="5"/>
  <c r="R45" i="5" s="1"/>
  <c r="S45" i="5"/>
  <c r="T45" i="5" s="1"/>
  <c r="U45" i="5"/>
  <c r="V45" i="5" s="1"/>
  <c r="W45" i="5"/>
  <c r="X45" i="5" s="1"/>
  <c r="M46" i="5"/>
  <c r="N46" i="5" s="1"/>
  <c r="O46" i="5"/>
  <c r="P46" i="5" s="1"/>
  <c r="Q46" i="5"/>
  <c r="R46" i="5"/>
  <c r="S46" i="5"/>
  <c r="T46" i="5"/>
  <c r="U46" i="5"/>
  <c r="V46" i="5"/>
  <c r="W46" i="5"/>
  <c r="X46" i="5" s="1"/>
  <c r="M47" i="5"/>
  <c r="O47" i="5"/>
  <c r="N47" i="5" s="1"/>
  <c r="Q47" i="5"/>
  <c r="R47" i="5"/>
  <c r="S47" i="5"/>
  <c r="T47" i="5" s="1"/>
  <c r="U47" i="5"/>
  <c r="V47" i="5"/>
  <c r="W47" i="5"/>
  <c r="X47" i="5" s="1"/>
  <c r="W72" i="2"/>
  <c r="S104" i="2"/>
  <c r="S103" i="2"/>
  <c r="S102" i="2"/>
  <c r="S101" i="2"/>
  <c r="S100" i="2"/>
  <c r="S99" i="2"/>
  <c r="S98" i="2"/>
  <c r="S97" i="2"/>
  <c r="S96" i="2"/>
  <c r="S95" i="2"/>
  <c r="S94" i="2"/>
  <c r="S93" i="2"/>
  <c r="S76" i="2"/>
  <c r="S75" i="2"/>
  <c r="S74" i="2"/>
  <c r="S73" i="2"/>
  <c r="S72" i="2"/>
  <c r="S71" i="2"/>
  <c r="S70" i="2"/>
  <c r="S69" i="2"/>
  <c r="S68" i="2"/>
  <c r="S67" i="2"/>
  <c r="S66" i="2"/>
  <c r="S65" i="2"/>
  <c r="S47" i="2"/>
  <c r="S46" i="2"/>
  <c r="S45" i="2"/>
  <c r="S44" i="2"/>
  <c r="S43" i="2"/>
  <c r="S42" i="2"/>
  <c r="S41" i="2"/>
  <c r="S40" i="2"/>
  <c r="S39" i="2"/>
  <c r="S38" i="2"/>
  <c r="S37" i="2"/>
  <c r="S36" i="2"/>
  <c r="S18" i="2"/>
  <c r="S17" i="2"/>
  <c r="S16" i="2"/>
  <c r="S15" i="2"/>
  <c r="S14" i="2"/>
  <c r="S13" i="2"/>
  <c r="S12" i="2"/>
  <c r="S11" i="2"/>
  <c r="S10" i="2"/>
  <c r="S9" i="2"/>
  <c r="S8" i="2"/>
  <c r="S7" i="2"/>
  <c r="S104" i="3"/>
  <c r="S103" i="3"/>
  <c r="S102" i="3"/>
  <c r="S101" i="3"/>
  <c r="S100" i="3"/>
  <c r="S99" i="3"/>
  <c r="S98" i="3"/>
  <c r="S97" i="3"/>
  <c r="S96" i="3"/>
  <c r="S95" i="3"/>
  <c r="S94" i="3"/>
  <c r="S93" i="3"/>
  <c r="S76" i="3"/>
  <c r="S75" i="3"/>
  <c r="S74" i="3"/>
  <c r="S73" i="3"/>
  <c r="S72" i="3"/>
  <c r="S71" i="3"/>
  <c r="S70" i="3"/>
  <c r="S69" i="3"/>
  <c r="S68" i="3"/>
  <c r="S67" i="3"/>
  <c r="S66" i="3"/>
  <c r="S65" i="3"/>
  <c r="S47" i="3"/>
  <c r="S46" i="3"/>
  <c r="S45" i="3"/>
  <c r="S44" i="3"/>
  <c r="S43" i="3"/>
  <c r="S42" i="3"/>
  <c r="S41" i="3"/>
  <c r="S40" i="3"/>
  <c r="S39" i="3"/>
  <c r="S38" i="3"/>
  <c r="S37" i="3"/>
  <c r="S36" i="3"/>
  <c r="S18" i="3"/>
  <c r="S17" i="3"/>
  <c r="S16" i="3"/>
  <c r="S15" i="3"/>
  <c r="S14" i="3"/>
  <c r="S13" i="3"/>
  <c r="S12" i="3"/>
  <c r="S11" i="3"/>
  <c r="S10" i="3"/>
  <c r="S9" i="3"/>
  <c r="S8" i="3"/>
  <c r="S7" i="3"/>
  <c r="S104" i="4"/>
  <c r="S103" i="4"/>
  <c r="S102" i="4"/>
  <c r="S101" i="4"/>
  <c r="S100" i="4"/>
  <c r="S99" i="4"/>
  <c r="S98" i="4"/>
  <c r="S97" i="4"/>
  <c r="S96" i="4"/>
  <c r="S95" i="4"/>
  <c r="S94" i="4"/>
  <c r="S93" i="4"/>
  <c r="S76" i="4"/>
  <c r="S75" i="4"/>
  <c r="S74" i="4"/>
  <c r="S73" i="4"/>
  <c r="S72" i="4"/>
  <c r="S71" i="4"/>
  <c r="S70" i="4"/>
  <c r="S69" i="4"/>
  <c r="S68" i="4"/>
  <c r="S67" i="4"/>
  <c r="S66" i="4"/>
  <c r="S65" i="4"/>
  <c r="S47" i="4"/>
  <c r="S46" i="4"/>
  <c r="S45" i="4"/>
  <c r="S44" i="4"/>
  <c r="S43" i="4"/>
  <c r="S42" i="4"/>
  <c r="S41" i="4"/>
  <c r="S40" i="4"/>
  <c r="S39" i="4"/>
  <c r="S38" i="4"/>
  <c r="S37" i="4"/>
  <c r="S36" i="4"/>
  <c r="S18" i="4"/>
  <c r="S17" i="4"/>
  <c r="S16" i="4"/>
  <c r="S15" i="4"/>
  <c r="S14" i="4"/>
  <c r="S13" i="4"/>
  <c r="S12" i="4"/>
  <c r="S11" i="4"/>
  <c r="S10" i="4"/>
  <c r="S9" i="4"/>
  <c r="S8" i="4"/>
  <c r="S7" i="4"/>
  <c r="S98" i="5"/>
  <c r="S97" i="5"/>
  <c r="S96" i="5"/>
  <c r="S95" i="5"/>
  <c r="S94" i="5"/>
  <c r="S93" i="5"/>
  <c r="S70" i="5"/>
  <c r="S69" i="5"/>
  <c r="S68" i="5"/>
  <c r="S67" i="5"/>
  <c r="S66" i="5"/>
  <c r="S65" i="5"/>
  <c r="S37" i="5"/>
  <c r="S36" i="5"/>
  <c r="S18" i="5"/>
  <c r="S17" i="5"/>
  <c r="S16" i="5"/>
  <c r="S15" i="5"/>
  <c r="S14" i="5"/>
  <c r="S13" i="5"/>
  <c r="S12" i="5"/>
  <c r="S11" i="5"/>
  <c r="S10" i="5"/>
  <c r="S9" i="5"/>
  <c r="S8" i="5"/>
  <c r="S7" i="5"/>
  <c r="S18" i="6"/>
  <c r="T18" i="6" s="1"/>
  <c r="S17" i="6"/>
  <c r="T17" i="6" s="1"/>
  <c r="S16" i="6"/>
  <c r="T16" i="6" s="1"/>
  <c r="S15" i="6"/>
  <c r="T15" i="6" s="1"/>
  <c r="S14" i="6"/>
  <c r="T14" i="6" s="1"/>
  <c r="S13" i="6"/>
  <c r="T13" i="6" s="1"/>
  <c r="S12" i="6"/>
  <c r="T12" i="6" s="1"/>
  <c r="S11" i="6"/>
  <c r="T11" i="6" s="1"/>
  <c r="S10" i="6"/>
  <c r="T10" i="6" s="1"/>
  <c r="S9" i="6"/>
  <c r="S8" i="6"/>
  <c r="T8" i="6" s="1"/>
  <c r="S7" i="6"/>
  <c r="T7" i="6" s="1"/>
  <c r="S47" i="6"/>
  <c r="S46" i="6"/>
  <c r="S45" i="6"/>
  <c r="S44" i="6"/>
  <c r="S43" i="6"/>
  <c r="S42" i="6"/>
  <c r="S41" i="6"/>
  <c r="S40" i="6"/>
  <c r="S39" i="6"/>
  <c r="S38" i="6"/>
  <c r="S37" i="6"/>
  <c r="S36" i="6"/>
  <c r="S76" i="6"/>
  <c r="S75" i="6"/>
  <c r="S74" i="6"/>
  <c r="S73" i="6"/>
  <c r="S72" i="6"/>
  <c r="S71" i="6"/>
  <c r="S70" i="6"/>
  <c r="S69" i="6"/>
  <c r="S68" i="6"/>
  <c r="S67" i="6"/>
  <c r="S66" i="6"/>
  <c r="S65" i="6"/>
  <c r="S104" i="6"/>
  <c r="S103" i="6"/>
  <c r="S102" i="6"/>
  <c r="S101" i="6"/>
  <c r="S100" i="6"/>
  <c r="S99" i="6"/>
  <c r="S98" i="6"/>
  <c r="S97" i="6"/>
  <c r="S96" i="6"/>
  <c r="S95" i="6"/>
  <c r="S94" i="6"/>
  <c r="S93" i="6"/>
  <c r="S104" i="7"/>
  <c r="S103" i="7"/>
  <c r="S102" i="7"/>
  <c r="S101" i="7"/>
  <c r="S100" i="7"/>
  <c r="S99" i="7"/>
  <c r="S98" i="7"/>
  <c r="S97" i="7"/>
  <c r="S96" i="7"/>
  <c r="S95" i="7"/>
  <c r="S94" i="7"/>
  <c r="S93" i="7"/>
  <c r="S76" i="7"/>
  <c r="S75" i="7"/>
  <c r="S74" i="7"/>
  <c r="S73" i="7"/>
  <c r="S72" i="7"/>
  <c r="S71" i="7"/>
  <c r="S70" i="7"/>
  <c r="S69" i="7"/>
  <c r="S68" i="7"/>
  <c r="S67" i="7"/>
  <c r="S66" i="7"/>
  <c r="S65" i="7"/>
  <c r="S47" i="7"/>
  <c r="S46" i="7"/>
  <c r="S45" i="7"/>
  <c r="S44" i="7"/>
  <c r="S43" i="7"/>
  <c r="S42" i="7"/>
  <c r="S41" i="7"/>
  <c r="S40" i="7"/>
  <c r="S39" i="7"/>
  <c r="S38" i="7"/>
  <c r="S37" i="7"/>
  <c r="S36" i="7"/>
  <c r="S18" i="7"/>
  <c r="S17" i="7"/>
  <c r="S16" i="7"/>
  <c r="S15" i="7"/>
  <c r="S14" i="7"/>
  <c r="S13" i="7"/>
  <c r="S12" i="7"/>
  <c r="S11" i="7"/>
  <c r="S10" i="7"/>
  <c r="S9" i="7"/>
  <c r="S8" i="7"/>
  <c r="S7" i="7"/>
  <c r="S98" i="8"/>
  <c r="S97" i="8"/>
  <c r="S96" i="8"/>
  <c r="S95" i="8"/>
  <c r="S94" i="8"/>
  <c r="S93" i="8"/>
  <c r="S70" i="8"/>
  <c r="S69" i="8"/>
  <c r="S68" i="8"/>
  <c r="S67" i="8"/>
  <c r="S66" i="8"/>
  <c r="S65" i="8"/>
  <c r="S41" i="8"/>
  <c r="S40" i="8"/>
  <c r="S39" i="8"/>
  <c r="S38" i="8"/>
  <c r="S37" i="8"/>
  <c r="S36" i="8"/>
  <c r="S12" i="8"/>
  <c r="S11" i="8"/>
  <c r="S10" i="8"/>
  <c r="S9" i="8"/>
  <c r="S8" i="8"/>
  <c r="S7" i="8"/>
  <c r="S18" i="9"/>
  <c r="S17" i="9"/>
  <c r="S16" i="9"/>
  <c r="S15" i="9"/>
  <c r="S14" i="9"/>
  <c r="S13" i="9"/>
  <c r="S12" i="9"/>
  <c r="S11" i="9"/>
  <c r="S10" i="9"/>
  <c r="S9" i="9"/>
  <c r="S8" i="9"/>
  <c r="S7" i="9"/>
  <c r="S47" i="9"/>
  <c r="S46" i="9"/>
  <c r="S45" i="9"/>
  <c r="S44" i="9"/>
  <c r="S43" i="9"/>
  <c r="S42" i="9"/>
  <c r="S41" i="9"/>
  <c r="S40" i="9"/>
  <c r="S39" i="9"/>
  <c r="S38" i="9"/>
  <c r="S37" i="9"/>
  <c r="S36" i="9"/>
  <c r="S76" i="9"/>
  <c r="S75" i="9"/>
  <c r="S74" i="9"/>
  <c r="S73" i="9"/>
  <c r="S72" i="9"/>
  <c r="S71" i="9"/>
  <c r="S70" i="9"/>
  <c r="S69" i="9"/>
  <c r="S68" i="9"/>
  <c r="S67" i="9"/>
  <c r="S66" i="9"/>
  <c r="S65" i="9"/>
  <c r="S104" i="9"/>
  <c r="S103" i="9"/>
  <c r="S102" i="9"/>
  <c r="S101" i="9"/>
  <c r="S100" i="9"/>
  <c r="S99" i="9"/>
  <c r="S98" i="9"/>
  <c r="S97" i="9"/>
  <c r="S96" i="9"/>
  <c r="S95" i="9"/>
  <c r="S94" i="9"/>
  <c r="S93" i="9"/>
  <c r="S104" i="10"/>
  <c r="S103" i="10"/>
  <c r="S102" i="10"/>
  <c r="S101" i="10"/>
  <c r="S100" i="10"/>
  <c r="S99" i="10"/>
  <c r="S98" i="10"/>
  <c r="S97" i="10"/>
  <c r="S96" i="10"/>
  <c r="S95" i="10"/>
  <c r="S94" i="10"/>
  <c r="S76" i="10"/>
  <c r="S75" i="10"/>
  <c r="S74" i="10"/>
  <c r="S73" i="10"/>
  <c r="S72" i="10"/>
  <c r="S71" i="10"/>
  <c r="S70" i="10"/>
  <c r="S69" i="10"/>
  <c r="S68" i="10"/>
  <c r="S67" i="10"/>
  <c r="S66" i="10"/>
  <c r="S65" i="10"/>
  <c r="S47" i="10"/>
  <c r="S46" i="10"/>
  <c r="S45" i="10"/>
  <c r="S44" i="10"/>
  <c r="S43" i="10"/>
  <c r="S42" i="10"/>
  <c r="S41" i="10"/>
  <c r="S40" i="10"/>
  <c r="S39" i="10"/>
  <c r="S38" i="10"/>
  <c r="S37" i="10"/>
  <c r="S36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18" i="11"/>
  <c r="S17" i="11"/>
  <c r="S16" i="11"/>
  <c r="S15" i="11"/>
  <c r="S14" i="11"/>
  <c r="S13" i="11"/>
  <c r="S12" i="11"/>
  <c r="S11" i="11"/>
  <c r="S10" i="11"/>
  <c r="S9" i="11"/>
  <c r="S8" i="11"/>
  <c r="S7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104" i="11"/>
  <c r="S103" i="11"/>
  <c r="S102" i="11"/>
  <c r="S101" i="11"/>
  <c r="S100" i="11"/>
  <c r="S99" i="11"/>
  <c r="S98" i="11"/>
  <c r="S97" i="11"/>
  <c r="S96" i="11"/>
  <c r="S95" i="11"/>
  <c r="S94" i="11"/>
  <c r="S93" i="11"/>
  <c r="S14" i="12"/>
  <c r="S13" i="12"/>
  <c r="S12" i="12"/>
  <c r="S11" i="12"/>
  <c r="S10" i="12"/>
  <c r="S9" i="12"/>
  <c r="S8" i="12"/>
  <c r="S7" i="12"/>
  <c r="S41" i="12"/>
  <c r="S40" i="12"/>
  <c r="S39" i="12"/>
  <c r="S38" i="12"/>
  <c r="S37" i="12"/>
  <c r="S36" i="12"/>
  <c r="S70" i="12"/>
  <c r="S69" i="12"/>
  <c r="S68" i="12"/>
  <c r="S67" i="12"/>
  <c r="S66" i="12"/>
  <c r="S65" i="12"/>
  <c r="S99" i="12"/>
  <c r="S98" i="12"/>
  <c r="S97" i="12"/>
  <c r="S96" i="12"/>
  <c r="S95" i="12"/>
  <c r="S94" i="12"/>
  <c r="S93" i="12"/>
  <c r="S18" i="13"/>
  <c r="S17" i="13"/>
  <c r="S16" i="13"/>
  <c r="S15" i="13"/>
  <c r="S14" i="13"/>
  <c r="S13" i="13"/>
  <c r="S12" i="13"/>
  <c r="S11" i="13"/>
  <c r="S10" i="13"/>
  <c r="S9" i="13"/>
  <c r="S8" i="13"/>
  <c r="S7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76" i="13"/>
  <c r="S75" i="13"/>
  <c r="S74" i="13"/>
  <c r="S73" i="13"/>
  <c r="S72" i="13"/>
  <c r="S71" i="13"/>
  <c r="S70" i="13"/>
  <c r="S69" i="13"/>
  <c r="S68" i="13"/>
  <c r="S67" i="13"/>
  <c r="S66" i="13"/>
  <c r="S65" i="13"/>
  <c r="S104" i="13"/>
  <c r="S103" i="13"/>
  <c r="S102" i="13"/>
  <c r="S101" i="13"/>
  <c r="S100" i="13"/>
  <c r="S99" i="13"/>
  <c r="S98" i="13"/>
  <c r="S97" i="13"/>
  <c r="S96" i="13"/>
  <c r="S95" i="13"/>
  <c r="S94" i="13"/>
  <c r="S93" i="13"/>
  <c r="S18" i="14"/>
  <c r="S17" i="14"/>
  <c r="S16" i="14"/>
  <c r="S15" i="14"/>
  <c r="S14" i="14"/>
  <c r="S13" i="14"/>
  <c r="S12" i="14"/>
  <c r="S11" i="14"/>
  <c r="S10" i="14"/>
  <c r="S9" i="14"/>
  <c r="S8" i="14"/>
  <c r="S7" i="14"/>
  <c r="S47" i="14"/>
  <c r="S46" i="14"/>
  <c r="S45" i="14"/>
  <c r="S44" i="14"/>
  <c r="S43" i="14"/>
  <c r="S42" i="14"/>
  <c r="S41" i="14"/>
  <c r="S40" i="14"/>
  <c r="S39" i="14"/>
  <c r="S38" i="14"/>
  <c r="S37" i="14"/>
  <c r="S36" i="14"/>
  <c r="S76" i="14"/>
  <c r="S75" i="14"/>
  <c r="S74" i="14"/>
  <c r="S73" i="14"/>
  <c r="S72" i="14"/>
  <c r="S71" i="14"/>
  <c r="S70" i="14"/>
  <c r="S69" i="14"/>
  <c r="S68" i="14"/>
  <c r="S67" i="14"/>
  <c r="S66" i="14"/>
  <c r="S65" i="14"/>
  <c r="S104" i="14"/>
  <c r="S103" i="14"/>
  <c r="S102" i="14"/>
  <c r="S101" i="14"/>
  <c r="S100" i="14"/>
  <c r="S99" i="14"/>
  <c r="S98" i="14"/>
  <c r="S97" i="14"/>
  <c r="S96" i="14"/>
  <c r="S95" i="14"/>
  <c r="S94" i="14"/>
  <c r="S93" i="14"/>
  <c r="S99" i="15"/>
  <c r="S98" i="15"/>
  <c r="S97" i="15"/>
  <c r="S96" i="15"/>
  <c r="S95" i="15"/>
  <c r="S94" i="15"/>
  <c r="S93" i="15"/>
  <c r="S70" i="15"/>
  <c r="S69" i="15"/>
  <c r="S68" i="15"/>
  <c r="S67" i="15"/>
  <c r="S66" i="15"/>
  <c r="S65" i="15"/>
  <c r="S37" i="15"/>
  <c r="S36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104" i="17"/>
  <c r="S103" i="17"/>
  <c r="S102" i="17"/>
  <c r="S101" i="17"/>
  <c r="S100" i="17"/>
  <c r="S99" i="17"/>
  <c r="S98" i="17"/>
  <c r="S97" i="17"/>
  <c r="S96" i="17"/>
  <c r="S95" i="17"/>
  <c r="S94" i="17"/>
  <c r="S93" i="17"/>
  <c r="S76" i="17"/>
  <c r="S75" i="17"/>
  <c r="S74" i="17"/>
  <c r="S73" i="17"/>
  <c r="S72" i="17"/>
  <c r="S71" i="17"/>
  <c r="S70" i="17"/>
  <c r="S69" i="17"/>
  <c r="S68" i="17"/>
  <c r="S67" i="17"/>
  <c r="S66" i="17"/>
  <c r="S65" i="17"/>
  <c r="S47" i="17"/>
  <c r="S46" i="17"/>
  <c r="S45" i="17"/>
  <c r="S44" i="17"/>
  <c r="S43" i="17"/>
  <c r="S42" i="17"/>
  <c r="S41" i="17"/>
  <c r="S40" i="17"/>
  <c r="S39" i="17"/>
  <c r="S38" i="17"/>
  <c r="S37" i="17"/>
  <c r="S36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104" i="18"/>
  <c r="S103" i="18"/>
  <c r="S102" i="18"/>
  <c r="S101" i="18"/>
  <c r="S100" i="18"/>
  <c r="S99" i="18"/>
  <c r="S98" i="18"/>
  <c r="S97" i="18"/>
  <c r="S96" i="18"/>
  <c r="S95" i="18"/>
  <c r="S94" i="18"/>
  <c r="S93" i="18"/>
  <c r="S76" i="18"/>
  <c r="S75" i="18"/>
  <c r="S74" i="18"/>
  <c r="S73" i="18"/>
  <c r="S72" i="18"/>
  <c r="S71" i="18"/>
  <c r="S70" i="18"/>
  <c r="S69" i="18"/>
  <c r="S68" i="18"/>
  <c r="S67" i="18"/>
  <c r="S66" i="18"/>
  <c r="S65" i="18"/>
  <c r="S47" i="18"/>
  <c r="S46" i="18"/>
  <c r="S45" i="18"/>
  <c r="S44" i="18"/>
  <c r="S43" i="18"/>
  <c r="S42" i="18"/>
  <c r="S41" i="18"/>
  <c r="S40" i="18"/>
  <c r="S39" i="18"/>
  <c r="S38" i="18"/>
  <c r="S37" i="18"/>
  <c r="S36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99" i="19"/>
  <c r="S98" i="19"/>
  <c r="S97" i="19"/>
  <c r="S96" i="19"/>
  <c r="S95" i="19"/>
  <c r="S94" i="19"/>
  <c r="S93" i="19"/>
  <c r="S70" i="19"/>
  <c r="S69" i="19"/>
  <c r="S68" i="19"/>
  <c r="S67" i="19"/>
  <c r="S66" i="19"/>
  <c r="S65" i="19"/>
  <c r="S41" i="19"/>
  <c r="S40" i="19"/>
  <c r="S39" i="19"/>
  <c r="S38" i="19"/>
  <c r="S37" i="19"/>
  <c r="S36" i="19"/>
  <c r="S14" i="19"/>
  <c r="S13" i="19"/>
  <c r="S12" i="19"/>
  <c r="S11" i="19"/>
  <c r="S10" i="19"/>
  <c r="S9" i="19"/>
  <c r="S8" i="19"/>
  <c r="S7" i="19"/>
  <c r="S104" i="20"/>
  <c r="S103" i="20"/>
  <c r="S102" i="20"/>
  <c r="S101" i="20"/>
  <c r="S100" i="20"/>
  <c r="S99" i="20"/>
  <c r="S98" i="20"/>
  <c r="S97" i="20"/>
  <c r="S96" i="20"/>
  <c r="S95" i="20"/>
  <c r="S94" i="20"/>
  <c r="S93" i="20"/>
  <c r="S76" i="20"/>
  <c r="S75" i="20"/>
  <c r="S74" i="20"/>
  <c r="S73" i="20"/>
  <c r="S72" i="20"/>
  <c r="S71" i="20"/>
  <c r="S70" i="20"/>
  <c r="S69" i="20"/>
  <c r="S68" i="20"/>
  <c r="S67" i="20"/>
  <c r="S66" i="20"/>
  <c r="S65" i="20"/>
  <c r="S47" i="20"/>
  <c r="S46" i="20"/>
  <c r="S45" i="20"/>
  <c r="S44" i="20"/>
  <c r="S43" i="20"/>
  <c r="S42" i="20"/>
  <c r="S41" i="20"/>
  <c r="S40" i="20"/>
  <c r="S39" i="20"/>
  <c r="S38" i="20"/>
  <c r="S37" i="20"/>
  <c r="S36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104" i="21"/>
  <c r="S103" i="21"/>
  <c r="S102" i="21"/>
  <c r="S101" i="21"/>
  <c r="S100" i="21"/>
  <c r="S99" i="21"/>
  <c r="S98" i="21"/>
  <c r="S97" i="21"/>
  <c r="S96" i="21"/>
  <c r="S95" i="21"/>
  <c r="S94" i="21"/>
  <c r="S93" i="21"/>
  <c r="S76" i="21"/>
  <c r="S75" i="21"/>
  <c r="S74" i="21"/>
  <c r="S73" i="21"/>
  <c r="S72" i="21"/>
  <c r="S71" i="21"/>
  <c r="S70" i="21"/>
  <c r="S69" i="21"/>
  <c r="S68" i="21"/>
  <c r="S67" i="21"/>
  <c r="S66" i="21"/>
  <c r="S65" i="21"/>
  <c r="S47" i="21"/>
  <c r="S46" i="21"/>
  <c r="S45" i="21"/>
  <c r="S44" i="21"/>
  <c r="S43" i="21"/>
  <c r="S42" i="21"/>
  <c r="S41" i="21"/>
  <c r="S40" i="21"/>
  <c r="S39" i="21"/>
  <c r="S38" i="21"/>
  <c r="S37" i="21"/>
  <c r="S36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104" i="22"/>
  <c r="S103" i="22"/>
  <c r="S102" i="22"/>
  <c r="S101" i="22"/>
  <c r="S100" i="22"/>
  <c r="S99" i="22"/>
  <c r="S98" i="22"/>
  <c r="S97" i="22"/>
  <c r="S96" i="22"/>
  <c r="S95" i="22"/>
  <c r="S94" i="22"/>
  <c r="S93" i="22"/>
  <c r="S76" i="22"/>
  <c r="S75" i="22"/>
  <c r="S74" i="22"/>
  <c r="S73" i="22"/>
  <c r="S72" i="22"/>
  <c r="S71" i="22"/>
  <c r="S70" i="22"/>
  <c r="S69" i="22"/>
  <c r="S68" i="22"/>
  <c r="S67" i="22"/>
  <c r="S66" i="22"/>
  <c r="S65" i="22"/>
  <c r="S47" i="22"/>
  <c r="S46" i="22"/>
  <c r="S45" i="22"/>
  <c r="S44" i="22"/>
  <c r="S43" i="22"/>
  <c r="S42" i="22"/>
  <c r="S41" i="22"/>
  <c r="S40" i="22"/>
  <c r="S39" i="22"/>
  <c r="S38" i="22"/>
  <c r="S37" i="22"/>
  <c r="S36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98" i="23"/>
  <c r="S97" i="23"/>
  <c r="S96" i="23"/>
  <c r="S95" i="23"/>
  <c r="S94" i="23"/>
  <c r="S93" i="23"/>
  <c r="S70" i="23"/>
  <c r="S69" i="23"/>
  <c r="S68" i="23"/>
  <c r="S67" i="23"/>
  <c r="S66" i="23"/>
  <c r="S65" i="23"/>
  <c r="S41" i="23"/>
  <c r="S40" i="23"/>
  <c r="S39" i="23"/>
  <c r="S38" i="23"/>
  <c r="S37" i="23"/>
  <c r="S36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104" i="24"/>
  <c r="S103" i="24"/>
  <c r="S102" i="24"/>
  <c r="S101" i="24"/>
  <c r="S100" i="24"/>
  <c r="S99" i="24"/>
  <c r="S98" i="24"/>
  <c r="S97" i="24"/>
  <c r="S96" i="24"/>
  <c r="S95" i="24"/>
  <c r="S94" i="24"/>
  <c r="S93" i="24"/>
  <c r="S76" i="24"/>
  <c r="S75" i="24"/>
  <c r="S74" i="24"/>
  <c r="S73" i="24"/>
  <c r="S72" i="24"/>
  <c r="S71" i="24"/>
  <c r="S70" i="24"/>
  <c r="S69" i="24"/>
  <c r="S68" i="24"/>
  <c r="S67" i="24"/>
  <c r="S66" i="24"/>
  <c r="S65" i="24"/>
  <c r="S47" i="24"/>
  <c r="S46" i="24"/>
  <c r="S45" i="24"/>
  <c r="S44" i="24"/>
  <c r="S43" i="24"/>
  <c r="S42" i="24"/>
  <c r="S41" i="24"/>
  <c r="S40" i="24"/>
  <c r="S39" i="24"/>
  <c r="S38" i="24"/>
  <c r="S37" i="24"/>
  <c r="S36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104" i="25"/>
  <c r="S103" i="25"/>
  <c r="S102" i="25"/>
  <c r="S101" i="25"/>
  <c r="S100" i="25"/>
  <c r="S99" i="25"/>
  <c r="S98" i="25"/>
  <c r="S97" i="25"/>
  <c r="S96" i="25"/>
  <c r="S95" i="25"/>
  <c r="S94" i="25"/>
  <c r="S93" i="25"/>
  <c r="S76" i="25"/>
  <c r="S75" i="25"/>
  <c r="S74" i="25"/>
  <c r="S73" i="25"/>
  <c r="S72" i="25"/>
  <c r="S71" i="25"/>
  <c r="S70" i="25"/>
  <c r="S69" i="25"/>
  <c r="S68" i="25"/>
  <c r="S67" i="25"/>
  <c r="S66" i="25"/>
  <c r="S65" i="25"/>
  <c r="S47" i="25"/>
  <c r="S46" i="25"/>
  <c r="S45" i="25"/>
  <c r="S44" i="25"/>
  <c r="S43" i="25"/>
  <c r="S42" i="25"/>
  <c r="S41" i="25"/>
  <c r="S40" i="25"/>
  <c r="S39" i="25"/>
  <c r="S38" i="25"/>
  <c r="S37" i="25"/>
  <c r="S36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98" i="26"/>
  <c r="S97" i="26"/>
  <c r="S96" i="26"/>
  <c r="S95" i="26"/>
  <c r="S94" i="26"/>
  <c r="S93" i="26"/>
  <c r="S70" i="26"/>
  <c r="S69" i="26"/>
  <c r="S68" i="26"/>
  <c r="S67" i="26"/>
  <c r="S66" i="26"/>
  <c r="S65" i="26"/>
  <c r="S41" i="26"/>
  <c r="S40" i="26"/>
  <c r="S39" i="26"/>
  <c r="S38" i="26"/>
  <c r="S37" i="26"/>
  <c r="S36" i="26"/>
  <c r="S13" i="26"/>
  <c r="S12" i="26"/>
  <c r="S11" i="26"/>
  <c r="S10" i="26"/>
  <c r="S9" i="26"/>
  <c r="S8" i="26"/>
  <c r="S7" i="26"/>
  <c r="S104" i="27"/>
  <c r="S103" i="27"/>
  <c r="S102" i="27"/>
  <c r="S101" i="27"/>
  <c r="S100" i="27"/>
  <c r="S99" i="27"/>
  <c r="S98" i="27"/>
  <c r="S97" i="27"/>
  <c r="S96" i="27"/>
  <c r="S95" i="27"/>
  <c r="S94" i="27"/>
  <c r="S93" i="27"/>
  <c r="S76" i="27"/>
  <c r="S75" i="27"/>
  <c r="S74" i="27"/>
  <c r="S73" i="27"/>
  <c r="S72" i="27"/>
  <c r="S71" i="27"/>
  <c r="S70" i="27"/>
  <c r="S69" i="27"/>
  <c r="S68" i="27"/>
  <c r="S67" i="27"/>
  <c r="S66" i="27"/>
  <c r="S65" i="27"/>
  <c r="S47" i="27"/>
  <c r="S46" i="27"/>
  <c r="S44" i="27"/>
  <c r="S43" i="27"/>
  <c r="S42" i="27"/>
  <c r="S41" i="27"/>
  <c r="S40" i="27"/>
  <c r="S39" i="27"/>
  <c r="S38" i="27"/>
  <c r="S37" i="27"/>
  <c r="S36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104" i="28"/>
  <c r="S103" i="28"/>
  <c r="S102" i="28"/>
  <c r="S101" i="28"/>
  <c r="S100" i="28"/>
  <c r="S99" i="28"/>
  <c r="S98" i="28"/>
  <c r="S97" i="28"/>
  <c r="S96" i="28"/>
  <c r="S95" i="28"/>
  <c r="S94" i="28"/>
  <c r="S93" i="28"/>
  <c r="S76" i="28"/>
  <c r="S75" i="28"/>
  <c r="S74" i="28"/>
  <c r="S73" i="28"/>
  <c r="S72" i="28"/>
  <c r="S71" i="28"/>
  <c r="S70" i="28"/>
  <c r="S69" i="28"/>
  <c r="S68" i="28"/>
  <c r="S67" i="28"/>
  <c r="S66" i="28"/>
  <c r="S65" i="28"/>
  <c r="S47" i="28"/>
  <c r="S46" i="28"/>
  <c r="S45" i="28"/>
  <c r="S44" i="28"/>
  <c r="S43" i="28"/>
  <c r="S42" i="28"/>
  <c r="S41" i="28"/>
  <c r="S40" i="28"/>
  <c r="S39" i="28"/>
  <c r="S38" i="28"/>
  <c r="S37" i="28"/>
  <c r="S36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98" i="29"/>
  <c r="S97" i="29"/>
  <c r="S96" i="29"/>
  <c r="S95" i="29"/>
  <c r="S94" i="29"/>
  <c r="S93" i="29"/>
  <c r="S70" i="29"/>
  <c r="S69" i="29"/>
  <c r="S68" i="29"/>
  <c r="S67" i="29"/>
  <c r="S66" i="29"/>
  <c r="S65" i="29"/>
  <c r="S41" i="29"/>
  <c r="S40" i="29"/>
  <c r="S39" i="29"/>
  <c r="S38" i="29"/>
  <c r="S37" i="29"/>
  <c r="S36" i="29"/>
  <c r="S14" i="29"/>
  <c r="S13" i="29"/>
  <c r="S12" i="29"/>
  <c r="S11" i="29"/>
  <c r="S10" i="29"/>
  <c r="S9" i="29"/>
  <c r="S8" i="29"/>
  <c r="S7" i="29"/>
  <c r="S104" i="30"/>
  <c r="S103" i="30"/>
  <c r="S102" i="30"/>
  <c r="S101" i="30"/>
  <c r="S100" i="30"/>
  <c r="S99" i="30"/>
  <c r="S98" i="30"/>
  <c r="S97" i="30"/>
  <c r="S96" i="30"/>
  <c r="S95" i="30"/>
  <c r="S94" i="30"/>
  <c r="S93" i="30"/>
  <c r="S76" i="30"/>
  <c r="S75" i="30"/>
  <c r="S74" i="30"/>
  <c r="S73" i="30"/>
  <c r="S72" i="30"/>
  <c r="S71" i="30"/>
  <c r="S70" i="30"/>
  <c r="S69" i="30"/>
  <c r="S68" i="30"/>
  <c r="S67" i="30"/>
  <c r="S66" i="30"/>
  <c r="S65" i="30"/>
  <c r="S47" i="30"/>
  <c r="S46" i="30"/>
  <c r="S45" i="30"/>
  <c r="S44" i="30"/>
  <c r="S43" i="30"/>
  <c r="S42" i="30"/>
  <c r="S41" i="30"/>
  <c r="S40" i="30"/>
  <c r="S39" i="30"/>
  <c r="S38" i="30"/>
  <c r="S37" i="30"/>
  <c r="S36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104" i="31"/>
  <c r="T104" i="31" s="1"/>
  <c r="S103" i="31"/>
  <c r="T103" i="31" s="1"/>
  <c r="S102" i="31"/>
  <c r="T102" i="31" s="1"/>
  <c r="S101" i="31"/>
  <c r="T101" i="31" s="1"/>
  <c r="S100" i="31"/>
  <c r="T100" i="31" s="1"/>
  <c r="S99" i="31"/>
  <c r="T99" i="31" s="1"/>
  <c r="S98" i="31"/>
  <c r="S97" i="31"/>
  <c r="S96" i="31"/>
  <c r="S95" i="31"/>
  <c r="S94" i="31"/>
  <c r="S93" i="31"/>
  <c r="S76" i="31"/>
  <c r="T76" i="31" s="1"/>
  <c r="S75" i="31"/>
  <c r="S74" i="31"/>
  <c r="T74" i="31" s="1"/>
  <c r="S73" i="31"/>
  <c r="T73" i="31" s="1"/>
  <c r="S72" i="31"/>
  <c r="T72" i="31" s="1"/>
  <c r="S71" i="31"/>
  <c r="T71" i="31" s="1"/>
  <c r="S70" i="31"/>
  <c r="S69" i="31"/>
  <c r="S68" i="31"/>
  <c r="S67" i="31"/>
  <c r="S66" i="31"/>
  <c r="S65" i="31"/>
  <c r="S47" i="31"/>
  <c r="T47" i="31" s="1"/>
  <c r="S46" i="31"/>
  <c r="T46" i="31" s="1"/>
  <c r="S45" i="31"/>
  <c r="T45" i="31" s="1"/>
  <c r="S44" i="31"/>
  <c r="T44" i="31" s="1"/>
  <c r="S43" i="31"/>
  <c r="T43" i="31" s="1"/>
  <c r="S42" i="31"/>
  <c r="T42" i="31" s="1"/>
  <c r="S41" i="31"/>
  <c r="S40" i="31"/>
  <c r="S39" i="31"/>
  <c r="S38" i="31"/>
  <c r="S37" i="31"/>
  <c r="S36" i="31"/>
  <c r="S18" i="31"/>
  <c r="T18" i="31" s="1"/>
  <c r="S17" i="31"/>
  <c r="T17" i="31" s="1"/>
  <c r="S16" i="31"/>
  <c r="T16" i="31" s="1"/>
  <c r="S15" i="31"/>
  <c r="T15" i="31" s="1"/>
  <c r="S14" i="31"/>
  <c r="S13" i="31"/>
  <c r="S12" i="31"/>
  <c r="S11" i="31"/>
  <c r="S10" i="31"/>
  <c r="S9" i="31"/>
  <c r="S8" i="31"/>
  <c r="S7" i="31"/>
  <c r="M99" i="31"/>
  <c r="O99" i="31"/>
  <c r="Q99" i="31"/>
  <c r="R99" i="31" s="1"/>
  <c r="U99" i="31"/>
  <c r="V99" i="31" s="1"/>
  <c r="W99" i="31"/>
  <c r="X99" i="31" s="1"/>
  <c r="M100" i="31"/>
  <c r="O100" i="31"/>
  <c r="P100" i="31" s="1"/>
  <c r="Q100" i="31"/>
  <c r="R100" i="31" s="1"/>
  <c r="U100" i="31"/>
  <c r="V100" i="31" s="1"/>
  <c r="W100" i="31"/>
  <c r="X100" i="31" s="1"/>
  <c r="M101" i="31"/>
  <c r="O101" i="31"/>
  <c r="Q101" i="31"/>
  <c r="R101" i="31" s="1"/>
  <c r="U101" i="31"/>
  <c r="V101" i="31" s="1"/>
  <c r="W101" i="31"/>
  <c r="M102" i="31"/>
  <c r="O102" i="31"/>
  <c r="Q102" i="31"/>
  <c r="R102" i="31" s="1"/>
  <c r="U102" i="31"/>
  <c r="V102" i="31" s="1"/>
  <c r="W102" i="31"/>
  <c r="Y102" i="31" s="1"/>
  <c r="Z102" i="31" s="1"/>
  <c r="M103" i="31"/>
  <c r="O103" i="31"/>
  <c r="Q103" i="31"/>
  <c r="R103" i="31" s="1"/>
  <c r="U103" i="31"/>
  <c r="V103" i="31" s="1"/>
  <c r="W103" i="31"/>
  <c r="X103" i="31" s="1"/>
  <c r="M104" i="31"/>
  <c r="O104" i="31"/>
  <c r="Q104" i="31"/>
  <c r="R104" i="31" s="1"/>
  <c r="U104" i="31"/>
  <c r="V104" i="31" s="1"/>
  <c r="W104" i="31"/>
  <c r="Y104" i="31" s="1"/>
  <c r="Z104" i="31" s="1"/>
  <c r="M71" i="31"/>
  <c r="O71" i="31"/>
  <c r="P71" i="31" s="1"/>
  <c r="Q71" i="31"/>
  <c r="R71" i="31" s="1"/>
  <c r="U71" i="31"/>
  <c r="V71" i="31" s="1"/>
  <c r="W71" i="31"/>
  <c r="X71" i="31" s="1"/>
  <c r="M72" i="31"/>
  <c r="O72" i="31"/>
  <c r="P72" i="31" s="1"/>
  <c r="Q72" i="31"/>
  <c r="R72" i="31" s="1"/>
  <c r="U72" i="31"/>
  <c r="V72" i="31" s="1"/>
  <c r="W72" i="31"/>
  <c r="M73" i="31"/>
  <c r="O73" i="31"/>
  <c r="P73" i="31" s="1"/>
  <c r="Q73" i="31"/>
  <c r="R73" i="31" s="1"/>
  <c r="U73" i="31"/>
  <c r="V73" i="31" s="1"/>
  <c r="W73" i="31"/>
  <c r="X73" i="31" s="1"/>
  <c r="M74" i="31"/>
  <c r="O74" i="31"/>
  <c r="P74" i="31" s="1"/>
  <c r="Q74" i="31"/>
  <c r="R74" i="31"/>
  <c r="U74" i="31"/>
  <c r="V74" i="31" s="1"/>
  <c r="W74" i="31"/>
  <c r="X74" i="31" s="1"/>
  <c r="M75" i="31"/>
  <c r="O75" i="31"/>
  <c r="P75" i="31" s="1"/>
  <c r="Q75" i="31"/>
  <c r="R75" i="31" s="1"/>
  <c r="T75" i="31"/>
  <c r="U75" i="31"/>
  <c r="V75" i="31" s="1"/>
  <c r="W75" i="31"/>
  <c r="M76" i="31"/>
  <c r="O76" i="31"/>
  <c r="P76" i="31" s="1"/>
  <c r="Q76" i="31"/>
  <c r="R76" i="31" s="1"/>
  <c r="U76" i="31"/>
  <c r="V76" i="31" s="1"/>
  <c r="W76" i="31"/>
  <c r="X76" i="31" s="1"/>
  <c r="M42" i="31"/>
  <c r="O42" i="31"/>
  <c r="P42" i="31" s="1"/>
  <c r="Q42" i="31"/>
  <c r="R42" i="31" s="1"/>
  <c r="U42" i="31"/>
  <c r="V42" i="31" s="1"/>
  <c r="W42" i="31"/>
  <c r="M43" i="31"/>
  <c r="O43" i="31"/>
  <c r="Q43" i="31"/>
  <c r="R43" i="31" s="1"/>
  <c r="U43" i="31"/>
  <c r="V43" i="31" s="1"/>
  <c r="W43" i="31"/>
  <c r="X43" i="31" s="1"/>
  <c r="M44" i="31"/>
  <c r="O44" i="31"/>
  <c r="P44" i="31" s="1"/>
  <c r="Q44" i="31"/>
  <c r="R44" i="31" s="1"/>
  <c r="U44" i="31"/>
  <c r="V44" i="31" s="1"/>
  <c r="W44" i="31"/>
  <c r="M45" i="31"/>
  <c r="O45" i="31"/>
  <c r="P45" i="31" s="1"/>
  <c r="Q45" i="31"/>
  <c r="R45" i="31" s="1"/>
  <c r="U45" i="31"/>
  <c r="V45" i="31" s="1"/>
  <c r="W45" i="31"/>
  <c r="X45" i="31" s="1"/>
  <c r="M46" i="31"/>
  <c r="O46" i="31"/>
  <c r="P46" i="31" s="1"/>
  <c r="Q46" i="31"/>
  <c r="R46" i="31" s="1"/>
  <c r="U46" i="31"/>
  <c r="V46" i="31" s="1"/>
  <c r="W46" i="31"/>
  <c r="Y46" i="31" s="1"/>
  <c r="Z46" i="31" s="1"/>
  <c r="M47" i="31"/>
  <c r="O47" i="31"/>
  <c r="P47" i="31" s="1"/>
  <c r="Q47" i="31"/>
  <c r="R47" i="31" s="1"/>
  <c r="U47" i="31"/>
  <c r="V47" i="31" s="1"/>
  <c r="W47" i="31"/>
  <c r="M15" i="31"/>
  <c r="O15" i="31"/>
  <c r="Q15" i="31"/>
  <c r="R15" i="31" s="1"/>
  <c r="U15" i="31"/>
  <c r="V15" i="31" s="1"/>
  <c r="W15" i="31"/>
  <c r="M16" i="31"/>
  <c r="O16" i="31"/>
  <c r="Q16" i="31"/>
  <c r="R16" i="31" s="1"/>
  <c r="U16" i="31"/>
  <c r="V16" i="31" s="1"/>
  <c r="W16" i="31"/>
  <c r="X16" i="31" s="1"/>
  <c r="M17" i="31"/>
  <c r="O17" i="31"/>
  <c r="P17" i="31" s="1"/>
  <c r="Q17" i="31"/>
  <c r="R17" i="31" s="1"/>
  <c r="U17" i="31"/>
  <c r="V17" i="31" s="1"/>
  <c r="W17" i="31"/>
  <c r="M18" i="31"/>
  <c r="O18" i="31"/>
  <c r="P18" i="31" s="1"/>
  <c r="Q18" i="31"/>
  <c r="R18" i="31" s="1"/>
  <c r="U18" i="31"/>
  <c r="V18" i="31" s="1"/>
  <c r="W18" i="31"/>
  <c r="Y18" i="31" s="1"/>
  <c r="Z18" i="31" s="1"/>
  <c r="W18" i="6"/>
  <c r="Y18" i="6" s="1"/>
  <c r="Z18" i="6" s="1"/>
  <c r="U18" i="6"/>
  <c r="V18" i="6" s="1"/>
  <c r="Q18" i="6"/>
  <c r="R18" i="6" s="1"/>
  <c r="O18" i="6"/>
  <c r="P18" i="6" s="1"/>
  <c r="M18" i="6"/>
  <c r="W17" i="6"/>
  <c r="Y17" i="6" s="1"/>
  <c r="Z17" i="6" s="1"/>
  <c r="U17" i="6"/>
  <c r="V17" i="6" s="1"/>
  <c r="Q17" i="6"/>
  <c r="R17" i="6" s="1"/>
  <c r="O17" i="6"/>
  <c r="P17" i="6" s="1"/>
  <c r="M17" i="6"/>
  <c r="N17" i="6" s="1"/>
  <c r="W16" i="6"/>
  <c r="Y16" i="6" s="1"/>
  <c r="Z16" i="6" s="1"/>
  <c r="U16" i="6"/>
  <c r="V16" i="6" s="1"/>
  <c r="Q16" i="6"/>
  <c r="R16" i="6" s="1"/>
  <c r="O16" i="6"/>
  <c r="P16" i="6" s="1"/>
  <c r="M16" i="6"/>
  <c r="W15" i="6"/>
  <c r="Y15" i="6" s="1"/>
  <c r="Z15" i="6" s="1"/>
  <c r="U15" i="6"/>
  <c r="V15" i="6" s="1"/>
  <c r="Q15" i="6"/>
  <c r="R15" i="6" s="1"/>
  <c r="O15" i="6"/>
  <c r="P15" i="6" s="1"/>
  <c r="M15" i="6"/>
  <c r="N15" i="6" s="1"/>
  <c r="W14" i="6"/>
  <c r="Y14" i="6" s="1"/>
  <c r="Z14" i="6" s="1"/>
  <c r="U14" i="6"/>
  <c r="V14" i="6" s="1"/>
  <c r="Q14" i="6"/>
  <c r="R14" i="6" s="1"/>
  <c r="O14" i="6"/>
  <c r="P14" i="6" s="1"/>
  <c r="M14" i="6"/>
  <c r="N14" i="6" s="1"/>
  <c r="W13" i="6"/>
  <c r="Y13" i="6" s="1"/>
  <c r="Z13" i="6" s="1"/>
  <c r="U13" i="6"/>
  <c r="V13" i="6" s="1"/>
  <c r="Q13" i="6"/>
  <c r="R13" i="6" s="1"/>
  <c r="O13" i="6"/>
  <c r="P13" i="6" s="1"/>
  <c r="M13" i="6"/>
  <c r="W12" i="6"/>
  <c r="Y12" i="6" s="1"/>
  <c r="Z12" i="6" s="1"/>
  <c r="U12" i="6"/>
  <c r="V12" i="6" s="1"/>
  <c r="Q12" i="6"/>
  <c r="R12" i="6" s="1"/>
  <c r="O12" i="6"/>
  <c r="P12" i="6" s="1"/>
  <c r="M12" i="6"/>
  <c r="W11" i="6"/>
  <c r="Y11" i="6" s="1"/>
  <c r="Z11" i="6" s="1"/>
  <c r="U11" i="6"/>
  <c r="V11" i="6" s="1"/>
  <c r="Q11" i="6"/>
  <c r="R11" i="6" s="1"/>
  <c r="O11" i="6"/>
  <c r="P11" i="6" s="1"/>
  <c r="M11" i="6"/>
  <c r="N11" i="6" s="1"/>
  <c r="W10" i="6"/>
  <c r="Y10" i="6" s="1"/>
  <c r="Z10" i="6" s="1"/>
  <c r="U10" i="6"/>
  <c r="V10" i="6" s="1"/>
  <c r="Q10" i="6"/>
  <c r="R10" i="6" s="1"/>
  <c r="O10" i="6"/>
  <c r="P10" i="6" s="1"/>
  <c r="M10" i="6"/>
  <c r="N10" i="6" s="1"/>
  <c r="W9" i="6"/>
  <c r="Y9" i="6" s="1"/>
  <c r="Z9" i="6" s="1"/>
  <c r="U9" i="6"/>
  <c r="V9" i="6" s="1"/>
  <c r="T9" i="6"/>
  <c r="Q9" i="6"/>
  <c r="R9" i="6" s="1"/>
  <c r="O9" i="6"/>
  <c r="P9" i="6" s="1"/>
  <c r="M9" i="6"/>
  <c r="N9" i="6" s="1"/>
  <c r="W8" i="6"/>
  <c r="Y8" i="6" s="1"/>
  <c r="Z8" i="6" s="1"/>
  <c r="U8" i="6"/>
  <c r="V8" i="6" s="1"/>
  <c r="Q8" i="6"/>
  <c r="R8" i="6" s="1"/>
  <c r="O8" i="6"/>
  <c r="P8" i="6" s="1"/>
  <c r="M8" i="6"/>
  <c r="W7" i="6"/>
  <c r="Y7" i="6" s="1"/>
  <c r="Z7" i="6" s="1"/>
  <c r="U7" i="6"/>
  <c r="V7" i="6" s="1"/>
  <c r="Q7" i="6"/>
  <c r="R7" i="6" s="1"/>
  <c r="O7" i="6"/>
  <c r="P7" i="6" s="1"/>
  <c r="M7" i="6"/>
  <c r="W99" i="27"/>
  <c r="Y99" i="27" s="1"/>
  <c r="Z99" i="27" s="1"/>
  <c r="W100" i="27"/>
  <c r="X100" i="27" s="1"/>
  <c r="W101" i="27"/>
  <c r="X101" i="27" s="1"/>
  <c r="W102" i="27"/>
  <c r="X102" i="27" s="1"/>
  <c r="W103" i="27"/>
  <c r="Y103" i="27" s="1"/>
  <c r="Z103" i="27" s="1"/>
  <c r="W104" i="27"/>
  <c r="X104" i="27" s="1"/>
  <c r="M99" i="27"/>
  <c r="O99" i="27"/>
  <c r="Q99" i="27"/>
  <c r="R99" i="27" s="1"/>
  <c r="M100" i="27"/>
  <c r="O100" i="27"/>
  <c r="P100" i="27"/>
  <c r="Q100" i="27"/>
  <c r="R100" i="27"/>
  <c r="M101" i="27"/>
  <c r="O101" i="27"/>
  <c r="P101" i="27" s="1"/>
  <c r="Q101" i="27"/>
  <c r="R101" i="27" s="1"/>
  <c r="M102" i="27"/>
  <c r="O102" i="27"/>
  <c r="P102" i="27"/>
  <c r="Q102" i="27"/>
  <c r="R102" i="27" s="1"/>
  <c r="M103" i="27"/>
  <c r="O103" i="27"/>
  <c r="Q103" i="27"/>
  <c r="R103" i="27" s="1"/>
  <c r="M104" i="27"/>
  <c r="O104" i="27"/>
  <c r="P104" i="27" s="1"/>
  <c r="Q104" i="27"/>
  <c r="R104" i="27"/>
  <c r="W71" i="27"/>
  <c r="W72" i="27"/>
  <c r="X72" i="27" s="1"/>
  <c r="W73" i="27"/>
  <c r="X73" i="27" s="1"/>
  <c r="W74" i="27"/>
  <c r="Y74" i="27" s="1"/>
  <c r="Z74" i="27" s="1"/>
  <c r="W75" i="27"/>
  <c r="Y75" i="27" s="1"/>
  <c r="Z75" i="27" s="1"/>
  <c r="X75" i="27"/>
  <c r="W76" i="27"/>
  <c r="M71" i="27"/>
  <c r="O71" i="27"/>
  <c r="P71" i="27" s="1"/>
  <c r="Q71" i="27"/>
  <c r="R71" i="27" s="1"/>
  <c r="M72" i="27"/>
  <c r="O72" i="27"/>
  <c r="P72" i="27" s="1"/>
  <c r="Q72" i="27"/>
  <c r="R72" i="27"/>
  <c r="M73" i="27"/>
  <c r="O73" i="27"/>
  <c r="Q73" i="27"/>
  <c r="R73" i="27"/>
  <c r="M74" i="27"/>
  <c r="O74" i="27"/>
  <c r="P74" i="27"/>
  <c r="Q74" i="27"/>
  <c r="R74" i="27" s="1"/>
  <c r="M75" i="27"/>
  <c r="O75" i="27"/>
  <c r="P75" i="27"/>
  <c r="Q75" i="27"/>
  <c r="R75" i="27" s="1"/>
  <c r="M76" i="27"/>
  <c r="O76" i="27"/>
  <c r="P76" i="27" s="1"/>
  <c r="Q76" i="27"/>
  <c r="R76" i="27" s="1"/>
  <c r="W42" i="27"/>
  <c r="Y42" i="27" s="1"/>
  <c r="Z42" i="27" s="1"/>
  <c r="X42" i="27"/>
  <c r="W43" i="27"/>
  <c r="X43" i="27" s="1"/>
  <c r="W44" i="27"/>
  <c r="X44" i="27"/>
  <c r="Y44" i="27"/>
  <c r="Z44" i="27" s="1"/>
  <c r="W46" i="27"/>
  <c r="X46" i="27" s="1"/>
  <c r="W47" i="27"/>
  <c r="X47" i="27" s="1"/>
  <c r="Y47" i="27"/>
  <c r="Z47" i="27" s="1"/>
  <c r="M42" i="27"/>
  <c r="O42" i="27"/>
  <c r="P42" i="27"/>
  <c r="Q42" i="27"/>
  <c r="R42" i="27" s="1"/>
  <c r="M43" i="27"/>
  <c r="O43" i="27"/>
  <c r="P43" i="27" s="1"/>
  <c r="Q43" i="27"/>
  <c r="R43" i="27" s="1"/>
  <c r="O44" i="27"/>
  <c r="P44" i="27"/>
  <c r="Q44" i="27"/>
  <c r="R44" i="27" s="1"/>
  <c r="M46" i="27"/>
  <c r="O46" i="27"/>
  <c r="N46" i="27" s="1"/>
  <c r="P46" i="27"/>
  <c r="Q46" i="27"/>
  <c r="R46" i="27" s="1"/>
  <c r="M47" i="27"/>
  <c r="O47" i="27"/>
  <c r="P47" i="27" s="1"/>
  <c r="Q47" i="27"/>
  <c r="R47" i="27" s="1"/>
  <c r="W13" i="27"/>
  <c r="X13" i="27" s="1"/>
  <c r="W14" i="27"/>
  <c r="X14" i="27"/>
  <c r="Y14" i="27"/>
  <c r="Z14" i="27"/>
  <c r="W15" i="27"/>
  <c r="X15" i="27" s="1"/>
  <c r="Y15" i="27"/>
  <c r="Z15" i="27" s="1"/>
  <c r="W16" i="27"/>
  <c r="X16" i="27"/>
  <c r="Y16" i="27"/>
  <c r="Z16" i="27" s="1"/>
  <c r="W17" i="27"/>
  <c r="W18" i="27"/>
  <c r="X18" i="27"/>
  <c r="Y18" i="27"/>
  <c r="Z18" i="27" s="1"/>
  <c r="M14" i="27"/>
  <c r="N14" i="27" s="1"/>
  <c r="O14" i="27"/>
  <c r="P14" i="27" s="1"/>
  <c r="Q14" i="27"/>
  <c r="R14" i="27" s="1"/>
  <c r="M15" i="27"/>
  <c r="O15" i="27"/>
  <c r="P15" i="27" s="1"/>
  <c r="Q15" i="27"/>
  <c r="R15" i="27" s="1"/>
  <c r="M16" i="27"/>
  <c r="O16" i="27"/>
  <c r="P16" i="27" s="1"/>
  <c r="Q16" i="27"/>
  <c r="R16" i="27"/>
  <c r="M17" i="27"/>
  <c r="O17" i="27"/>
  <c r="Q17" i="27"/>
  <c r="R17" i="27"/>
  <c r="M18" i="27"/>
  <c r="O18" i="27"/>
  <c r="P18" i="27" s="1"/>
  <c r="Q18" i="27"/>
  <c r="R18" i="27" s="1"/>
  <c r="W13" i="26"/>
  <c r="Y13" i="26" s="1"/>
  <c r="Z13" i="26" s="1"/>
  <c r="M13" i="26"/>
  <c r="O13" i="26"/>
  <c r="P13" i="26" s="1"/>
  <c r="Q13" i="26"/>
  <c r="R13" i="26" s="1"/>
  <c r="W103" i="25"/>
  <c r="X103" i="25" s="1"/>
  <c r="W104" i="25"/>
  <c r="Y104" i="25" s="1"/>
  <c r="Z104" i="25" s="1"/>
  <c r="X104" i="25"/>
  <c r="M15" i="25"/>
  <c r="O15" i="25"/>
  <c r="P15" i="25" s="1"/>
  <c r="Q15" i="25"/>
  <c r="R15" i="25" s="1"/>
  <c r="M16" i="25"/>
  <c r="O16" i="25"/>
  <c r="P16" i="25" s="1"/>
  <c r="Q16" i="25"/>
  <c r="R16" i="25" s="1"/>
  <c r="M17" i="25"/>
  <c r="O17" i="25"/>
  <c r="P17" i="25" s="1"/>
  <c r="Q17" i="25"/>
  <c r="R17" i="25" s="1"/>
  <c r="M18" i="25"/>
  <c r="O18" i="25"/>
  <c r="P18" i="25" s="1"/>
  <c r="Q18" i="25"/>
  <c r="R18" i="25" s="1"/>
  <c r="N16" i="31" l="1"/>
  <c r="N43" i="31"/>
  <c r="X101" i="31"/>
  <c r="Y101" i="31"/>
  <c r="Z101" i="31" s="1"/>
  <c r="N104" i="31"/>
  <c r="P104" i="31"/>
  <c r="X72" i="31"/>
  <c r="Y72" i="31"/>
  <c r="Z72" i="31" s="1"/>
  <c r="X75" i="31"/>
  <c r="Y75" i="31"/>
  <c r="Z75" i="31" s="1"/>
  <c r="X42" i="31"/>
  <c r="Y42" i="31"/>
  <c r="Z42" i="31" s="1"/>
  <c r="Y44" i="31"/>
  <c r="Z44" i="31" s="1"/>
  <c r="X44" i="31"/>
  <c r="Y47" i="31"/>
  <c r="Z47" i="31" s="1"/>
  <c r="X47" i="31"/>
  <c r="X15" i="31"/>
  <c r="Y15" i="31"/>
  <c r="Z15" i="31" s="1"/>
  <c r="Y17" i="31"/>
  <c r="Z17" i="31" s="1"/>
  <c r="X17" i="31"/>
  <c r="X76" i="27"/>
  <c r="Y76" i="27"/>
  <c r="Z76" i="27" s="1"/>
  <c r="N104" i="27"/>
  <c r="N103" i="27"/>
  <c r="N73" i="27"/>
  <c r="Y71" i="27"/>
  <c r="Z71" i="27" s="1"/>
  <c r="X71" i="27"/>
  <c r="N44" i="27"/>
  <c r="N42" i="27"/>
  <c r="Y17" i="27"/>
  <c r="Z17" i="27" s="1"/>
  <c r="X17" i="27"/>
  <c r="P17" i="27"/>
  <c r="N17" i="27"/>
  <c r="N16" i="27"/>
  <c r="N15" i="27"/>
  <c r="X13" i="26"/>
  <c r="Y103" i="25"/>
  <c r="Z103" i="25" s="1"/>
  <c r="N16" i="6"/>
  <c r="Y104" i="5"/>
  <c r="Z104" i="5" s="1"/>
  <c r="Y102" i="5"/>
  <c r="Z102" i="5" s="1"/>
  <c r="Y100" i="5"/>
  <c r="Z100" i="5" s="1"/>
  <c r="Y72" i="5"/>
  <c r="Z72" i="5" s="1"/>
  <c r="Y75" i="5"/>
  <c r="Z75" i="5" s="1"/>
  <c r="Y73" i="5"/>
  <c r="Z73" i="5" s="1"/>
  <c r="Y71" i="5"/>
  <c r="Z71" i="5" s="1"/>
  <c r="P75" i="5"/>
  <c r="P73" i="5"/>
  <c r="P71" i="5"/>
  <c r="Y46" i="5"/>
  <c r="Z46" i="5" s="1"/>
  <c r="Y40" i="5"/>
  <c r="Z40" i="5" s="1"/>
  <c r="Y42" i="5"/>
  <c r="Z42" i="5" s="1"/>
  <c r="Y47" i="5"/>
  <c r="Z47" i="5" s="1"/>
  <c r="Y45" i="5"/>
  <c r="Z45" i="5" s="1"/>
  <c r="Y43" i="5"/>
  <c r="Z43" i="5" s="1"/>
  <c r="Y41" i="5"/>
  <c r="Z41" i="5" s="1"/>
  <c r="Y39" i="5"/>
  <c r="Z39" i="5" s="1"/>
  <c r="P47" i="5"/>
  <c r="P45" i="5"/>
  <c r="P43" i="5"/>
  <c r="P41" i="5"/>
  <c r="X104" i="31"/>
  <c r="Y102" i="27"/>
  <c r="Z102" i="27" s="1"/>
  <c r="X103" i="27"/>
  <c r="Y73" i="27"/>
  <c r="Z73" i="27" s="1"/>
  <c r="N47" i="27"/>
  <c r="Y43" i="27"/>
  <c r="Z43" i="27" s="1"/>
  <c r="P73" i="27"/>
  <c r="X74" i="27"/>
  <c r="P103" i="27"/>
  <c r="N100" i="27"/>
  <c r="N99" i="27"/>
  <c r="P99" i="27"/>
  <c r="N15" i="31"/>
  <c r="Y43" i="31"/>
  <c r="Z43" i="31" s="1"/>
  <c r="N45" i="31"/>
  <c r="Y71" i="31"/>
  <c r="Z71" i="31" s="1"/>
  <c r="N71" i="31"/>
  <c r="N101" i="31"/>
  <c r="N100" i="31"/>
  <c r="N103" i="31"/>
  <c r="X102" i="31"/>
  <c r="N102" i="31"/>
  <c r="Y100" i="31"/>
  <c r="Z100" i="31" s="1"/>
  <c r="Y99" i="31"/>
  <c r="Z99" i="31" s="1"/>
  <c r="P102" i="31"/>
  <c r="N99" i="31"/>
  <c r="Y103" i="31"/>
  <c r="Z103" i="31" s="1"/>
  <c r="Y74" i="31"/>
  <c r="Z74" i="31" s="1"/>
  <c r="N72" i="31"/>
  <c r="N74" i="31"/>
  <c r="Y73" i="31"/>
  <c r="Z73" i="31" s="1"/>
  <c r="N47" i="31"/>
  <c r="X46" i="31"/>
  <c r="N17" i="31"/>
  <c r="Y104" i="27"/>
  <c r="Z104" i="27" s="1"/>
  <c r="N101" i="27"/>
  <c r="N102" i="27"/>
  <c r="Y101" i="27"/>
  <c r="Z101" i="27" s="1"/>
  <c r="X99" i="27"/>
  <c r="N72" i="27"/>
  <c r="N74" i="27"/>
  <c r="N71" i="27"/>
  <c r="N76" i="27"/>
  <c r="N75" i="27"/>
  <c r="Y46" i="27"/>
  <c r="Z46" i="27" s="1"/>
  <c r="N43" i="27"/>
  <c r="N18" i="27"/>
  <c r="Y13" i="27"/>
  <c r="Z13" i="27" s="1"/>
  <c r="N13" i="26"/>
  <c r="N16" i="25"/>
  <c r="N18" i="25"/>
  <c r="N17" i="25"/>
  <c r="N7" i="6"/>
  <c r="N12" i="6"/>
  <c r="N8" i="6"/>
  <c r="N13" i="6"/>
  <c r="N18" i="6"/>
  <c r="P103" i="31"/>
  <c r="P101" i="31"/>
  <c r="P99" i="31"/>
  <c r="N73" i="31"/>
  <c r="N76" i="31"/>
  <c r="Y45" i="31"/>
  <c r="Z45" i="31" s="1"/>
  <c r="P43" i="31"/>
  <c r="Y76" i="31"/>
  <c r="Z76" i="31" s="1"/>
  <c r="N75" i="31"/>
  <c r="N44" i="31"/>
  <c r="N46" i="31"/>
  <c r="N42" i="31"/>
  <c r="N18" i="31"/>
  <c r="P16" i="31"/>
  <c r="P15" i="31"/>
  <c r="Y16" i="31"/>
  <c r="Z16" i="31" s="1"/>
  <c r="X18" i="31"/>
  <c r="X7" i="6"/>
  <c r="X9" i="6"/>
  <c r="X11" i="6"/>
  <c r="X13" i="6"/>
  <c r="X15" i="6"/>
  <c r="X17" i="6"/>
  <c r="X8" i="6"/>
  <c r="X10" i="6"/>
  <c r="X12" i="6"/>
  <c r="X14" i="6"/>
  <c r="X16" i="6"/>
  <c r="X18" i="6"/>
  <c r="Y100" i="27"/>
  <c r="Z100" i="27" s="1"/>
  <c r="Y72" i="27"/>
  <c r="Z72" i="27" s="1"/>
  <c r="N15" i="25"/>
  <c r="W15" i="23"/>
  <c r="X15" i="23" s="1"/>
  <c r="W16" i="23"/>
  <c r="X16" i="23" s="1"/>
  <c r="W17" i="23"/>
  <c r="Y17" i="23" s="1"/>
  <c r="Z17" i="23" s="1"/>
  <c r="X17" i="23"/>
  <c r="W18" i="23"/>
  <c r="X18" i="23" s="1"/>
  <c r="M15" i="23"/>
  <c r="O15" i="23"/>
  <c r="Q15" i="23"/>
  <c r="R15" i="23" s="1"/>
  <c r="M16" i="23"/>
  <c r="O16" i="23"/>
  <c r="Q16" i="23"/>
  <c r="R16" i="23" s="1"/>
  <c r="M17" i="23"/>
  <c r="O17" i="23"/>
  <c r="P17" i="23" s="1"/>
  <c r="Q17" i="23"/>
  <c r="R17" i="23" s="1"/>
  <c r="M18" i="23"/>
  <c r="O18" i="23"/>
  <c r="Q18" i="23"/>
  <c r="R18" i="23" s="1"/>
  <c r="M15" i="21"/>
  <c r="O15" i="21"/>
  <c r="W100" i="20"/>
  <c r="X100" i="20" s="1"/>
  <c r="W101" i="20"/>
  <c r="X101" i="20" s="1"/>
  <c r="W102" i="20"/>
  <c r="Y102" i="20" s="1"/>
  <c r="Z102" i="20" s="1"/>
  <c r="W103" i="20"/>
  <c r="X103" i="20" s="1"/>
  <c r="Y103" i="20"/>
  <c r="Z103" i="20" s="1"/>
  <c r="W104" i="20"/>
  <c r="Y104" i="20" s="1"/>
  <c r="Z104" i="20" s="1"/>
  <c r="X104" i="20"/>
  <c r="O100" i="20"/>
  <c r="P100" i="20" s="1"/>
  <c r="Q100" i="20"/>
  <c r="R100" i="20" s="1"/>
  <c r="O101" i="20"/>
  <c r="N101" i="20" s="1"/>
  <c r="P101" i="20"/>
  <c r="Q101" i="20"/>
  <c r="R101" i="20" s="1"/>
  <c r="O102" i="20"/>
  <c r="N102" i="20" s="1"/>
  <c r="P102" i="20"/>
  <c r="Q102" i="20"/>
  <c r="R102" i="20"/>
  <c r="O103" i="20"/>
  <c r="N103" i="20" s="1"/>
  <c r="Q103" i="20"/>
  <c r="R103" i="20"/>
  <c r="O104" i="20"/>
  <c r="N104" i="20" s="1"/>
  <c r="P104" i="20"/>
  <c r="Q104" i="20"/>
  <c r="R104" i="20" s="1"/>
  <c r="W71" i="20"/>
  <c r="X71" i="20" s="1"/>
  <c r="W72" i="20"/>
  <c r="X72" i="20"/>
  <c r="Y72" i="20"/>
  <c r="Z72" i="20"/>
  <c r="W73" i="20"/>
  <c r="Y73" i="20" s="1"/>
  <c r="Z73" i="20" s="1"/>
  <c r="X73" i="20"/>
  <c r="W74" i="20"/>
  <c r="X74" i="20" s="1"/>
  <c r="W75" i="20"/>
  <c r="X75" i="20"/>
  <c r="Y75" i="20"/>
  <c r="Z75" i="20" s="1"/>
  <c r="W76" i="20"/>
  <c r="X76" i="20" s="1"/>
  <c r="M71" i="20"/>
  <c r="O71" i="20"/>
  <c r="P71" i="20"/>
  <c r="Q71" i="20"/>
  <c r="R71" i="20" s="1"/>
  <c r="M72" i="20"/>
  <c r="O72" i="20"/>
  <c r="P72" i="20" s="1"/>
  <c r="Q72" i="20"/>
  <c r="R72" i="20" s="1"/>
  <c r="M73" i="20"/>
  <c r="O73" i="20"/>
  <c r="P73" i="20"/>
  <c r="Q73" i="20"/>
  <c r="R73" i="20"/>
  <c r="M74" i="20"/>
  <c r="O74" i="20"/>
  <c r="P74" i="20"/>
  <c r="Q74" i="20"/>
  <c r="R74" i="20"/>
  <c r="M75" i="20"/>
  <c r="O75" i="20"/>
  <c r="P75" i="20" s="1"/>
  <c r="Q75" i="20"/>
  <c r="R75" i="20" s="1"/>
  <c r="M76" i="20"/>
  <c r="O76" i="20"/>
  <c r="Q76" i="20"/>
  <c r="R76" i="20" s="1"/>
  <c r="W42" i="20"/>
  <c r="X42" i="20" s="1"/>
  <c r="W43" i="20"/>
  <c r="X43" i="20" s="1"/>
  <c r="W44" i="20"/>
  <c r="Y44" i="20" s="1"/>
  <c r="Z44" i="20" s="1"/>
  <c r="X44" i="20"/>
  <c r="W45" i="20"/>
  <c r="Y45" i="20" s="1"/>
  <c r="Z45" i="20" s="1"/>
  <c r="X45" i="20"/>
  <c r="W46" i="20"/>
  <c r="X46" i="20" s="1"/>
  <c r="Y46" i="20"/>
  <c r="Z46" i="20" s="1"/>
  <c r="W47" i="20"/>
  <c r="X47" i="20" s="1"/>
  <c r="M42" i="20"/>
  <c r="O42" i="20"/>
  <c r="Q42" i="20"/>
  <c r="R42" i="20"/>
  <c r="M43" i="20"/>
  <c r="O43" i="20"/>
  <c r="P43" i="20" s="1"/>
  <c r="Q43" i="20"/>
  <c r="R43" i="20" s="1"/>
  <c r="M44" i="20"/>
  <c r="O44" i="20"/>
  <c r="P44" i="20" s="1"/>
  <c r="Q44" i="20"/>
  <c r="R44" i="20" s="1"/>
  <c r="M45" i="20"/>
  <c r="O45" i="20"/>
  <c r="Q45" i="20"/>
  <c r="R45" i="20" s="1"/>
  <c r="M46" i="20"/>
  <c r="O46" i="20"/>
  <c r="P46" i="20" s="1"/>
  <c r="Q46" i="20"/>
  <c r="R46" i="20" s="1"/>
  <c r="M47" i="20"/>
  <c r="O47" i="20"/>
  <c r="P47" i="20" s="1"/>
  <c r="Q47" i="20"/>
  <c r="R47" i="20" s="1"/>
  <c r="W15" i="20"/>
  <c r="X15" i="20" s="1"/>
  <c r="Y15" i="20"/>
  <c r="Z15" i="20"/>
  <c r="W16" i="20"/>
  <c r="X16" i="20" s="1"/>
  <c r="W17" i="20"/>
  <c r="X17" i="20" s="1"/>
  <c r="W18" i="20"/>
  <c r="X18" i="20" s="1"/>
  <c r="M15" i="20"/>
  <c r="O15" i="20"/>
  <c r="P15" i="20"/>
  <c r="Q15" i="20"/>
  <c r="R15" i="20" s="1"/>
  <c r="M16" i="20"/>
  <c r="O16" i="20"/>
  <c r="N16" i="20" s="1"/>
  <c r="Q16" i="20"/>
  <c r="R16" i="20"/>
  <c r="M17" i="20"/>
  <c r="O17" i="20"/>
  <c r="N17" i="20" s="1"/>
  <c r="Q17" i="20"/>
  <c r="R17" i="20"/>
  <c r="M18" i="20"/>
  <c r="O18" i="20"/>
  <c r="P18" i="20" s="1"/>
  <c r="Q18" i="20"/>
  <c r="R18" i="20" s="1"/>
  <c r="M65" i="18"/>
  <c r="O65" i="18"/>
  <c r="P65" i="18" s="1"/>
  <c r="Q65" i="18"/>
  <c r="R65" i="18" s="1"/>
  <c r="T65" i="18"/>
  <c r="U65" i="18"/>
  <c r="V65" i="18" s="1"/>
  <c r="W65" i="18"/>
  <c r="W101" i="17"/>
  <c r="X101" i="17" s="1"/>
  <c r="W102" i="17"/>
  <c r="X102" i="17"/>
  <c r="Y102" i="17"/>
  <c r="Z102" i="17" s="1"/>
  <c r="W103" i="17"/>
  <c r="Y103" i="17" s="1"/>
  <c r="Z103" i="17" s="1"/>
  <c r="W104" i="17"/>
  <c r="Y104" i="17" s="1"/>
  <c r="Z104" i="17" s="1"/>
  <c r="M101" i="17"/>
  <c r="O101" i="17"/>
  <c r="P101" i="17" s="1"/>
  <c r="Q101" i="17"/>
  <c r="R101" i="17" s="1"/>
  <c r="M102" i="17"/>
  <c r="O102" i="17"/>
  <c r="P102" i="17"/>
  <c r="Q102" i="17"/>
  <c r="R102" i="17" s="1"/>
  <c r="M103" i="17"/>
  <c r="O103" i="17"/>
  <c r="P103" i="17" s="1"/>
  <c r="Q103" i="17"/>
  <c r="R103" i="17" s="1"/>
  <c r="M104" i="17"/>
  <c r="O104" i="17"/>
  <c r="P104" i="17" s="1"/>
  <c r="Q104" i="17"/>
  <c r="R104" i="17"/>
  <c r="W71" i="17"/>
  <c r="X71" i="17" s="1"/>
  <c r="Y71" i="17"/>
  <c r="Z71" i="17"/>
  <c r="W72" i="17"/>
  <c r="X72" i="17" s="1"/>
  <c r="W73" i="17"/>
  <c r="Y73" i="17" s="1"/>
  <c r="Z73" i="17" s="1"/>
  <c r="X73" i="17"/>
  <c r="W74" i="17"/>
  <c r="X74" i="17" s="1"/>
  <c r="Y74" i="17"/>
  <c r="Z74" i="17" s="1"/>
  <c r="W75" i="17"/>
  <c r="X75" i="17" s="1"/>
  <c r="W76" i="17"/>
  <c r="Y76" i="17" s="1"/>
  <c r="Z76" i="17" s="1"/>
  <c r="X76" i="17"/>
  <c r="M71" i="17"/>
  <c r="O71" i="17"/>
  <c r="N71" i="17" s="1"/>
  <c r="Q71" i="17"/>
  <c r="R71" i="17"/>
  <c r="M72" i="17"/>
  <c r="O72" i="17"/>
  <c r="N72" i="17" s="1"/>
  <c r="P72" i="17"/>
  <c r="Q72" i="17"/>
  <c r="R72" i="17"/>
  <c r="M73" i="17"/>
  <c r="O73" i="17"/>
  <c r="N73" i="17" s="1"/>
  <c r="Q73" i="17"/>
  <c r="R73" i="17" s="1"/>
  <c r="M74" i="17"/>
  <c r="O74" i="17"/>
  <c r="P74" i="17" s="1"/>
  <c r="Q74" i="17"/>
  <c r="R74" i="17" s="1"/>
  <c r="M75" i="17"/>
  <c r="O75" i="17"/>
  <c r="N75" i="17" s="1"/>
  <c r="Q75" i="17"/>
  <c r="R75" i="17"/>
  <c r="M76" i="17"/>
  <c r="O76" i="17"/>
  <c r="N76" i="17" s="1"/>
  <c r="Q76" i="17"/>
  <c r="R76" i="17" s="1"/>
  <c r="V42" i="17"/>
  <c r="W42" i="17"/>
  <c r="X42" i="17" s="1"/>
  <c r="V43" i="17"/>
  <c r="W43" i="17"/>
  <c r="X43" i="17"/>
  <c r="Y43" i="17"/>
  <c r="Z43" i="17"/>
  <c r="V44" i="17"/>
  <c r="W44" i="17"/>
  <c r="V45" i="17"/>
  <c r="W45" i="17"/>
  <c r="X45" i="17" s="1"/>
  <c r="V46" i="17"/>
  <c r="W46" i="17"/>
  <c r="X46" i="17"/>
  <c r="Y46" i="17"/>
  <c r="Z46" i="17"/>
  <c r="V47" i="17"/>
  <c r="W47" i="17"/>
  <c r="Y47" i="17" s="1"/>
  <c r="Z47" i="17" s="1"/>
  <c r="X47" i="17"/>
  <c r="M42" i="17"/>
  <c r="O42" i="17"/>
  <c r="P42" i="17"/>
  <c r="Q42" i="17"/>
  <c r="R42" i="17" s="1"/>
  <c r="M43" i="17"/>
  <c r="O43" i="17"/>
  <c r="Q43" i="17"/>
  <c r="R43" i="17" s="1"/>
  <c r="M44" i="17"/>
  <c r="O44" i="17"/>
  <c r="N44" i="17" s="1"/>
  <c r="Q44" i="17"/>
  <c r="R44" i="17" s="1"/>
  <c r="M45" i="17"/>
  <c r="O45" i="17"/>
  <c r="P45" i="17"/>
  <c r="Q45" i="17"/>
  <c r="R45" i="17"/>
  <c r="M46" i="17"/>
  <c r="O46" i="17"/>
  <c r="N46" i="17" s="1"/>
  <c r="Q46" i="17"/>
  <c r="R46" i="17" s="1"/>
  <c r="M47" i="17"/>
  <c r="O47" i="17"/>
  <c r="N47" i="17" s="1"/>
  <c r="P47" i="17"/>
  <c r="Q47" i="17"/>
  <c r="R47" i="17" s="1"/>
  <c r="W12" i="17"/>
  <c r="X12" i="17" s="1"/>
  <c r="Y12" i="17"/>
  <c r="Z12" i="17" s="1"/>
  <c r="W13" i="17"/>
  <c r="X13" i="17" s="1"/>
  <c r="Y13" i="17"/>
  <c r="Z13" i="17" s="1"/>
  <c r="W14" i="17"/>
  <c r="Y14" i="17" s="1"/>
  <c r="Z14" i="17" s="1"/>
  <c r="X14" i="17"/>
  <c r="W15" i="17"/>
  <c r="X15" i="17" s="1"/>
  <c r="Y15" i="17"/>
  <c r="Z15" i="17" s="1"/>
  <c r="W16" i="17"/>
  <c r="Y16" i="17" s="1"/>
  <c r="Z16" i="17" s="1"/>
  <c r="X16" i="17"/>
  <c r="W17" i="17"/>
  <c r="X17" i="17" s="1"/>
  <c r="W18" i="17"/>
  <c r="X18" i="17" s="1"/>
  <c r="Y18" i="17"/>
  <c r="Z18" i="17"/>
  <c r="M12" i="17"/>
  <c r="O12" i="17"/>
  <c r="P12" i="17" s="1"/>
  <c r="Q12" i="17"/>
  <c r="R12" i="17"/>
  <c r="M13" i="17"/>
  <c r="O13" i="17"/>
  <c r="P13" i="17"/>
  <c r="Q13" i="17"/>
  <c r="R13" i="17" s="1"/>
  <c r="M14" i="17"/>
  <c r="O14" i="17"/>
  <c r="N14" i="17" s="1"/>
  <c r="Q14" i="17"/>
  <c r="R14" i="17"/>
  <c r="M15" i="17"/>
  <c r="O15" i="17"/>
  <c r="N15" i="17" s="1"/>
  <c r="Q15" i="17"/>
  <c r="R15" i="17" s="1"/>
  <c r="M16" i="17"/>
  <c r="O16" i="17"/>
  <c r="Q16" i="17"/>
  <c r="R16" i="17" s="1"/>
  <c r="M17" i="17"/>
  <c r="O17" i="17"/>
  <c r="P17" i="17" s="1"/>
  <c r="Q17" i="17"/>
  <c r="R17" i="17"/>
  <c r="M18" i="17"/>
  <c r="O18" i="17"/>
  <c r="P18" i="17" s="1"/>
  <c r="Q18" i="17"/>
  <c r="R18" i="17"/>
  <c r="M14" i="15"/>
  <c r="O14" i="15"/>
  <c r="M15" i="15"/>
  <c r="O15" i="15"/>
  <c r="P15" i="15" s="1"/>
  <c r="M16" i="15"/>
  <c r="O16" i="15"/>
  <c r="P16" i="15" s="1"/>
  <c r="M17" i="15"/>
  <c r="O17" i="15"/>
  <c r="P17" i="15" s="1"/>
  <c r="M18" i="15"/>
  <c r="O18" i="15"/>
  <c r="P18" i="15" s="1"/>
  <c r="L56" i="16"/>
  <c r="W99" i="14"/>
  <c r="X99" i="14" s="1"/>
  <c r="Y99" i="14"/>
  <c r="Z99" i="14" s="1"/>
  <c r="W100" i="14"/>
  <c r="Y100" i="14" s="1"/>
  <c r="Z100" i="14" s="1"/>
  <c r="X100" i="14"/>
  <c r="W101" i="14"/>
  <c r="X101" i="14"/>
  <c r="Y101" i="14"/>
  <c r="Z101" i="14" s="1"/>
  <c r="W102" i="14"/>
  <c r="X102" i="14" s="1"/>
  <c r="W103" i="14"/>
  <c r="Y103" i="14" s="1"/>
  <c r="Z103" i="14" s="1"/>
  <c r="X103" i="14"/>
  <c r="W104" i="14"/>
  <c r="X104" i="14"/>
  <c r="Y104" i="14"/>
  <c r="Z104" i="14"/>
  <c r="M99" i="14"/>
  <c r="O99" i="14"/>
  <c r="N99" i="14" s="1"/>
  <c r="P99" i="14"/>
  <c r="Q99" i="14"/>
  <c r="R99" i="14" s="1"/>
  <c r="M100" i="14"/>
  <c r="O100" i="14"/>
  <c r="P100" i="14" s="1"/>
  <c r="Q100" i="14"/>
  <c r="R100" i="14" s="1"/>
  <c r="M101" i="14"/>
  <c r="O101" i="14"/>
  <c r="N101" i="14" s="1"/>
  <c r="P101" i="14"/>
  <c r="Q101" i="14"/>
  <c r="R101" i="14"/>
  <c r="M102" i="14"/>
  <c r="O102" i="14"/>
  <c r="N102" i="14" s="1"/>
  <c r="Q102" i="14"/>
  <c r="R102" i="14"/>
  <c r="M103" i="14"/>
  <c r="N103" i="14" s="1"/>
  <c r="O103" i="14"/>
  <c r="P103" i="14"/>
  <c r="Q103" i="14"/>
  <c r="R103" i="14"/>
  <c r="M104" i="14"/>
  <c r="O104" i="14"/>
  <c r="P104" i="14" s="1"/>
  <c r="Q104" i="14"/>
  <c r="R104" i="14"/>
  <c r="W71" i="14"/>
  <c r="Y71" i="14" s="1"/>
  <c r="Z71" i="14" s="1"/>
  <c r="X71" i="14"/>
  <c r="W72" i="14"/>
  <c r="Y72" i="14" s="1"/>
  <c r="Z72" i="14" s="1"/>
  <c r="W73" i="14"/>
  <c r="X73" i="14"/>
  <c r="Y73" i="14"/>
  <c r="Z73" i="14" s="1"/>
  <c r="W74" i="14"/>
  <c r="X74" i="14" s="1"/>
  <c r="W75" i="14"/>
  <c r="Y75" i="14" s="1"/>
  <c r="Z75" i="14" s="1"/>
  <c r="X75" i="14"/>
  <c r="W76" i="14"/>
  <c r="X76" i="14"/>
  <c r="Y76" i="14"/>
  <c r="Z76" i="14"/>
  <c r="M71" i="14"/>
  <c r="O71" i="14"/>
  <c r="P71" i="14" s="1"/>
  <c r="Q71" i="14"/>
  <c r="R71" i="14" s="1"/>
  <c r="M72" i="14"/>
  <c r="O72" i="14"/>
  <c r="N72" i="14" s="1"/>
  <c r="P72" i="14"/>
  <c r="Q72" i="14"/>
  <c r="R72" i="14" s="1"/>
  <c r="M73" i="14"/>
  <c r="O73" i="14"/>
  <c r="N73" i="14" s="1"/>
  <c r="Q73" i="14"/>
  <c r="R73" i="14"/>
  <c r="M74" i="14"/>
  <c r="O74" i="14"/>
  <c r="P74" i="14" s="1"/>
  <c r="Q74" i="14"/>
  <c r="R74" i="14"/>
  <c r="M75" i="14"/>
  <c r="O75" i="14"/>
  <c r="P75" i="14" s="1"/>
  <c r="Q75" i="14"/>
  <c r="R75" i="14" s="1"/>
  <c r="M76" i="14"/>
  <c r="O76" i="14"/>
  <c r="P76" i="14"/>
  <c r="Q76" i="14"/>
  <c r="R76" i="14"/>
  <c r="W42" i="14"/>
  <c r="X42" i="14" s="1"/>
  <c r="W43" i="14"/>
  <c r="X43" i="14" s="1"/>
  <c r="Y43" i="14"/>
  <c r="Z43" i="14" s="1"/>
  <c r="W44" i="14"/>
  <c r="X44" i="14"/>
  <c r="Y44" i="14"/>
  <c r="Z44" i="14" s="1"/>
  <c r="W45" i="14"/>
  <c r="X45" i="14" s="1"/>
  <c r="W46" i="14"/>
  <c r="X46" i="14" s="1"/>
  <c r="W47" i="14"/>
  <c r="Y47" i="14" s="1"/>
  <c r="Z47" i="14" s="1"/>
  <c r="M42" i="14"/>
  <c r="O42" i="14"/>
  <c r="N42" i="14" s="1"/>
  <c r="P42" i="14"/>
  <c r="Q42" i="14"/>
  <c r="R42" i="14"/>
  <c r="M43" i="14"/>
  <c r="O43" i="14"/>
  <c r="N43" i="14" s="1"/>
  <c r="Q43" i="14"/>
  <c r="R43" i="14" s="1"/>
  <c r="M44" i="14"/>
  <c r="O44" i="14"/>
  <c r="N44" i="14" s="1"/>
  <c r="P44" i="14"/>
  <c r="Q44" i="14"/>
  <c r="R44" i="14" s="1"/>
  <c r="M45" i="14"/>
  <c r="O45" i="14"/>
  <c r="P45" i="14" s="1"/>
  <c r="Q45" i="14"/>
  <c r="R45" i="14"/>
  <c r="M46" i="14"/>
  <c r="O46" i="14"/>
  <c r="P46" i="14"/>
  <c r="Q46" i="14"/>
  <c r="R46" i="14" s="1"/>
  <c r="M47" i="14"/>
  <c r="O47" i="14"/>
  <c r="N47" i="14" s="1"/>
  <c r="Q47" i="14"/>
  <c r="R47" i="14" s="1"/>
  <c r="W13" i="14"/>
  <c r="X13" i="14" s="1"/>
  <c r="Y13" i="14"/>
  <c r="Z13" i="14" s="1"/>
  <c r="W14" i="14"/>
  <c r="X14" i="14" s="1"/>
  <c r="Y14" i="14"/>
  <c r="Z14" i="14" s="1"/>
  <c r="W15" i="14"/>
  <c r="X15" i="14" s="1"/>
  <c r="W16" i="14"/>
  <c r="X16" i="14"/>
  <c r="Y16" i="14"/>
  <c r="Z16" i="14" s="1"/>
  <c r="W17" i="14"/>
  <c r="X17" i="14" s="1"/>
  <c r="W18" i="14"/>
  <c r="X18" i="14"/>
  <c r="Y18" i="14"/>
  <c r="Z18" i="14" s="1"/>
  <c r="M15" i="14"/>
  <c r="O15" i="14"/>
  <c r="P15" i="14" s="1"/>
  <c r="Q15" i="14"/>
  <c r="R15" i="14" s="1"/>
  <c r="M16" i="14"/>
  <c r="O16" i="14"/>
  <c r="P16" i="14"/>
  <c r="Q16" i="14"/>
  <c r="R16" i="14"/>
  <c r="M17" i="14"/>
  <c r="O17" i="14"/>
  <c r="Q17" i="14"/>
  <c r="R17" i="14"/>
  <c r="M18" i="14"/>
  <c r="O18" i="14"/>
  <c r="Q18" i="14"/>
  <c r="R18" i="14" s="1"/>
  <c r="M65" i="12"/>
  <c r="O65" i="12"/>
  <c r="P65" i="12" s="1"/>
  <c r="Q65" i="12"/>
  <c r="R65" i="12" s="1"/>
  <c r="T101" i="10"/>
  <c r="U101" i="10"/>
  <c r="V101" i="10" s="1"/>
  <c r="W101" i="10"/>
  <c r="Y101" i="10" s="1"/>
  <c r="Z101" i="10" s="1"/>
  <c r="T102" i="10"/>
  <c r="U102" i="10"/>
  <c r="V102" i="10" s="1"/>
  <c r="W102" i="10"/>
  <c r="Y102" i="10" s="1"/>
  <c r="Z102" i="10" s="1"/>
  <c r="T103" i="10"/>
  <c r="U103" i="10"/>
  <c r="V103" i="10"/>
  <c r="W103" i="10"/>
  <c r="Y103" i="10" s="1"/>
  <c r="Z103" i="10" s="1"/>
  <c r="T104" i="10"/>
  <c r="U104" i="10"/>
  <c r="V104" i="10" s="1"/>
  <c r="W104" i="10"/>
  <c r="T99" i="10"/>
  <c r="U99" i="10"/>
  <c r="V99" i="10" s="1"/>
  <c r="W99" i="10"/>
  <c r="X99" i="10"/>
  <c r="Y99" i="10"/>
  <c r="Z99" i="10" s="1"/>
  <c r="T100" i="10"/>
  <c r="U100" i="10"/>
  <c r="V100" i="10" s="1"/>
  <c r="W100" i="10"/>
  <c r="X100" i="10" s="1"/>
  <c r="M99" i="10"/>
  <c r="O99" i="10"/>
  <c r="P99" i="10"/>
  <c r="Q99" i="10"/>
  <c r="R99" i="10" s="1"/>
  <c r="M100" i="10"/>
  <c r="N100" i="10" s="1"/>
  <c r="O100" i="10"/>
  <c r="P100" i="10" s="1"/>
  <c r="Q100" i="10"/>
  <c r="R100" i="10"/>
  <c r="M101" i="10"/>
  <c r="O101" i="10"/>
  <c r="P101" i="10" s="1"/>
  <c r="Q101" i="10"/>
  <c r="R101" i="10" s="1"/>
  <c r="M102" i="10"/>
  <c r="O102" i="10"/>
  <c r="P102" i="10" s="1"/>
  <c r="Q102" i="10"/>
  <c r="R102" i="10"/>
  <c r="M103" i="10"/>
  <c r="O103" i="10"/>
  <c r="P103" i="10"/>
  <c r="Q103" i="10"/>
  <c r="R103" i="10" s="1"/>
  <c r="M104" i="10"/>
  <c r="O104" i="10"/>
  <c r="P104" i="10"/>
  <c r="Q104" i="10"/>
  <c r="R104" i="10"/>
  <c r="W71" i="10"/>
  <c r="Y71" i="10" s="1"/>
  <c r="Z71" i="10" s="1"/>
  <c r="X71" i="10"/>
  <c r="W72" i="10"/>
  <c r="X72" i="10" s="1"/>
  <c r="W73" i="10"/>
  <c r="Y73" i="10" s="1"/>
  <c r="Z73" i="10" s="1"/>
  <c r="X73" i="10"/>
  <c r="W74" i="10"/>
  <c r="X74" i="10" s="1"/>
  <c r="Y74" i="10"/>
  <c r="Z74" i="10"/>
  <c r="W75" i="10"/>
  <c r="X75" i="10" s="1"/>
  <c r="W76" i="10"/>
  <c r="X76" i="10" s="1"/>
  <c r="Y76" i="10"/>
  <c r="Z76" i="10"/>
  <c r="M71" i="10"/>
  <c r="O71" i="10"/>
  <c r="N71" i="10" s="1"/>
  <c r="Q71" i="10"/>
  <c r="R71" i="10"/>
  <c r="M72" i="10"/>
  <c r="O72" i="10"/>
  <c r="N72" i="10" s="1"/>
  <c r="Q72" i="10"/>
  <c r="R72" i="10"/>
  <c r="M73" i="10"/>
  <c r="O73" i="10"/>
  <c r="P73" i="10" s="1"/>
  <c r="Q73" i="10"/>
  <c r="R73" i="10"/>
  <c r="M74" i="10"/>
  <c r="O74" i="10"/>
  <c r="N74" i="10" s="1"/>
  <c r="P74" i="10"/>
  <c r="Q74" i="10"/>
  <c r="R74" i="10" s="1"/>
  <c r="M75" i="10"/>
  <c r="O75" i="10"/>
  <c r="N75" i="10" s="1"/>
  <c r="Q75" i="10"/>
  <c r="R75" i="10" s="1"/>
  <c r="M76" i="10"/>
  <c r="O76" i="10"/>
  <c r="N76" i="10" s="1"/>
  <c r="Q76" i="10"/>
  <c r="R76" i="10" s="1"/>
  <c r="W42" i="10"/>
  <c r="X42" i="10" s="1"/>
  <c r="W43" i="10"/>
  <c r="X43" i="10" s="1"/>
  <c r="W44" i="10"/>
  <c r="X44" i="10" s="1"/>
  <c r="Y44" i="10"/>
  <c r="Z44" i="10" s="1"/>
  <c r="W45" i="10"/>
  <c r="X45" i="10" s="1"/>
  <c r="W46" i="10"/>
  <c r="Y46" i="10" s="1"/>
  <c r="Z46" i="10" s="1"/>
  <c r="W47" i="10"/>
  <c r="Y47" i="10" s="1"/>
  <c r="Z47" i="10" s="1"/>
  <c r="M42" i="10"/>
  <c r="O42" i="10"/>
  <c r="N42" i="10" s="1"/>
  <c r="Q42" i="10"/>
  <c r="R42" i="10"/>
  <c r="M43" i="10"/>
  <c r="O43" i="10"/>
  <c r="N43" i="10" s="1"/>
  <c r="Q43" i="10"/>
  <c r="R43" i="10" s="1"/>
  <c r="M44" i="10"/>
  <c r="O44" i="10"/>
  <c r="Q44" i="10"/>
  <c r="R44" i="10" s="1"/>
  <c r="M45" i="10"/>
  <c r="O45" i="10"/>
  <c r="P45" i="10" s="1"/>
  <c r="Q45" i="10"/>
  <c r="R45" i="10"/>
  <c r="M46" i="10"/>
  <c r="O46" i="10"/>
  <c r="P46" i="10" s="1"/>
  <c r="Q46" i="10"/>
  <c r="R46" i="10"/>
  <c r="M47" i="10"/>
  <c r="O47" i="10"/>
  <c r="P47" i="10"/>
  <c r="Q47" i="10"/>
  <c r="R47" i="10"/>
  <c r="U15" i="10"/>
  <c r="V15" i="10" s="1"/>
  <c r="W15" i="10"/>
  <c r="X15" i="10" s="1"/>
  <c r="U16" i="10"/>
  <c r="V16" i="10" s="1"/>
  <c r="W16" i="10"/>
  <c r="X16" i="10" s="1"/>
  <c r="U17" i="10"/>
  <c r="V17" i="10" s="1"/>
  <c r="W17" i="10"/>
  <c r="X17" i="10" s="1"/>
  <c r="U18" i="10"/>
  <c r="V18" i="10" s="1"/>
  <c r="W18" i="10"/>
  <c r="X18" i="10" s="1"/>
  <c r="U14" i="10"/>
  <c r="V14" i="10" s="1"/>
  <c r="W14" i="10"/>
  <c r="X14" i="10" s="1"/>
  <c r="M15" i="10"/>
  <c r="O15" i="10"/>
  <c r="P15" i="10" s="1"/>
  <c r="Q15" i="10"/>
  <c r="R15" i="10" s="1"/>
  <c r="M16" i="10"/>
  <c r="O16" i="10"/>
  <c r="N16" i="10" s="1"/>
  <c r="P16" i="10"/>
  <c r="Q16" i="10"/>
  <c r="R16" i="10" s="1"/>
  <c r="M17" i="10"/>
  <c r="O17" i="10"/>
  <c r="N17" i="10" s="1"/>
  <c r="Q17" i="10"/>
  <c r="R17" i="10" s="1"/>
  <c r="M18" i="10"/>
  <c r="O18" i="10"/>
  <c r="N18" i="10" s="1"/>
  <c r="Q18" i="10"/>
  <c r="R18" i="10"/>
  <c r="W99" i="6"/>
  <c r="X99" i="6"/>
  <c r="Y99" i="6"/>
  <c r="Z99" i="6" s="1"/>
  <c r="W100" i="6"/>
  <c r="X100" i="6" s="1"/>
  <c r="W101" i="6"/>
  <c r="X101" i="6" s="1"/>
  <c r="W102" i="6"/>
  <c r="X102" i="6" s="1"/>
  <c r="W103" i="6"/>
  <c r="Y103" i="6" s="1"/>
  <c r="Z103" i="6" s="1"/>
  <c r="W104" i="6"/>
  <c r="X104" i="6"/>
  <c r="Y104" i="6"/>
  <c r="Z104" i="6" s="1"/>
  <c r="M99" i="6"/>
  <c r="O99" i="6"/>
  <c r="N99" i="6" s="1"/>
  <c r="P99" i="6"/>
  <c r="Q99" i="6"/>
  <c r="R99" i="6"/>
  <c r="M100" i="6"/>
  <c r="O100" i="6"/>
  <c r="N100" i="6" s="1"/>
  <c r="Q100" i="6"/>
  <c r="R100" i="6" s="1"/>
  <c r="M101" i="6"/>
  <c r="O101" i="6"/>
  <c r="P101" i="6" s="1"/>
  <c r="Q101" i="6"/>
  <c r="R101" i="6"/>
  <c r="M102" i="6"/>
  <c r="O102" i="6"/>
  <c r="N102" i="6" s="1"/>
  <c r="Q102" i="6"/>
  <c r="R102" i="6"/>
  <c r="M103" i="6"/>
  <c r="O103" i="6"/>
  <c r="N103" i="6" s="1"/>
  <c r="Q103" i="6"/>
  <c r="R103" i="6"/>
  <c r="M104" i="6"/>
  <c r="O104" i="6"/>
  <c r="P104" i="6"/>
  <c r="Q104" i="6"/>
  <c r="R104" i="6" s="1"/>
  <c r="U71" i="6"/>
  <c r="V71" i="6" s="1"/>
  <c r="W71" i="6"/>
  <c r="X71" i="6" s="1"/>
  <c r="U72" i="6"/>
  <c r="V72" i="6" s="1"/>
  <c r="W72" i="6"/>
  <c r="X72" i="6" s="1"/>
  <c r="U73" i="6"/>
  <c r="V73" i="6" s="1"/>
  <c r="W73" i="6"/>
  <c r="X73" i="6" s="1"/>
  <c r="T74" i="6"/>
  <c r="U74" i="6"/>
  <c r="V74" i="6" s="1"/>
  <c r="W74" i="6"/>
  <c r="X74" i="6" s="1"/>
  <c r="T75" i="6"/>
  <c r="U75" i="6"/>
  <c r="V75" i="6" s="1"/>
  <c r="W75" i="6"/>
  <c r="Y75" i="6" s="1"/>
  <c r="Z75" i="6" s="1"/>
  <c r="U76" i="6"/>
  <c r="V76" i="6" s="1"/>
  <c r="W76" i="6"/>
  <c r="X76" i="6" s="1"/>
  <c r="M71" i="6"/>
  <c r="O71" i="6"/>
  <c r="Q71" i="6"/>
  <c r="R71" i="6"/>
  <c r="T71" i="6"/>
  <c r="M72" i="6"/>
  <c r="O72" i="6"/>
  <c r="P72" i="6" s="1"/>
  <c r="Q72" i="6"/>
  <c r="R72" i="6" s="1"/>
  <c r="T72" i="6"/>
  <c r="M73" i="6"/>
  <c r="O73" i="6"/>
  <c r="P73" i="6" s="1"/>
  <c r="Q73" i="6"/>
  <c r="R73" i="6"/>
  <c r="T73" i="6"/>
  <c r="M74" i="6"/>
  <c r="O74" i="6"/>
  <c r="N74" i="6" s="1"/>
  <c r="Q74" i="6"/>
  <c r="R74" i="6"/>
  <c r="M75" i="6"/>
  <c r="O75" i="6"/>
  <c r="Q75" i="6"/>
  <c r="R75" i="6"/>
  <c r="M76" i="6"/>
  <c r="O76" i="6"/>
  <c r="P76" i="6" s="1"/>
  <c r="Q76" i="6"/>
  <c r="R76" i="6" s="1"/>
  <c r="T76" i="6"/>
  <c r="U42" i="6"/>
  <c r="V42" i="6" s="1"/>
  <c r="W42" i="6"/>
  <c r="X42" i="6" s="1"/>
  <c r="U43" i="6"/>
  <c r="V43" i="6" s="1"/>
  <c r="W43" i="6"/>
  <c r="X43" i="6" s="1"/>
  <c r="U44" i="6"/>
  <c r="V44" i="6" s="1"/>
  <c r="W44" i="6"/>
  <c r="X44" i="6" s="1"/>
  <c r="Y44" i="6"/>
  <c r="Z44" i="6" s="1"/>
  <c r="U45" i="6"/>
  <c r="V45" i="6" s="1"/>
  <c r="W45" i="6"/>
  <c r="X45" i="6"/>
  <c r="Y45" i="6"/>
  <c r="Z45" i="6" s="1"/>
  <c r="U46" i="6"/>
  <c r="V46" i="6" s="1"/>
  <c r="W46" i="6"/>
  <c r="X46" i="6" s="1"/>
  <c r="U47" i="6"/>
  <c r="V47" i="6"/>
  <c r="W47" i="6"/>
  <c r="Y47" i="6" s="1"/>
  <c r="Z47" i="6" s="1"/>
  <c r="X47" i="6"/>
  <c r="M42" i="6"/>
  <c r="O42" i="6"/>
  <c r="Q42" i="6"/>
  <c r="R42" i="6" s="1"/>
  <c r="M43" i="6"/>
  <c r="O43" i="6"/>
  <c r="N43" i="6" s="1"/>
  <c r="Q43" i="6"/>
  <c r="R43" i="6" s="1"/>
  <c r="M44" i="6"/>
  <c r="O44" i="6"/>
  <c r="Q44" i="6"/>
  <c r="R44" i="6" s="1"/>
  <c r="M45" i="6"/>
  <c r="O45" i="6"/>
  <c r="Q45" i="6"/>
  <c r="R45" i="6" s="1"/>
  <c r="M46" i="6"/>
  <c r="O46" i="6"/>
  <c r="Q46" i="6"/>
  <c r="R46" i="6" s="1"/>
  <c r="M47" i="6"/>
  <c r="O47" i="6"/>
  <c r="N47" i="6" s="1"/>
  <c r="Q47" i="6"/>
  <c r="R47" i="6" s="1"/>
  <c r="M8" i="4"/>
  <c r="M9" i="4"/>
  <c r="M10" i="4"/>
  <c r="M11" i="4"/>
  <c r="M12" i="4"/>
  <c r="M13" i="4"/>
  <c r="M14" i="4"/>
  <c r="M15" i="4"/>
  <c r="M16" i="4"/>
  <c r="M17" i="4"/>
  <c r="M18" i="4"/>
  <c r="W76" i="3"/>
  <c r="Y76" i="3" s="1"/>
  <c r="Z76" i="3" s="1"/>
  <c r="U76" i="3"/>
  <c r="V76" i="3" s="1"/>
  <c r="T76" i="3"/>
  <c r="Q76" i="3"/>
  <c r="R76" i="3" s="1"/>
  <c r="O76" i="3"/>
  <c r="P76" i="3" s="1"/>
  <c r="M76" i="3"/>
  <c r="N76" i="3" s="1"/>
  <c r="W75" i="3"/>
  <c r="Y75" i="3" s="1"/>
  <c r="Z75" i="3" s="1"/>
  <c r="U75" i="3"/>
  <c r="V75" i="3" s="1"/>
  <c r="T75" i="3"/>
  <c r="Q75" i="3"/>
  <c r="R75" i="3" s="1"/>
  <c r="O75" i="3"/>
  <c r="P75" i="3" s="1"/>
  <c r="M75" i="3"/>
  <c r="W74" i="3"/>
  <c r="Y74" i="3" s="1"/>
  <c r="Z74" i="3" s="1"/>
  <c r="U74" i="3"/>
  <c r="V74" i="3" s="1"/>
  <c r="T74" i="3"/>
  <c r="Q74" i="3"/>
  <c r="R74" i="3" s="1"/>
  <c r="O74" i="3"/>
  <c r="P74" i="3" s="1"/>
  <c r="M74" i="3"/>
  <c r="N74" i="3" s="1"/>
  <c r="W73" i="3"/>
  <c r="X73" i="3" s="1"/>
  <c r="U73" i="3"/>
  <c r="V73" i="3" s="1"/>
  <c r="T73" i="3"/>
  <c r="Q73" i="3"/>
  <c r="R73" i="3" s="1"/>
  <c r="O73" i="3"/>
  <c r="P73" i="3" s="1"/>
  <c r="M73" i="3"/>
  <c r="N73" i="3" s="1"/>
  <c r="W72" i="3"/>
  <c r="Y72" i="3" s="1"/>
  <c r="Z72" i="3" s="1"/>
  <c r="U72" i="3"/>
  <c r="V72" i="3" s="1"/>
  <c r="T72" i="3"/>
  <c r="Q72" i="3"/>
  <c r="R72" i="3" s="1"/>
  <c r="O72" i="3"/>
  <c r="P72" i="3" s="1"/>
  <c r="M72" i="3"/>
  <c r="N72" i="3" s="1"/>
  <c r="W71" i="3"/>
  <c r="Y71" i="3" s="1"/>
  <c r="Z71" i="3" s="1"/>
  <c r="U71" i="3"/>
  <c r="V71" i="3" s="1"/>
  <c r="T71" i="3"/>
  <c r="Q71" i="3"/>
  <c r="R71" i="3" s="1"/>
  <c r="O71" i="3"/>
  <c r="P71" i="3" s="1"/>
  <c r="M71" i="3"/>
  <c r="N71" i="3" s="1"/>
  <c r="W70" i="3"/>
  <c r="Y70" i="3" s="1"/>
  <c r="Z70" i="3" s="1"/>
  <c r="U70" i="3"/>
  <c r="V70" i="3" s="1"/>
  <c r="T70" i="3"/>
  <c r="Q70" i="3"/>
  <c r="R70" i="3" s="1"/>
  <c r="O70" i="3"/>
  <c r="P70" i="3" s="1"/>
  <c r="M70" i="3"/>
  <c r="W69" i="3"/>
  <c r="Y69" i="3" s="1"/>
  <c r="Z69" i="3" s="1"/>
  <c r="U69" i="3"/>
  <c r="V69" i="3" s="1"/>
  <c r="T69" i="3"/>
  <c r="Q69" i="3"/>
  <c r="R69" i="3" s="1"/>
  <c r="O69" i="3"/>
  <c r="P69" i="3" s="1"/>
  <c r="M69" i="3"/>
  <c r="W68" i="3"/>
  <c r="Y68" i="3" s="1"/>
  <c r="Z68" i="3" s="1"/>
  <c r="U68" i="3"/>
  <c r="V68" i="3" s="1"/>
  <c r="T68" i="3"/>
  <c r="Q68" i="3"/>
  <c r="R68" i="3" s="1"/>
  <c r="O68" i="3"/>
  <c r="P68" i="3" s="1"/>
  <c r="M68" i="3"/>
  <c r="N68" i="3" s="1"/>
  <c r="W67" i="3"/>
  <c r="Y67" i="3" s="1"/>
  <c r="Z67" i="3" s="1"/>
  <c r="U67" i="3"/>
  <c r="V67" i="3" s="1"/>
  <c r="T67" i="3"/>
  <c r="Q67" i="3"/>
  <c r="R67" i="3" s="1"/>
  <c r="O67" i="3"/>
  <c r="P67" i="3" s="1"/>
  <c r="M67" i="3"/>
  <c r="N67" i="3" s="1"/>
  <c r="W66" i="3"/>
  <c r="Y66" i="3" s="1"/>
  <c r="Z66" i="3" s="1"/>
  <c r="U66" i="3"/>
  <c r="V66" i="3" s="1"/>
  <c r="T66" i="3"/>
  <c r="Q66" i="3"/>
  <c r="R66" i="3" s="1"/>
  <c r="O66" i="3"/>
  <c r="P66" i="3" s="1"/>
  <c r="M66" i="3"/>
  <c r="W65" i="3"/>
  <c r="Y65" i="3" s="1"/>
  <c r="Z65" i="3" s="1"/>
  <c r="U65" i="3"/>
  <c r="V65" i="3" s="1"/>
  <c r="T65" i="3"/>
  <c r="Q65" i="3"/>
  <c r="R65" i="3" s="1"/>
  <c r="O65" i="3"/>
  <c r="P65" i="3" s="1"/>
  <c r="M65" i="3"/>
  <c r="N65" i="3" s="1"/>
  <c r="M65" i="4"/>
  <c r="M66" i="4"/>
  <c r="M7" i="4"/>
  <c r="O7" i="4"/>
  <c r="P7" i="4" s="1"/>
  <c r="Q7" i="4"/>
  <c r="R7" i="4" s="1"/>
  <c r="O8" i="4"/>
  <c r="P8" i="4" s="1"/>
  <c r="Q8" i="4"/>
  <c r="R8" i="4" s="1"/>
  <c r="O9" i="4"/>
  <c r="P9" i="4" s="1"/>
  <c r="Q9" i="4"/>
  <c r="R9" i="4" s="1"/>
  <c r="O10" i="4"/>
  <c r="Q10" i="4"/>
  <c r="R10" i="4" s="1"/>
  <c r="O11" i="4"/>
  <c r="P11" i="4" s="1"/>
  <c r="Q11" i="4"/>
  <c r="R11" i="4" s="1"/>
  <c r="O12" i="4"/>
  <c r="P12" i="4" s="1"/>
  <c r="Q12" i="4"/>
  <c r="R12" i="4" s="1"/>
  <c r="O13" i="4"/>
  <c r="P13" i="4" s="1"/>
  <c r="Q13" i="4"/>
  <c r="R13" i="4"/>
  <c r="O14" i="4"/>
  <c r="P14" i="4" s="1"/>
  <c r="Q14" i="4"/>
  <c r="R14" i="4" s="1"/>
  <c r="M36" i="3"/>
  <c r="O36" i="3"/>
  <c r="P36" i="3" s="1"/>
  <c r="Q36" i="3"/>
  <c r="R36" i="3" s="1"/>
  <c r="T36" i="3"/>
  <c r="U36" i="3"/>
  <c r="V36" i="3" s="1"/>
  <c r="W36" i="3"/>
  <c r="M15" i="3"/>
  <c r="O15" i="3"/>
  <c r="Q15" i="3"/>
  <c r="R15" i="3" s="1"/>
  <c r="M16" i="3"/>
  <c r="O16" i="3"/>
  <c r="P16" i="3" s="1"/>
  <c r="Q16" i="3"/>
  <c r="R16" i="3" s="1"/>
  <c r="M17" i="3"/>
  <c r="O17" i="3"/>
  <c r="Q17" i="3"/>
  <c r="R17" i="3" s="1"/>
  <c r="M18" i="3"/>
  <c r="O18" i="3"/>
  <c r="Q18" i="3"/>
  <c r="R18" i="3" s="1"/>
  <c r="W66" i="2"/>
  <c r="Y66" i="2" s="1"/>
  <c r="Z66" i="2" s="1"/>
  <c r="U66" i="2"/>
  <c r="V66" i="2" s="1"/>
  <c r="T66" i="2"/>
  <c r="Q66" i="2"/>
  <c r="R66" i="2" s="1"/>
  <c r="O66" i="2"/>
  <c r="P66" i="2" s="1"/>
  <c r="M66" i="2"/>
  <c r="W43" i="2"/>
  <c r="Y43" i="2" s="1"/>
  <c r="Z43" i="2" s="1"/>
  <c r="U43" i="2"/>
  <c r="V43" i="2" s="1"/>
  <c r="T43" i="2"/>
  <c r="Q43" i="2"/>
  <c r="R43" i="2" s="1"/>
  <c r="O43" i="2"/>
  <c r="P43" i="2" s="1"/>
  <c r="M43" i="2"/>
  <c r="X44" i="17" l="1"/>
  <c r="Y44" i="17"/>
  <c r="Z44" i="17" s="1"/>
  <c r="X104" i="10"/>
  <c r="Y104" i="10"/>
  <c r="Z104" i="10" s="1"/>
  <c r="N16" i="23"/>
  <c r="N18" i="23"/>
  <c r="P18" i="23"/>
  <c r="P103" i="20"/>
  <c r="N42" i="20"/>
  <c r="Y43" i="20"/>
  <c r="Z43" i="20" s="1"/>
  <c r="N76" i="20"/>
  <c r="Y74" i="20"/>
  <c r="Z74" i="20" s="1"/>
  <c r="N100" i="20"/>
  <c r="X102" i="20"/>
  <c r="Y76" i="20"/>
  <c r="Z76" i="20" s="1"/>
  <c r="N43" i="20"/>
  <c r="P42" i="20"/>
  <c r="N102" i="17"/>
  <c r="N101" i="17"/>
  <c r="P76" i="17"/>
  <c r="P73" i="17"/>
  <c r="Y75" i="17"/>
  <c r="Z75" i="17" s="1"/>
  <c r="P44" i="17"/>
  <c r="N43" i="17"/>
  <c r="N16" i="17"/>
  <c r="N18" i="17"/>
  <c r="N17" i="17"/>
  <c r="P14" i="17"/>
  <c r="Y102" i="14"/>
  <c r="Z102" i="14" s="1"/>
  <c r="P102" i="14"/>
  <c r="N100" i="14"/>
  <c r="N76" i="14"/>
  <c r="X47" i="14"/>
  <c r="N45" i="14"/>
  <c r="N15" i="14"/>
  <c r="N18" i="14"/>
  <c r="Y17" i="14"/>
  <c r="Z17" i="14" s="1"/>
  <c r="P18" i="14"/>
  <c r="N17" i="14"/>
  <c r="Y18" i="10"/>
  <c r="Z18" i="10" s="1"/>
  <c r="P75" i="10"/>
  <c r="P72" i="10"/>
  <c r="P76" i="10"/>
  <c r="P43" i="10"/>
  <c r="N12" i="4"/>
  <c r="N75" i="3"/>
  <c r="N70" i="3"/>
  <c r="X103" i="6"/>
  <c r="X75" i="6"/>
  <c r="Y74" i="6"/>
  <c r="Z74" i="6" s="1"/>
  <c r="P43" i="6"/>
  <c r="N66" i="2"/>
  <c r="N15" i="23"/>
  <c r="Y101" i="20"/>
  <c r="Z101" i="20" s="1"/>
  <c r="Y100" i="20"/>
  <c r="Z100" i="20" s="1"/>
  <c r="P76" i="20"/>
  <c r="N45" i="20"/>
  <c r="Y18" i="20"/>
  <c r="Z18" i="20" s="1"/>
  <c r="N18" i="20"/>
  <c r="P16" i="20"/>
  <c r="N65" i="18"/>
  <c r="N103" i="17"/>
  <c r="X104" i="17"/>
  <c r="X103" i="17"/>
  <c r="N74" i="17"/>
  <c r="Y72" i="17"/>
  <c r="Z72" i="17" s="1"/>
  <c r="P43" i="17"/>
  <c r="N42" i="17"/>
  <c r="Y45" i="17"/>
  <c r="Z45" i="17" s="1"/>
  <c r="N45" i="17"/>
  <c r="P16" i="17"/>
  <c r="N13" i="17"/>
  <c r="N12" i="17"/>
  <c r="Y17" i="17"/>
  <c r="Z17" i="17" s="1"/>
  <c r="P15" i="17"/>
  <c r="N17" i="15"/>
  <c r="N18" i="15"/>
  <c r="Y74" i="14"/>
  <c r="Z74" i="14" s="1"/>
  <c r="N75" i="14"/>
  <c r="P73" i="14"/>
  <c r="X72" i="14"/>
  <c r="N74" i="14"/>
  <c r="P43" i="14"/>
  <c r="Y15" i="14"/>
  <c r="Z15" i="14" s="1"/>
  <c r="N16" i="14"/>
  <c r="N65" i="12"/>
  <c r="N103" i="10"/>
  <c r="N99" i="10"/>
  <c r="X103" i="10"/>
  <c r="X102" i="10"/>
  <c r="N104" i="10"/>
  <c r="Y100" i="10"/>
  <c r="Z100" i="10" s="1"/>
  <c r="X47" i="10"/>
  <c r="P42" i="10"/>
  <c r="Y16" i="10"/>
  <c r="Z16" i="10" s="1"/>
  <c r="N101" i="6"/>
  <c r="N104" i="6"/>
  <c r="P103" i="6"/>
  <c r="Y101" i="6"/>
  <c r="Z101" i="6" s="1"/>
  <c r="Y71" i="6"/>
  <c r="Z71" i="6" s="1"/>
  <c r="Y76" i="6"/>
  <c r="Z76" i="6" s="1"/>
  <c r="N42" i="6"/>
  <c r="N75" i="6"/>
  <c r="Y102" i="6"/>
  <c r="Z102" i="6" s="1"/>
  <c r="P47" i="6"/>
  <c r="P102" i="6"/>
  <c r="N46" i="6"/>
  <c r="Y73" i="6"/>
  <c r="Z73" i="6" s="1"/>
  <c r="Y100" i="6"/>
  <c r="Z100" i="6" s="1"/>
  <c r="N45" i="6"/>
  <c r="N72" i="6"/>
  <c r="Y43" i="6"/>
  <c r="Z43" i="6" s="1"/>
  <c r="P100" i="6"/>
  <c r="N69" i="3"/>
  <c r="N66" i="3"/>
  <c r="X76" i="3"/>
  <c r="N16" i="15"/>
  <c r="N15" i="15"/>
  <c r="N14" i="15"/>
  <c r="P16" i="23"/>
  <c r="P15" i="23"/>
  <c r="Y16" i="23"/>
  <c r="Z16" i="23" s="1"/>
  <c r="N17" i="23"/>
  <c r="Y18" i="23"/>
  <c r="Z18" i="23" s="1"/>
  <c r="Y15" i="23"/>
  <c r="Z15" i="23" s="1"/>
  <c r="N15" i="21"/>
  <c r="Y47" i="20"/>
  <c r="Z47" i="20" s="1"/>
  <c r="N75" i="20"/>
  <c r="N47" i="20"/>
  <c r="N74" i="20"/>
  <c r="Y16" i="20"/>
  <c r="Z16" i="20" s="1"/>
  <c r="N15" i="20"/>
  <c r="P45" i="20"/>
  <c r="N73" i="20"/>
  <c r="N44" i="20"/>
  <c r="N72" i="20"/>
  <c r="Y71" i="20"/>
  <c r="Z71" i="20" s="1"/>
  <c r="N71" i="20"/>
  <c r="Y17" i="20"/>
  <c r="Z17" i="20" s="1"/>
  <c r="N46" i="20"/>
  <c r="Y42" i="20"/>
  <c r="Z42" i="20" s="1"/>
  <c r="P17" i="20"/>
  <c r="Y101" i="17"/>
  <c r="Z101" i="17" s="1"/>
  <c r="N104" i="17"/>
  <c r="P75" i="17"/>
  <c r="P71" i="17"/>
  <c r="Y42" i="17"/>
  <c r="Z42" i="17" s="1"/>
  <c r="P46" i="17"/>
  <c r="P14" i="15"/>
  <c r="N104" i="14"/>
  <c r="N71" i="14"/>
  <c r="Y46" i="14"/>
  <c r="Z46" i="14" s="1"/>
  <c r="N46" i="14"/>
  <c r="Y45" i="14"/>
  <c r="Z45" i="14" s="1"/>
  <c r="Y42" i="14"/>
  <c r="Z42" i="14" s="1"/>
  <c r="P47" i="14"/>
  <c r="P17" i="14"/>
  <c r="N101" i="10"/>
  <c r="X101" i="10"/>
  <c r="N102" i="10"/>
  <c r="N44" i="10"/>
  <c r="Y75" i="10"/>
  <c r="Z75" i="10" s="1"/>
  <c r="P71" i="10"/>
  <c r="Y72" i="10"/>
  <c r="Z72" i="10" s="1"/>
  <c r="N73" i="10"/>
  <c r="P18" i="10"/>
  <c r="N47" i="10"/>
  <c r="X46" i="10"/>
  <c r="N46" i="10"/>
  <c r="Y42" i="10"/>
  <c r="Z42" i="10" s="1"/>
  <c r="Y45" i="10"/>
  <c r="Z45" i="10" s="1"/>
  <c r="N15" i="10"/>
  <c r="Y14" i="10"/>
  <c r="Z14" i="10" s="1"/>
  <c r="P17" i="10"/>
  <c r="N45" i="10"/>
  <c r="Y17" i="10"/>
  <c r="Z17" i="10" s="1"/>
  <c r="Y43" i="10"/>
  <c r="Z43" i="10" s="1"/>
  <c r="P44" i="10"/>
  <c r="Y15" i="10"/>
  <c r="Z15" i="10" s="1"/>
  <c r="N71" i="6"/>
  <c r="Y72" i="6"/>
  <c r="Z72" i="6" s="1"/>
  <c r="P74" i="6"/>
  <c r="Y46" i="6"/>
  <c r="Z46" i="6" s="1"/>
  <c r="N76" i="6"/>
  <c r="N73" i="6"/>
  <c r="P75" i="6"/>
  <c r="P71" i="6"/>
  <c r="N44" i="6"/>
  <c r="Y42" i="6"/>
  <c r="Z42" i="6" s="1"/>
  <c r="P45" i="6"/>
  <c r="P44" i="6"/>
  <c r="P46" i="6"/>
  <c r="P42" i="6"/>
  <c r="N10" i="4"/>
  <c r="X75" i="3"/>
  <c r="X65" i="3"/>
  <c r="X69" i="3"/>
  <c r="X71" i="3"/>
  <c r="Y73" i="3"/>
  <c r="Z73" i="3" s="1"/>
  <c r="X66" i="3"/>
  <c r="X68" i="3"/>
  <c r="X70" i="3"/>
  <c r="X72" i="3"/>
  <c r="X74" i="3"/>
  <c r="X67" i="3"/>
  <c r="N13" i="4"/>
  <c r="P10" i="4"/>
  <c r="N8" i="4"/>
  <c r="N9" i="4"/>
  <c r="N11" i="4"/>
  <c r="N14" i="4"/>
  <c r="N7" i="4"/>
  <c r="N36" i="3"/>
  <c r="N15" i="3"/>
  <c r="P15" i="3"/>
  <c r="N18" i="3"/>
  <c r="P18" i="3"/>
  <c r="N17" i="3"/>
  <c r="N16" i="3"/>
  <c r="P17" i="3"/>
  <c r="X66" i="2"/>
  <c r="N43" i="2"/>
  <c r="X43" i="2"/>
  <c r="O36" i="2" l="1"/>
  <c r="Q36" i="2"/>
  <c r="R36" i="2" s="1"/>
  <c r="T36" i="2"/>
  <c r="U36" i="2"/>
  <c r="V36" i="2" s="1"/>
  <c r="W36" i="2"/>
  <c r="X36" i="2" s="1"/>
  <c r="M37" i="2"/>
  <c r="M38" i="2"/>
  <c r="M39" i="2"/>
  <c r="M40" i="2"/>
  <c r="M41" i="2"/>
  <c r="M42" i="2"/>
  <c r="M44" i="2"/>
  <c r="M45" i="2"/>
  <c r="M46" i="2"/>
  <c r="M47" i="2"/>
  <c r="O99" i="2"/>
  <c r="P99" i="2" s="1"/>
  <c r="Q99" i="2"/>
  <c r="R99" i="2" s="1"/>
  <c r="T99" i="2"/>
  <c r="U99" i="2"/>
  <c r="V99" i="2" s="1"/>
  <c r="W99" i="2"/>
  <c r="X99" i="2" s="1"/>
  <c r="O100" i="2"/>
  <c r="P100" i="2" s="1"/>
  <c r="Q100" i="2"/>
  <c r="R100" i="2" s="1"/>
  <c r="T100" i="2"/>
  <c r="U100" i="2"/>
  <c r="V100" i="2" s="1"/>
  <c r="W100" i="2"/>
  <c r="Y100" i="2" s="1"/>
  <c r="Z100" i="2" s="1"/>
  <c r="O101" i="2"/>
  <c r="P101" i="2" s="1"/>
  <c r="Q101" i="2"/>
  <c r="R101" i="2" s="1"/>
  <c r="T101" i="2"/>
  <c r="U101" i="2"/>
  <c r="V101" i="2" s="1"/>
  <c r="W101" i="2"/>
  <c r="X101" i="2"/>
  <c r="Y101" i="2"/>
  <c r="Z101" i="2" s="1"/>
  <c r="O102" i="2"/>
  <c r="P102" i="2" s="1"/>
  <c r="Q102" i="2"/>
  <c r="R102" i="2" s="1"/>
  <c r="T102" i="2"/>
  <c r="U102" i="2"/>
  <c r="V102" i="2" s="1"/>
  <c r="W102" i="2"/>
  <c r="Y102" i="2" s="1"/>
  <c r="Z102" i="2" s="1"/>
  <c r="O103" i="2"/>
  <c r="P103" i="2" s="1"/>
  <c r="Q103" i="2"/>
  <c r="R103" i="2" s="1"/>
  <c r="T103" i="2"/>
  <c r="U103" i="2"/>
  <c r="V103" i="2" s="1"/>
  <c r="W103" i="2"/>
  <c r="X103" i="2" s="1"/>
  <c r="O104" i="2"/>
  <c r="P104" i="2" s="1"/>
  <c r="Q104" i="2"/>
  <c r="R104" i="2" s="1"/>
  <c r="T104" i="2"/>
  <c r="U104" i="2"/>
  <c r="V104" i="2" s="1"/>
  <c r="W104" i="2"/>
  <c r="X104" i="2" s="1"/>
  <c r="M99" i="2"/>
  <c r="M100" i="2"/>
  <c r="M101" i="2"/>
  <c r="M102" i="2"/>
  <c r="M103" i="2"/>
  <c r="M104" i="2"/>
  <c r="M71" i="2"/>
  <c r="O71" i="2"/>
  <c r="P71" i="2" s="1"/>
  <c r="Q71" i="2"/>
  <c r="R71" i="2" s="1"/>
  <c r="T71" i="2"/>
  <c r="U71" i="2"/>
  <c r="V71" i="2" s="1"/>
  <c r="W71" i="2"/>
  <c r="Y71" i="2" s="1"/>
  <c r="Z71" i="2" s="1"/>
  <c r="M72" i="2"/>
  <c r="O72" i="2"/>
  <c r="N72" i="2" s="1"/>
  <c r="Q72" i="2"/>
  <c r="R72" i="2" s="1"/>
  <c r="T72" i="2"/>
  <c r="U72" i="2"/>
  <c r="V72" i="2" s="1"/>
  <c r="Y72" i="2"/>
  <c r="Z72" i="2" s="1"/>
  <c r="M73" i="2"/>
  <c r="O73" i="2"/>
  <c r="P73" i="2" s="1"/>
  <c r="Q73" i="2"/>
  <c r="R73" i="2" s="1"/>
  <c r="T73" i="2"/>
  <c r="U73" i="2"/>
  <c r="V73" i="2" s="1"/>
  <c r="W73" i="2"/>
  <c r="X73" i="2" s="1"/>
  <c r="Y73" i="2"/>
  <c r="Z73" i="2" s="1"/>
  <c r="M74" i="2"/>
  <c r="O74" i="2"/>
  <c r="P74" i="2" s="1"/>
  <c r="Q74" i="2"/>
  <c r="R74" i="2" s="1"/>
  <c r="T74" i="2"/>
  <c r="U74" i="2"/>
  <c r="V74" i="2" s="1"/>
  <c r="W74" i="2"/>
  <c r="X74" i="2" s="1"/>
  <c r="M75" i="2"/>
  <c r="O75" i="2"/>
  <c r="P75" i="2" s="1"/>
  <c r="Q75" i="2"/>
  <c r="R75" i="2" s="1"/>
  <c r="T75" i="2"/>
  <c r="U75" i="2"/>
  <c r="V75" i="2" s="1"/>
  <c r="W75" i="2"/>
  <c r="Y75" i="2" s="1"/>
  <c r="Z75" i="2" s="1"/>
  <c r="M76" i="2"/>
  <c r="O76" i="2"/>
  <c r="P76" i="2" s="1"/>
  <c r="Q76" i="2"/>
  <c r="R76" i="2" s="1"/>
  <c r="T76" i="2"/>
  <c r="U76" i="2"/>
  <c r="V76" i="2" s="1"/>
  <c r="W76" i="2"/>
  <c r="X76" i="2" s="1"/>
  <c r="O37" i="2"/>
  <c r="P37" i="2" s="1"/>
  <c r="Q37" i="2"/>
  <c r="R37" i="2" s="1"/>
  <c r="T37" i="2"/>
  <c r="U37" i="2"/>
  <c r="V37" i="2" s="1"/>
  <c r="W37" i="2"/>
  <c r="X37" i="2" s="1"/>
  <c r="O38" i="2"/>
  <c r="Q38" i="2"/>
  <c r="R38" i="2" s="1"/>
  <c r="T38" i="2"/>
  <c r="U38" i="2"/>
  <c r="V38" i="2" s="1"/>
  <c r="W38" i="2"/>
  <c r="X38" i="2" s="1"/>
  <c r="O39" i="2"/>
  <c r="P39" i="2" s="1"/>
  <c r="Q39" i="2"/>
  <c r="R39" i="2" s="1"/>
  <c r="T39" i="2"/>
  <c r="U39" i="2"/>
  <c r="V39" i="2" s="1"/>
  <c r="W39" i="2"/>
  <c r="X39" i="2" s="1"/>
  <c r="O40" i="2"/>
  <c r="P40" i="2" s="1"/>
  <c r="Q40" i="2"/>
  <c r="R40" i="2"/>
  <c r="T40" i="2"/>
  <c r="U40" i="2"/>
  <c r="V40" i="2" s="1"/>
  <c r="W40" i="2"/>
  <c r="X40" i="2" s="1"/>
  <c r="O41" i="2"/>
  <c r="P41" i="2" s="1"/>
  <c r="Q41" i="2"/>
  <c r="R41" i="2"/>
  <c r="T41" i="2"/>
  <c r="U41" i="2"/>
  <c r="V41" i="2" s="1"/>
  <c r="W41" i="2"/>
  <c r="Y41" i="2" s="1"/>
  <c r="Z41" i="2" s="1"/>
  <c r="O42" i="2"/>
  <c r="Q42" i="2"/>
  <c r="R42" i="2" s="1"/>
  <c r="T42" i="2"/>
  <c r="U42" i="2"/>
  <c r="V42" i="2" s="1"/>
  <c r="W42" i="2"/>
  <c r="Y42" i="2" s="1"/>
  <c r="Z42" i="2" s="1"/>
  <c r="X42" i="2"/>
  <c r="O44" i="2"/>
  <c r="P44" i="2" s="1"/>
  <c r="Q44" i="2"/>
  <c r="R44" i="2" s="1"/>
  <c r="T44" i="2"/>
  <c r="U44" i="2"/>
  <c r="V44" i="2"/>
  <c r="W44" i="2"/>
  <c r="X44" i="2" s="1"/>
  <c r="O45" i="2"/>
  <c r="N45" i="2" s="1"/>
  <c r="Q45" i="2"/>
  <c r="R45" i="2" s="1"/>
  <c r="T45" i="2"/>
  <c r="U45" i="2"/>
  <c r="V45" i="2" s="1"/>
  <c r="W45" i="2"/>
  <c r="X45" i="2" s="1"/>
  <c r="O46" i="2"/>
  <c r="P46" i="2"/>
  <c r="Q46" i="2"/>
  <c r="R46" i="2"/>
  <c r="T46" i="2"/>
  <c r="U46" i="2"/>
  <c r="V46" i="2"/>
  <c r="W46" i="2"/>
  <c r="Y46" i="2" s="1"/>
  <c r="Z46" i="2" s="1"/>
  <c r="O47" i="2"/>
  <c r="P47" i="2" s="1"/>
  <c r="Q47" i="2"/>
  <c r="R47" i="2"/>
  <c r="T47" i="2"/>
  <c r="U47" i="2"/>
  <c r="V47" i="2" s="1"/>
  <c r="W47" i="2"/>
  <c r="X47" i="2" s="1"/>
  <c r="Y47" i="2"/>
  <c r="Z47" i="2" s="1"/>
  <c r="M14" i="2"/>
  <c r="O14" i="2"/>
  <c r="Q14" i="2"/>
  <c r="R14" i="2" s="1"/>
  <c r="T14" i="2"/>
  <c r="U14" i="2"/>
  <c r="V14" i="2" s="1"/>
  <c r="W14" i="2"/>
  <c r="X14" i="2" s="1"/>
  <c r="M15" i="2"/>
  <c r="O15" i="2"/>
  <c r="Q15" i="2"/>
  <c r="R15" i="2" s="1"/>
  <c r="T15" i="2"/>
  <c r="U15" i="2"/>
  <c r="V15" i="2" s="1"/>
  <c r="W15" i="2"/>
  <c r="X15" i="2" s="1"/>
  <c r="M16" i="2"/>
  <c r="O16" i="2"/>
  <c r="Q16" i="2"/>
  <c r="R16" i="2" s="1"/>
  <c r="T16" i="2"/>
  <c r="U16" i="2"/>
  <c r="V16" i="2" s="1"/>
  <c r="W16" i="2"/>
  <c r="X16" i="2" s="1"/>
  <c r="M17" i="2"/>
  <c r="O17" i="2"/>
  <c r="Q17" i="2"/>
  <c r="R17" i="2" s="1"/>
  <c r="T17" i="2"/>
  <c r="U17" i="2"/>
  <c r="V17" i="2" s="1"/>
  <c r="W17" i="2"/>
  <c r="X17" i="2" s="1"/>
  <c r="M18" i="2"/>
  <c r="O18" i="2"/>
  <c r="Q18" i="2"/>
  <c r="R18" i="2" s="1"/>
  <c r="T18" i="2"/>
  <c r="U18" i="2"/>
  <c r="V18" i="2" s="1"/>
  <c r="W18" i="2"/>
  <c r="Y18" i="2" s="1"/>
  <c r="Z18" i="2" s="1"/>
  <c r="W9" i="2"/>
  <c r="X9" i="2" s="1"/>
  <c r="W98" i="2"/>
  <c r="Y98" i="2" s="1"/>
  <c r="Z98" i="2" s="1"/>
  <c r="U98" i="2"/>
  <c r="V98" i="2" s="1"/>
  <c r="T98" i="2"/>
  <c r="Q98" i="2"/>
  <c r="R98" i="2" s="1"/>
  <c r="O98" i="2"/>
  <c r="P98" i="2" s="1"/>
  <c r="M98" i="2"/>
  <c r="W97" i="2"/>
  <c r="X97" i="2" s="1"/>
  <c r="U97" i="2"/>
  <c r="V97" i="2" s="1"/>
  <c r="T97" i="2"/>
  <c r="Q97" i="2"/>
  <c r="R97" i="2" s="1"/>
  <c r="O97" i="2"/>
  <c r="P97" i="2" s="1"/>
  <c r="M97" i="2"/>
  <c r="W96" i="2"/>
  <c r="Y96" i="2" s="1"/>
  <c r="Z96" i="2" s="1"/>
  <c r="U96" i="2"/>
  <c r="V96" i="2" s="1"/>
  <c r="T96" i="2"/>
  <c r="Q96" i="2"/>
  <c r="R96" i="2" s="1"/>
  <c r="O96" i="2"/>
  <c r="P96" i="2" s="1"/>
  <c r="M96" i="2"/>
  <c r="W95" i="2"/>
  <c r="X95" i="2" s="1"/>
  <c r="U95" i="2"/>
  <c r="V95" i="2" s="1"/>
  <c r="T95" i="2"/>
  <c r="Q95" i="2"/>
  <c r="R95" i="2" s="1"/>
  <c r="O95" i="2"/>
  <c r="P95" i="2" s="1"/>
  <c r="M95" i="2"/>
  <c r="W94" i="2"/>
  <c r="Y94" i="2" s="1"/>
  <c r="Z94" i="2" s="1"/>
  <c r="U94" i="2"/>
  <c r="V94" i="2" s="1"/>
  <c r="T94" i="2"/>
  <c r="Q94" i="2"/>
  <c r="R94" i="2" s="1"/>
  <c r="O94" i="2"/>
  <c r="P94" i="2" s="1"/>
  <c r="M94" i="2"/>
  <c r="W93" i="2"/>
  <c r="Y93" i="2" s="1"/>
  <c r="Z93" i="2" s="1"/>
  <c r="U93" i="2"/>
  <c r="V93" i="2" s="1"/>
  <c r="T93" i="2"/>
  <c r="Q93" i="2"/>
  <c r="R93" i="2" s="1"/>
  <c r="O93" i="2"/>
  <c r="P93" i="2" s="1"/>
  <c r="M93" i="2"/>
  <c r="W70" i="2"/>
  <c r="X70" i="2" s="1"/>
  <c r="U70" i="2"/>
  <c r="V70" i="2" s="1"/>
  <c r="T70" i="2"/>
  <c r="Q70" i="2"/>
  <c r="R70" i="2" s="1"/>
  <c r="O70" i="2"/>
  <c r="P70" i="2" s="1"/>
  <c r="M70" i="2"/>
  <c r="W69" i="2"/>
  <c r="Y69" i="2" s="1"/>
  <c r="Z69" i="2" s="1"/>
  <c r="U69" i="2"/>
  <c r="V69" i="2" s="1"/>
  <c r="T69" i="2"/>
  <c r="Q69" i="2"/>
  <c r="R69" i="2" s="1"/>
  <c r="O69" i="2"/>
  <c r="P69" i="2" s="1"/>
  <c r="M69" i="2"/>
  <c r="W68" i="2"/>
  <c r="X68" i="2" s="1"/>
  <c r="U68" i="2"/>
  <c r="V68" i="2" s="1"/>
  <c r="T68" i="2"/>
  <c r="Q68" i="2"/>
  <c r="R68" i="2" s="1"/>
  <c r="O68" i="2"/>
  <c r="P68" i="2" s="1"/>
  <c r="M68" i="2"/>
  <c r="W67" i="2"/>
  <c r="Y67" i="2" s="1"/>
  <c r="Z67" i="2" s="1"/>
  <c r="U67" i="2"/>
  <c r="V67" i="2" s="1"/>
  <c r="T67" i="2"/>
  <c r="Q67" i="2"/>
  <c r="R67" i="2" s="1"/>
  <c r="O67" i="2"/>
  <c r="P67" i="2" s="1"/>
  <c r="M67" i="2"/>
  <c r="W65" i="2"/>
  <c r="X65" i="2" s="1"/>
  <c r="U65" i="2"/>
  <c r="V65" i="2" s="1"/>
  <c r="T65" i="2"/>
  <c r="Q65" i="2"/>
  <c r="R65" i="2" s="1"/>
  <c r="O65" i="2"/>
  <c r="P65" i="2" s="1"/>
  <c r="M65" i="2"/>
  <c r="M36" i="2"/>
  <c r="W10" i="2"/>
  <c r="X10" i="2" s="1"/>
  <c r="W11" i="2"/>
  <c r="X11" i="2" s="1"/>
  <c r="W13" i="2"/>
  <c r="Y13" i="2" s="1"/>
  <c r="Z13" i="2" s="1"/>
  <c r="U13" i="2"/>
  <c r="V13" i="2" s="1"/>
  <c r="T13" i="2"/>
  <c r="Q13" i="2"/>
  <c r="R13" i="2" s="1"/>
  <c r="O13" i="2"/>
  <c r="P13" i="2" s="1"/>
  <c r="M13" i="2"/>
  <c r="W12" i="2"/>
  <c r="Y12" i="2" s="1"/>
  <c r="Z12" i="2" s="1"/>
  <c r="U12" i="2"/>
  <c r="V12" i="2" s="1"/>
  <c r="T12" i="2"/>
  <c r="Q12" i="2"/>
  <c r="R12" i="2" s="1"/>
  <c r="O12" i="2"/>
  <c r="P12" i="2" s="1"/>
  <c r="M12" i="2"/>
  <c r="U11" i="2"/>
  <c r="V11" i="2" s="1"/>
  <c r="T11" i="2"/>
  <c r="Q11" i="2"/>
  <c r="R11" i="2" s="1"/>
  <c r="O11" i="2"/>
  <c r="P11" i="2" s="1"/>
  <c r="M11" i="2"/>
  <c r="U10" i="2"/>
  <c r="V10" i="2" s="1"/>
  <c r="T10" i="2"/>
  <c r="Q10" i="2"/>
  <c r="R10" i="2" s="1"/>
  <c r="O10" i="2"/>
  <c r="P10" i="2" s="1"/>
  <c r="M10" i="2"/>
  <c r="U9" i="2"/>
  <c r="V9" i="2" s="1"/>
  <c r="T9" i="2"/>
  <c r="Q9" i="2"/>
  <c r="R9" i="2" s="1"/>
  <c r="O9" i="2"/>
  <c r="P9" i="2" s="1"/>
  <c r="M9" i="2"/>
  <c r="W8" i="2"/>
  <c r="Y8" i="2" s="1"/>
  <c r="Z8" i="2" s="1"/>
  <c r="U8" i="2"/>
  <c r="V8" i="2" s="1"/>
  <c r="T8" i="2"/>
  <c r="Q8" i="2"/>
  <c r="R8" i="2" s="1"/>
  <c r="O8" i="2"/>
  <c r="P8" i="2" s="1"/>
  <c r="M8" i="2"/>
  <c r="W7" i="2"/>
  <c r="X7" i="2" s="1"/>
  <c r="U7" i="2"/>
  <c r="V7" i="2" s="1"/>
  <c r="T7" i="2"/>
  <c r="Q7" i="2"/>
  <c r="R7" i="2" s="1"/>
  <c r="O7" i="2"/>
  <c r="P7" i="2" s="1"/>
  <c r="M7" i="2"/>
  <c r="X71" i="2" l="1"/>
  <c r="Y99" i="2"/>
  <c r="Z99" i="2" s="1"/>
  <c r="P45" i="2"/>
  <c r="N42" i="2"/>
  <c r="N102" i="2"/>
  <c r="X72" i="2"/>
  <c r="N38" i="2"/>
  <c r="Y36" i="2"/>
  <c r="Z36" i="2" s="1"/>
  <c r="N96" i="2"/>
  <c r="N39" i="2"/>
  <c r="N104" i="2"/>
  <c r="N41" i="2"/>
  <c r="N37" i="2"/>
  <c r="X102" i="2"/>
  <c r="N100" i="2"/>
  <c r="Y39" i="2"/>
  <c r="Z39" i="2" s="1"/>
  <c r="N99" i="2"/>
  <c r="N74" i="2"/>
  <c r="N103" i="2"/>
  <c r="X75" i="2"/>
  <c r="X46" i="2"/>
  <c r="X100" i="2"/>
  <c r="N36" i="2"/>
  <c r="Y44" i="2"/>
  <c r="Z44" i="2" s="1"/>
  <c r="Y37" i="2"/>
  <c r="Z37" i="2" s="1"/>
  <c r="Y104" i="2"/>
  <c r="Z104" i="2" s="1"/>
  <c r="Y74" i="2"/>
  <c r="Z74" i="2" s="1"/>
  <c r="N40" i="2"/>
  <c r="N101" i="2"/>
  <c r="N18" i="2"/>
  <c r="Y45" i="2"/>
  <c r="Z45" i="2" s="1"/>
  <c r="Y56" i="2" s="1"/>
  <c r="Z56" i="2" s="1"/>
  <c r="N11" i="2"/>
  <c r="X41" i="2"/>
  <c r="Y38" i="2"/>
  <c r="Z38" i="2" s="1"/>
  <c r="P36" i="2"/>
  <c r="N47" i="2"/>
  <c r="N44" i="2"/>
  <c r="N46" i="2"/>
  <c r="Y103" i="2"/>
  <c r="Z103" i="2" s="1"/>
  <c r="N73" i="2"/>
  <c r="N75" i="2"/>
  <c r="Y40" i="2"/>
  <c r="Z40" i="2" s="1"/>
  <c r="P72" i="2"/>
  <c r="Y76" i="2"/>
  <c r="Z76" i="2" s="1"/>
  <c r="P38" i="2"/>
  <c r="N71" i="2"/>
  <c r="N76" i="2"/>
  <c r="P42" i="2"/>
  <c r="N93" i="2"/>
  <c r="Y14" i="2"/>
  <c r="Z14" i="2" s="1"/>
  <c r="Y15" i="2"/>
  <c r="Z15" i="2" s="1"/>
  <c r="N15" i="2"/>
  <c r="N12" i="2"/>
  <c r="N17" i="2"/>
  <c r="X18" i="2"/>
  <c r="N8" i="2"/>
  <c r="Y16" i="2"/>
  <c r="Z16" i="2" s="1"/>
  <c r="N68" i="2"/>
  <c r="N98" i="2"/>
  <c r="N13" i="2"/>
  <c r="N16" i="2"/>
  <c r="Y17" i="2"/>
  <c r="Z17" i="2" s="1"/>
  <c r="P15" i="2"/>
  <c r="Y11" i="2"/>
  <c r="Z11" i="2" s="1"/>
  <c r="N9" i="2"/>
  <c r="P17" i="2"/>
  <c r="Y10" i="2"/>
  <c r="Z10" i="2" s="1"/>
  <c r="N95" i="2"/>
  <c r="N14" i="2"/>
  <c r="N70" i="2"/>
  <c r="P18" i="2"/>
  <c r="P16" i="2"/>
  <c r="P25" i="2" s="1"/>
  <c r="P14" i="2"/>
  <c r="Y9" i="2"/>
  <c r="Z9" i="2" s="1"/>
  <c r="Y68" i="2"/>
  <c r="Z68" i="2" s="1"/>
  <c r="Y70" i="2"/>
  <c r="Z70" i="2" s="1"/>
  <c r="N7" i="2"/>
  <c r="N67" i="2"/>
  <c r="N94" i="2"/>
  <c r="N97" i="2"/>
  <c r="N10" i="2"/>
  <c r="N65" i="2"/>
  <c r="N69" i="2"/>
  <c r="X93" i="2"/>
  <c r="Y97" i="2"/>
  <c r="Z97" i="2" s="1"/>
  <c r="Y95" i="2"/>
  <c r="Z95" i="2" s="1"/>
  <c r="X94" i="2"/>
  <c r="X96" i="2"/>
  <c r="X98" i="2"/>
  <c r="Y65" i="2"/>
  <c r="Z65" i="2" s="1"/>
  <c r="X67" i="2"/>
  <c r="X69" i="2"/>
  <c r="Y7" i="2"/>
  <c r="Z7" i="2" s="1"/>
  <c r="X8" i="2"/>
  <c r="X12" i="2"/>
  <c r="X13" i="2"/>
  <c r="M13" i="27"/>
  <c r="O13" i="27"/>
  <c r="P13" i="27" s="1"/>
  <c r="Q13" i="27"/>
  <c r="R13" i="27" s="1"/>
  <c r="M103" i="25"/>
  <c r="O103" i="25"/>
  <c r="P103" i="25" s="1"/>
  <c r="Q103" i="25"/>
  <c r="R103" i="25" s="1"/>
  <c r="M104" i="25"/>
  <c r="O104" i="25"/>
  <c r="P104" i="25" s="1"/>
  <c r="Q104" i="25"/>
  <c r="R104" i="25" s="1"/>
  <c r="M99" i="25"/>
  <c r="O99" i="25"/>
  <c r="Q99" i="25"/>
  <c r="R99" i="25" s="1"/>
  <c r="T99" i="25"/>
  <c r="U99" i="25"/>
  <c r="V99" i="25" s="1"/>
  <c r="W99" i="25"/>
  <c r="X99" i="25" s="1"/>
  <c r="M100" i="25"/>
  <c r="O100" i="25"/>
  <c r="Q100" i="25"/>
  <c r="R100" i="25" s="1"/>
  <c r="T100" i="25"/>
  <c r="U100" i="25"/>
  <c r="V100" i="25" s="1"/>
  <c r="W100" i="25"/>
  <c r="X100" i="25" s="1"/>
  <c r="M101" i="25"/>
  <c r="O101" i="25"/>
  <c r="Q101" i="25"/>
  <c r="R101" i="25" s="1"/>
  <c r="T101" i="25"/>
  <c r="U101" i="25"/>
  <c r="V101" i="25" s="1"/>
  <c r="W101" i="25"/>
  <c r="X101" i="25" s="1"/>
  <c r="M102" i="25"/>
  <c r="O102" i="25"/>
  <c r="Q102" i="25"/>
  <c r="R102" i="25" s="1"/>
  <c r="T102" i="25"/>
  <c r="U102" i="25"/>
  <c r="V102" i="25" s="1"/>
  <c r="W102" i="25"/>
  <c r="X102" i="25" s="1"/>
  <c r="T103" i="25"/>
  <c r="U103" i="25"/>
  <c r="V103" i="25" s="1"/>
  <c r="T104" i="25"/>
  <c r="U104" i="25"/>
  <c r="V104" i="25" s="1"/>
  <c r="M71" i="25"/>
  <c r="O71" i="25"/>
  <c r="P71" i="25" s="1"/>
  <c r="Q71" i="25"/>
  <c r="R71" i="25" s="1"/>
  <c r="T71" i="25"/>
  <c r="U71" i="25"/>
  <c r="V71" i="25" s="1"/>
  <c r="W71" i="25"/>
  <c r="X71" i="25" s="1"/>
  <c r="M72" i="25"/>
  <c r="O72" i="25"/>
  <c r="P72" i="25" s="1"/>
  <c r="Q72" i="25"/>
  <c r="R72" i="25" s="1"/>
  <c r="T72" i="25"/>
  <c r="U72" i="25"/>
  <c r="V72" i="25" s="1"/>
  <c r="W72" i="25"/>
  <c r="X72" i="25" s="1"/>
  <c r="M73" i="25"/>
  <c r="O73" i="25"/>
  <c r="P73" i="25" s="1"/>
  <c r="Q73" i="25"/>
  <c r="R73" i="25" s="1"/>
  <c r="T73" i="25"/>
  <c r="U73" i="25"/>
  <c r="V73" i="25" s="1"/>
  <c r="W73" i="25"/>
  <c r="X73" i="25" s="1"/>
  <c r="M74" i="25"/>
  <c r="O74" i="25"/>
  <c r="P74" i="25" s="1"/>
  <c r="Q74" i="25"/>
  <c r="R74" i="25" s="1"/>
  <c r="T74" i="25"/>
  <c r="U74" i="25"/>
  <c r="V74" i="25" s="1"/>
  <c r="W74" i="25"/>
  <c r="X74" i="25" s="1"/>
  <c r="M75" i="25"/>
  <c r="O75" i="25"/>
  <c r="P75" i="25" s="1"/>
  <c r="Q75" i="25"/>
  <c r="R75" i="25" s="1"/>
  <c r="T75" i="25"/>
  <c r="U75" i="25"/>
  <c r="V75" i="25" s="1"/>
  <c r="W75" i="25"/>
  <c r="X75" i="25" s="1"/>
  <c r="M76" i="25"/>
  <c r="O76" i="25"/>
  <c r="P76" i="25" s="1"/>
  <c r="Q76" i="25"/>
  <c r="R76" i="25" s="1"/>
  <c r="T76" i="25"/>
  <c r="U76" i="25"/>
  <c r="V76" i="25" s="1"/>
  <c r="W76" i="25"/>
  <c r="X76" i="25" s="1"/>
  <c r="M42" i="25"/>
  <c r="O42" i="25"/>
  <c r="P42" i="25" s="1"/>
  <c r="Q42" i="25"/>
  <c r="R42" i="25" s="1"/>
  <c r="T42" i="25"/>
  <c r="U42" i="25"/>
  <c r="V42" i="25" s="1"/>
  <c r="W42" i="25"/>
  <c r="Y42" i="25" s="1"/>
  <c r="Z42" i="25" s="1"/>
  <c r="M43" i="25"/>
  <c r="O43" i="25"/>
  <c r="P43" i="25" s="1"/>
  <c r="Q43" i="25"/>
  <c r="R43" i="25" s="1"/>
  <c r="T43" i="25"/>
  <c r="U43" i="25"/>
  <c r="V43" i="25" s="1"/>
  <c r="W43" i="25"/>
  <c r="Y43" i="25" s="1"/>
  <c r="Z43" i="25" s="1"/>
  <c r="M44" i="25"/>
  <c r="O44" i="25"/>
  <c r="P44" i="25" s="1"/>
  <c r="Q44" i="25"/>
  <c r="R44" i="25" s="1"/>
  <c r="T44" i="25"/>
  <c r="U44" i="25"/>
  <c r="V44" i="25" s="1"/>
  <c r="W44" i="25"/>
  <c r="X44" i="25" s="1"/>
  <c r="M45" i="25"/>
  <c r="O45" i="25"/>
  <c r="P45" i="25" s="1"/>
  <c r="Q45" i="25"/>
  <c r="R45" i="25" s="1"/>
  <c r="T45" i="25"/>
  <c r="U45" i="25"/>
  <c r="V45" i="25" s="1"/>
  <c r="W45" i="25"/>
  <c r="X45" i="25" s="1"/>
  <c r="M46" i="25"/>
  <c r="O46" i="25"/>
  <c r="P46" i="25" s="1"/>
  <c r="Q46" i="25"/>
  <c r="R46" i="25" s="1"/>
  <c r="T46" i="25"/>
  <c r="U46" i="25"/>
  <c r="V46" i="25" s="1"/>
  <c r="W46" i="25"/>
  <c r="X46" i="25" s="1"/>
  <c r="M47" i="25"/>
  <c r="O47" i="25"/>
  <c r="P47" i="25" s="1"/>
  <c r="Q47" i="25"/>
  <c r="R47" i="25" s="1"/>
  <c r="T47" i="25"/>
  <c r="U47" i="25"/>
  <c r="V47" i="25" s="1"/>
  <c r="W47" i="25"/>
  <c r="Y47" i="25" s="1"/>
  <c r="Z47" i="25" s="1"/>
  <c r="T16" i="25"/>
  <c r="U16" i="25"/>
  <c r="V16" i="25" s="1"/>
  <c r="W16" i="25"/>
  <c r="Y16" i="25" s="1"/>
  <c r="Z16" i="25" s="1"/>
  <c r="T17" i="25"/>
  <c r="U17" i="25"/>
  <c r="V17" i="25" s="1"/>
  <c r="W17" i="25"/>
  <c r="Y17" i="25" s="1"/>
  <c r="Z17" i="25" s="1"/>
  <c r="T18" i="25"/>
  <c r="U18" i="25"/>
  <c r="V18" i="25" s="1"/>
  <c r="W18" i="25"/>
  <c r="Y18" i="25" s="1"/>
  <c r="Z18" i="25" s="1"/>
  <c r="T103" i="20"/>
  <c r="V103" i="20"/>
  <c r="T104" i="20"/>
  <c r="V104" i="20"/>
  <c r="M99" i="21"/>
  <c r="O99" i="21"/>
  <c r="P99" i="21" s="1"/>
  <c r="Q99" i="21"/>
  <c r="R99" i="21" s="1"/>
  <c r="T99" i="21"/>
  <c r="U99" i="21"/>
  <c r="V99" i="21" s="1"/>
  <c r="W99" i="21"/>
  <c r="X99" i="21" s="1"/>
  <c r="M100" i="21"/>
  <c r="O100" i="21"/>
  <c r="P100" i="21" s="1"/>
  <c r="Q100" i="21"/>
  <c r="R100" i="21" s="1"/>
  <c r="T100" i="21"/>
  <c r="U100" i="21"/>
  <c r="V100" i="21" s="1"/>
  <c r="W100" i="21"/>
  <c r="X100" i="21" s="1"/>
  <c r="M101" i="21"/>
  <c r="O101" i="21"/>
  <c r="P101" i="21" s="1"/>
  <c r="Q101" i="21"/>
  <c r="R101" i="21" s="1"/>
  <c r="T101" i="21"/>
  <c r="U101" i="21"/>
  <c r="V101" i="21" s="1"/>
  <c r="W101" i="21"/>
  <c r="X101" i="21" s="1"/>
  <c r="M102" i="21"/>
  <c r="O102" i="21"/>
  <c r="P102" i="21" s="1"/>
  <c r="Q102" i="21"/>
  <c r="R102" i="21" s="1"/>
  <c r="T102" i="21"/>
  <c r="U102" i="21"/>
  <c r="V102" i="21" s="1"/>
  <c r="W102" i="21"/>
  <c r="X102" i="21" s="1"/>
  <c r="M103" i="21"/>
  <c r="O103" i="21"/>
  <c r="P103" i="21" s="1"/>
  <c r="Q103" i="21"/>
  <c r="R103" i="21" s="1"/>
  <c r="T103" i="21"/>
  <c r="U103" i="21"/>
  <c r="V103" i="21" s="1"/>
  <c r="W103" i="21"/>
  <c r="X103" i="21" s="1"/>
  <c r="M104" i="21"/>
  <c r="O104" i="21"/>
  <c r="P104" i="21" s="1"/>
  <c r="Q104" i="21"/>
  <c r="R104" i="21" s="1"/>
  <c r="T104" i="21"/>
  <c r="U104" i="21"/>
  <c r="V104" i="21" s="1"/>
  <c r="W104" i="21"/>
  <c r="X104" i="21" s="1"/>
  <c r="Y104" i="21"/>
  <c r="Z104" i="21" s="1"/>
  <c r="M71" i="21"/>
  <c r="O71" i="21"/>
  <c r="P71" i="21" s="1"/>
  <c r="Q71" i="21"/>
  <c r="R71" i="21" s="1"/>
  <c r="T71" i="21"/>
  <c r="U71" i="21"/>
  <c r="V71" i="21" s="1"/>
  <c r="W71" i="21"/>
  <c r="X71" i="21" s="1"/>
  <c r="M72" i="21"/>
  <c r="O72" i="21"/>
  <c r="P72" i="21" s="1"/>
  <c r="Q72" i="21"/>
  <c r="R72" i="21" s="1"/>
  <c r="T72" i="21"/>
  <c r="U72" i="21"/>
  <c r="V72" i="21" s="1"/>
  <c r="W72" i="21"/>
  <c r="X72" i="21" s="1"/>
  <c r="M73" i="21"/>
  <c r="O73" i="21"/>
  <c r="P73" i="21" s="1"/>
  <c r="Q73" i="21"/>
  <c r="R73" i="21" s="1"/>
  <c r="T73" i="21"/>
  <c r="U73" i="21"/>
  <c r="V73" i="21" s="1"/>
  <c r="W73" i="21"/>
  <c r="X73" i="21" s="1"/>
  <c r="M74" i="21"/>
  <c r="O74" i="21"/>
  <c r="P74" i="21" s="1"/>
  <c r="Q74" i="21"/>
  <c r="R74" i="21" s="1"/>
  <c r="T74" i="21"/>
  <c r="U74" i="21"/>
  <c r="V74" i="21" s="1"/>
  <c r="W74" i="21"/>
  <c r="X74" i="21" s="1"/>
  <c r="M75" i="21"/>
  <c r="O75" i="21"/>
  <c r="P75" i="21"/>
  <c r="Q75" i="21"/>
  <c r="R75" i="21" s="1"/>
  <c r="T75" i="21"/>
  <c r="U75" i="21"/>
  <c r="V75" i="21" s="1"/>
  <c r="W75" i="21"/>
  <c r="X75" i="21" s="1"/>
  <c r="M76" i="21"/>
  <c r="O76" i="21"/>
  <c r="P76" i="21" s="1"/>
  <c r="Q76" i="21"/>
  <c r="R76" i="21" s="1"/>
  <c r="T76" i="21"/>
  <c r="U76" i="21"/>
  <c r="V76" i="21" s="1"/>
  <c r="W76" i="21"/>
  <c r="X76" i="21" s="1"/>
  <c r="M42" i="21"/>
  <c r="O42" i="21"/>
  <c r="P42" i="21" s="1"/>
  <c r="Q42" i="21"/>
  <c r="R42" i="21" s="1"/>
  <c r="T42" i="21"/>
  <c r="U42" i="21"/>
  <c r="V42" i="21" s="1"/>
  <c r="W42" i="21"/>
  <c r="X42" i="21" s="1"/>
  <c r="M43" i="21"/>
  <c r="O43" i="21"/>
  <c r="P43" i="21" s="1"/>
  <c r="Q43" i="21"/>
  <c r="R43" i="21" s="1"/>
  <c r="T43" i="21"/>
  <c r="U43" i="21"/>
  <c r="V43" i="21" s="1"/>
  <c r="W43" i="21"/>
  <c r="X43" i="21" s="1"/>
  <c r="M44" i="21"/>
  <c r="O44" i="21"/>
  <c r="P44" i="21" s="1"/>
  <c r="Q44" i="21"/>
  <c r="R44" i="21" s="1"/>
  <c r="T44" i="21"/>
  <c r="U44" i="21"/>
  <c r="V44" i="21" s="1"/>
  <c r="W44" i="21"/>
  <c r="X44" i="21" s="1"/>
  <c r="M45" i="21"/>
  <c r="O45" i="21"/>
  <c r="P45" i="21" s="1"/>
  <c r="Q45" i="21"/>
  <c r="R45" i="21" s="1"/>
  <c r="T45" i="21"/>
  <c r="U45" i="21"/>
  <c r="V45" i="21" s="1"/>
  <c r="W45" i="21"/>
  <c r="X45" i="21" s="1"/>
  <c r="M46" i="21"/>
  <c r="O46" i="21"/>
  <c r="P46" i="21" s="1"/>
  <c r="Q46" i="21"/>
  <c r="R46" i="21" s="1"/>
  <c r="T46" i="21"/>
  <c r="U46" i="21"/>
  <c r="V46" i="21" s="1"/>
  <c r="W46" i="21"/>
  <c r="Y46" i="21" s="1"/>
  <c r="Z46" i="21" s="1"/>
  <c r="M47" i="21"/>
  <c r="O47" i="21"/>
  <c r="P47" i="21" s="1"/>
  <c r="Q47" i="21"/>
  <c r="R47" i="21" s="1"/>
  <c r="T47" i="21"/>
  <c r="U47" i="21"/>
  <c r="V47" i="21" s="1"/>
  <c r="W47" i="21"/>
  <c r="X47" i="21" s="1"/>
  <c r="M13" i="21"/>
  <c r="O13" i="21"/>
  <c r="P13" i="21" s="1"/>
  <c r="Q13" i="21"/>
  <c r="R13" i="21" s="1"/>
  <c r="T13" i="21"/>
  <c r="V13" i="21"/>
  <c r="W13" i="21"/>
  <c r="Y13" i="21" s="1"/>
  <c r="Z13" i="21" s="1"/>
  <c r="M14" i="21"/>
  <c r="O14" i="21"/>
  <c r="P14" i="21" s="1"/>
  <c r="Q14" i="21"/>
  <c r="R14" i="21" s="1"/>
  <c r="T14" i="21"/>
  <c r="V14" i="21"/>
  <c r="W14" i="21"/>
  <c r="Y14" i="21" s="1"/>
  <c r="Z14" i="21" s="1"/>
  <c r="P15" i="21"/>
  <c r="Q15" i="21"/>
  <c r="R15" i="21" s="1"/>
  <c r="T15" i="21"/>
  <c r="V15" i="21"/>
  <c r="W15" i="21"/>
  <c r="Y15" i="21" s="1"/>
  <c r="Z15" i="21" s="1"/>
  <c r="M16" i="21"/>
  <c r="O16" i="21"/>
  <c r="P16" i="21" s="1"/>
  <c r="Q16" i="21"/>
  <c r="R16" i="21" s="1"/>
  <c r="T16" i="21"/>
  <c r="V16" i="21"/>
  <c r="W16" i="21"/>
  <c r="Y16" i="21" s="1"/>
  <c r="Z16" i="21" s="1"/>
  <c r="M17" i="21"/>
  <c r="O17" i="21"/>
  <c r="P17" i="21" s="1"/>
  <c r="Q17" i="21"/>
  <c r="R17" i="21" s="1"/>
  <c r="T17" i="21"/>
  <c r="V17" i="21"/>
  <c r="W17" i="21"/>
  <c r="Y17" i="21" s="1"/>
  <c r="Z17" i="21" s="1"/>
  <c r="M18" i="21"/>
  <c r="O18" i="21"/>
  <c r="P18" i="21" s="1"/>
  <c r="Q18" i="21"/>
  <c r="R18" i="21" s="1"/>
  <c r="T18" i="21"/>
  <c r="V18" i="21"/>
  <c r="W18" i="21"/>
  <c r="Y18" i="21" s="1"/>
  <c r="Z18" i="21" s="1"/>
  <c r="M99" i="18"/>
  <c r="O99" i="18"/>
  <c r="P99" i="18" s="1"/>
  <c r="Q99" i="18"/>
  <c r="R99" i="18" s="1"/>
  <c r="T99" i="18"/>
  <c r="U99" i="18"/>
  <c r="V99" i="18" s="1"/>
  <c r="W99" i="18"/>
  <c r="X99" i="18" s="1"/>
  <c r="M100" i="18"/>
  <c r="O100" i="18"/>
  <c r="P100" i="18" s="1"/>
  <c r="Q100" i="18"/>
  <c r="R100" i="18" s="1"/>
  <c r="T100" i="18"/>
  <c r="U100" i="18"/>
  <c r="V100" i="18" s="1"/>
  <c r="W100" i="18"/>
  <c r="X100" i="18" s="1"/>
  <c r="M101" i="18"/>
  <c r="O101" i="18"/>
  <c r="P101" i="18" s="1"/>
  <c r="Q101" i="18"/>
  <c r="R101" i="18" s="1"/>
  <c r="T101" i="18"/>
  <c r="U101" i="18"/>
  <c r="V101" i="18" s="1"/>
  <c r="W101" i="18"/>
  <c r="X101" i="18" s="1"/>
  <c r="M102" i="18"/>
  <c r="O102" i="18"/>
  <c r="P102" i="18" s="1"/>
  <c r="Q102" i="18"/>
  <c r="R102" i="18" s="1"/>
  <c r="T102" i="18"/>
  <c r="U102" i="18"/>
  <c r="V102" i="18" s="1"/>
  <c r="W102" i="18"/>
  <c r="X102" i="18" s="1"/>
  <c r="M103" i="18"/>
  <c r="O103" i="18"/>
  <c r="P103" i="18" s="1"/>
  <c r="Q103" i="18"/>
  <c r="R103" i="18" s="1"/>
  <c r="T103" i="18"/>
  <c r="U103" i="18"/>
  <c r="V103" i="18" s="1"/>
  <c r="W103" i="18"/>
  <c r="X103" i="18" s="1"/>
  <c r="M104" i="18"/>
  <c r="O104" i="18"/>
  <c r="P104" i="18" s="1"/>
  <c r="Q104" i="18"/>
  <c r="R104" i="18" s="1"/>
  <c r="T104" i="18"/>
  <c r="U104" i="18"/>
  <c r="V104" i="18" s="1"/>
  <c r="W104" i="18"/>
  <c r="X104" i="18" s="1"/>
  <c r="M71" i="18"/>
  <c r="O71" i="18"/>
  <c r="Q71" i="18"/>
  <c r="R71" i="18" s="1"/>
  <c r="T71" i="18"/>
  <c r="U71" i="18"/>
  <c r="V71" i="18" s="1"/>
  <c r="W71" i="18"/>
  <c r="X71" i="18" s="1"/>
  <c r="M72" i="18"/>
  <c r="O72" i="18"/>
  <c r="Q72" i="18"/>
  <c r="R72" i="18" s="1"/>
  <c r="T72" i="18"/>
  <c r="U72" i="18"/>
  <c r="V72" i="18" s="1"/>
  <c r="W72" i="18"/>
  <c r="Y72" i="18" s="1"/>
  <c r="Z72" i="18" s="1"/>
  <c r="M73" i="18"/>
  <c r="O73" i="18"/>
  <c r="Q73" i="18"/>
  <c r="R73" i="18" s="1"/>
  <c r="T73" i="18"/>
  <c r="U73" i="18"/>
  <c r="V73" i="18" s="1"/>
  <c r="W73" i="18"/>
  <c r="Y73" i="18" s="1"/>
  <c r="Z73" i="18" s="1"/>
  <c r="M74" i="18"/>
  <c r="O74" i="18"/>
  <c r="Q74" i="18"/>
  <c r="R74" i="18" s="1"/>
  <c r="T74" i="18"/>
  <c r="U74" i="18"/>
  <c r="V74" i="18" s="1"/>
  <c r="W74" i="18"/>
  <c r="X74" i="18" s="1"/>
  <c r="M75" i="18"/>
  <c r="O75" i="18"/>
  <c r="Q75" i="18"/>
  <c r="R75" i="18" s="1"/>
  <c r="T75" i="18"/>
  <c r="U75" i="18"/>
  <c r="V75" i="18" s="1"/>
  <c r="W75" i="18"/>
  <c r="X75" i="18" s="1"/>
  <c r="M76" i="18"/>
  <c r="O76" i="18"/>
  <c r="Q76" i="18"/>
  <c r="R76" i="18" s="1"/>
  <c r="T76" i="18"/>
  <c r="U76" i="18"/>
  <c r="V76" i="18" s="1"/>
  <c r="W76" i="18"/>
  <c r="X76" i="18" s="1"/>
  <c r="M42" i="18"/>
  <c r="O42" i="18"/>
  <c r="P42" i="18" s="1"/>
  <c r="Q42" i="18"/>
  <c r="R42" i="18" s="1"/>
  <c r="T42" i="18"/>
  <c r="U42" i="18"/>
  <c r="V42" i="18" s="1"/>
  <c r="W42" i="18"/>
  <c r="X42" i="18" s="1"/>
  <c r="M43" i="18"/>
  <c r="O43" i="18"/>
  <c r="P43" i="18" s="1"/>
  <c r="Q43" i="18"/>
  <c r="R43" i="18" s="1"/>
  <c r="T43" i="18"/>
  <c r="U43" i="18"/>
  <c r="V43" i="18" s="1"/>
  <c r="W43" i="18"/>
  <c r="X43" i="18" s="1"/>
  <c r="M44" i="18"/>
  <c r="O44" i="18"/>
  <c r="P44" i="18" s="1"/>
  <c r="Q44" i="18"/>
  <c r="R44" i="18" s="1"/>
  <c r="T44" i="18"/>
  <c r="U44" i="18"/>
  <c r="V44" i="18" s="1"/>
  <c r="W44" i="18"/>
  <c r="X44" i="18" s="1"/>
  <c r="M45" i="18"/>
  <c r="O45" i="18"/>
  <c r="P45" i="18" s="1"/>
  <c r="Q45" i="18"/>
  <c r="R45" i="18" s="1"/>
  <c r="T45" i="18"/>
  <c r="U45" i="18"/>
  <c r="V45" i="18" s="1"/>
  <c r="W45" i="18"/>
  <c r="X45" i="18" s="1"/>
  <c r="M46" i="18"/>
  <c r="O46" i="18"/>
  <c r="P46" i="18" s="1"/>
  <c r="Q46" i="18"/>
  <c r="R46" i="18" s="1"/>
  <c r="T46" i="18"/>
  <c r="U46" i="18"/>
  <c r="V46" i="18" s="1"/>
  <c r="W46" i="18"/>
  <c r="X46" i="18" s="1"/>
  <c r="M47" i="18"/>
  <c r="O47" i="18"/>
  <c r="P47" i="18" s="1"/>
  <c r="Q47" i="18"/>
  <c r="R47" i="18" s="1"/>
  <c r="T47" i="18"/>
  <c r="U47" i="18"/>
  <c r="V47" i="18" s="1"/>
  <c r="W47" i="18"/>
  <c r="X47" i="18" s="1"/>
  <c r="M13" i="18"/>
  <c r="O13" i="18"/>
  <c r="P13" i="18" s="1"/>
  <c r="Q13" i="18"/>
  <c r="R13" i="18" s="1"/>
  <c r="T13" i="18"/>
  <c r="U13" i="18"/>
  <c r="V13" i="18" s="1"/>
  <c r="W13" i="18"/>
  <c r="M14" i="18"/>
  <c r="O14" i="18"/>
  <c r="P14" i="18" s="1"/>
  <c r="Q14" i="18"/>
  <c r="R14" i="18" s="1"/>
  <c r="T14" i="18"/>
  <c r="U14" i="18"/>
  <c r="V14" i="18" s="1"/>
  <c r="W14" i="18"/>
  <c r="Y14" i="18" s="1"/>
  <c r="Z14" i="18" s="1"/>
  <c r="M15" i="18"/>
  <c r="O15" i="18"/>
  <c r="P15" i="18" s="1"/>
  <c r="Q15" i="18"/>
  <c r="R15" i="18" s="1"/>
  <c r="T15" i="18"/>
  <c r="U15" i="18"/>
  <c r="V15" i="18" s="1"/>
  <c r="W15" i="18"/>
  <c r="Y15" i="18" s="1"/>
  <c r="Z15" i="18" s="1"/>
  <c r="M16" i="18"/>
  <c r="O16" i="18"/>
  <c r="P16" i="18" s="1"/>
  <c r="Q16" i="18"/>
  <c r="R16" i="18" s="1"/>
  <c r="T16" i="18"/>
  <c r="U16" i="18"/>
  <c r="V16" i="18" s="1"/>
  <c r="W16" i="18"/>
  <c r="Y16" i="18" s="1"/>
  <c r="Z16" i="18" s="1"/>
  <c r="M17" i="18"/>
  <c r="O17" i="18"/>
  <c r="P17" i="18" s="1"/>
  <c r="Q17" i="18"/>
  <c r="R17" i="18" s="1"/>
  <c r="T17" i="18"/>
  <c r="U17" i="18"/>
  <c r="V17" i="18" s="1"/>
  <c r="W17" i="18"/>
  <c r="Y17" i="18" s="1"/>
  <c r="Z17" i="18" s="1"/>
  <c r="M18" i="18"/>
  <c r="O18" i="18"/>
  <c r="P18" i="18" s="1"/>
  <c r="Q18" i="18"/>
  <c r="R18" i="18" s="1"/>
  <c r="T18" i="18"/>
  <c r="U18" i="18"/>
  <c r="V18" i="18" s="1"/>
  <c r="W18" i="18"/>
  <c r="Y18" i="18" s="1"/>
  <c r="Z18" i="18" s="1"/>
  <c r="T13" i="17"/>
  <c r="U13" i="17"/>
  <c r="V13" i="17" s="1"/>
  <c r="T14" i="17"/>
  <c r="U14" i="17"/>
  <c r="V14" i="17" s="1"/>
  <c r="T15" i="17"/>
  <c r="U15" i="17"/>
  <c r="V15" i="17" s="1"/>
  <c r="T16" i="17"/>
  <c r="U16" i="17"/>
  <c r="V16" i="17" s="1"/>
  <c r="T17" i="17"/>
  <c r="U17" i="17"/>
  <c r="V17" i="17" s="1"/>
  <c r="T18" i="17"/>
  <c r="U18" i="17"/>
  <c r="V18" i="17" s="1"/>
  <c r="T42" i="17"/>
  <c r="U42" i="17"/>
  <c r="T43" i="17"/>
  <c r="U43" i="17"/>
  <c r="T44" i="17"/>
  <c r="U44" i="17"/>
  <c r="T45" i="17"/>
  <c r="U45" i="17"/>
  <c r="T46" i="17"/>
  <c r="U46" i="17"/>
  <c r="T47" i="17"/>
  <c r="U47" i="17"/>
  <c r="T71" i="17"/>
  <c r="U71" i="17"/>
  <c r="V71" i="17" s="1"/>
  <c r="T72" i="17"/>
  <c r="U72" i="17"/>
  <c r="V72" i="17" s="1"/>
  <c r="T73" i="17"/>
  <c r="U73" i="17"/>
  <c r="V73" i="17" s="1"/>
  <c r="T74" i="17"/>
  <c r="U74" i="17"/>
  <c r="V74" i="17" s="1"/>
  <c r="T75" i="17"/>
  <c r="U75" i="17"/>
  <c r="V75" i="17" s="1"/>
  <c r="T76" i="17"/>
  <c r="U76" i="17"/>
  <c r="V76" i="17" s="1"/>
  <c r="M99" i="17"/>
  <c r="O99" i="17"/>
  <c r="P99" i="17" s="1"/>
  <c r="Q99" i="17"/>
  <c r="R99" i="17" s="1"/>
  <c r="T99" i="17"/>
  <c r="U99" i="17"/>
  <c r="V99" i="17" s="1"/>
  <c r="W99" i="17"/>
  <c r="Y99" i="17" s="1"/>
  <c r="Z99" i="17" s="1"/>
  <c r="M100" i="17"/>
  <c r="O100" i="17"/>
  <c r="P100" i="17" s="1"/>
  <c r="Q100" i="17"/>
  <c r="R100" i="17" s="1"/>
  <c r="T100" i="17"/>
  <c r="U100" i="17"/>
  <c r="V100" i="17" s="1"/>
  <c r="W100" i="17"/>
  <c r="Y100" i="17" s="1"/>
  <c r="Z100" i="17" s="1"/>
  <c r="T101" i="17"/>
  <c r="U101" i="17"/>
  <c r="V101" i="17" s="1"/>
  <c r="T102" i="17"/>
  <c r="U102" i="17"/>
  <c r="V102" i="17" s="1"/>
  <c r="T103" i="17"/>
  <c r="U103" i="17"/>
  <c r="V103" i="17" s="1"/>
  <c r="T104" i="17"/>
  <c r="U104" i="17"/>
  <c r="V104" i="17" s="1"/>
  <c r="M13" i="16"/>
  <c r="O13" i="16"/>
  <c r="P13" i="16" s="1"/>
  <c r="Q13" i="16"/>
  <c r="R13" i="16" s="1"/>
  <c r="T13" i="16"/>
  <c r="U13" i="16"/>
  <c r="V13" i="16" s="1"/>
  <c r="W13" i="16"/>
  <c r="X13" i="16" s="1"/>
  <c r="M14" i="16"/>
  <c r="O14" i="16"/>
  <c r="P14" i="16" s="1"/>
  <c r="Q14" i="16"/>
  <c r="R14" i="16" s="1"/>
  <c r="T14" i="16"/>
  <c r="U14" i="16"/>
  <c r="V14" i="16" s="1"/>
  <c r="W14" i="16"/>
  <c r="X14" i="16" s="1"/>
  <c r="M15" i="16"/>
  <c r="O15" i="16"/>
  <c r="P15" i="16" s="1"/>
  <c r="Q15" i="16"/>
  <c r="R15" i="16" s="1"/>
  <c r="T15" i="16"/>
  <c r="U15" i="16"/>
  <c r="V15" i="16" s="1"/>
  <c r="W15" i="16"/>
  <c r="X15" i="16" s="1"/>
  <c r="M16" i="16"/>
  <c r="O16" i="16"/>
  <c r="P16" i="16" s="1"/>
  <c r="Q16" i="16"/>
  <c r="R16" i="16" s="1"/>
  <c r="T16" i="16"/>
  <c r="U16" i="16"/>
  <c r="V16" i="16" s="1"/>
  <c r="W16" i="16"/>
  <c r="X16" i="16" s="1"/>
  <c r="M17" i="16"/>
  <c r="O17" i="16"/>
  <c r="P17" i="16" s="1"/>
  <c r="Q17" i="16"/>
  <c r="R17" i="16" s="1"/>
  <c r="T17" i="16"/>
  <c r="U17" i="16"/>
  <c r="V17" i="16" s="1"/>
  <c r="W17" i="16"/>
  <c r="X17" i="16" s="1"/>
  <c r="M18" i="16"/>
  <c r="O18" i="16"/>
  <c r="P18" i="16" s="1"/>
  <c r="Q18" i="16"/>
  <c r="R18" i="16" s="1"/>
  <c r="T18" i="16"/>
  <c r="U18" i="16"/>
  <c r="V18" i="16" s="1"/>
  <c r="W18" i="16"/>
  <c r="X18" i="16" s="1"/>
  <c r="M42" i="16"/>
  <c r="O42" i="16"/>
  <c r="P42" i="16" s="1"/>
  <c r="Q42" i="16"/>
  <c r="R42" i="16" s="1"/>
  <c r="T42" i="16"/>
  <c r="U42" i="16"/>
  <c r="V42" i="16" s="1"/>
  <c r="W42" i="16"/>
  <c r="Y42" i="16" s="1"/>
  <c r="Z42" i="16" s="1"/>
  <c r="M43" i="16"/>
  <c r="O43" i="16"/>
  <c r="P43" i="16" s="1"/>
  <c r="Q43" i="16"/>
  <c r="R43" i="16" s="1"/>
  <c r="T43" i="16"/>
  <c r="U43" i="16"/>
  <c r="V43" i="16" s="1"/>
  <c r="W43" i="16"/>
  <c r="Y43" i="16" s="1"/>
  <c r="Z43" i="16" s="1"/>
  <c r="M44" i="16"/>
  <c r="O44" i="16"/>
  <c r="Q44" i="16"/>
  <c r="R44" i="16" s="1"/>
  <c r="T44" i="16"/>
  <c r="U44" i="16"/>
  <c r="V44" i="16" s="1"/>
  <c r="W44" i="16"/>
  <c r="M45" i="16"/>
  <c r="O45" i="16"/>
  <c r="P45" i="16" s="1"/>
  <c r="Q45" i="16"/>
  <c r="R45" i="16" s="1"/>
  <c r="T45" i="16"/>
  <c r="U45" i="16"/>
  <c r="V45" i="16" s="1"/>
  <c r="W45" i="16"/>
  <c r="Y45" i="16" s="1"/>
  <c r="Z45" i="16" s="1"/>
  <c r="M46" i="16"/>
  <c r="O46" i="16"/>
  <c r="P46" i="16" s="1"/>
  <c r="Q46" i="16"/>
  <c r="R46" i="16" s="1"/>
  <c r="T46" i="16"/>
  <c r="U46" i="16"/>
  <c r="V46" i="16" s="1"/>
  <c r="W46" i="16"/>
  <c r="Y46" i="16" s="1"/>
  <c r="Z46" i="16" s="1"/>
  <c r="M47" i="16"/>
  <c r="O47" i="16"/>
  <c r="P47" i="16" s="1"/>
  <c r="Q47" i="16"/>
  <c r="R47" i="16" s="1"/>
  <c r="T47" i="16"/>
  <c r="U47" i="16"/>
  <c r="V47" i="16" s="1"/>
  <c r="W47" i="16"/>
  <c r="Y47" i="16" s="1"/>
  <c r="Z47" i="16" s="1"/>
  <c r="M99" i="16"/>
  <c r="O99" i="16"/>
  <c r="P99" i="16" s="1"/>
  <c r="Q99" i="16"/>
  <c r="R99" i="16" s="1"/>
  <c r="T99" i="16"/>
  <c r="U99" i="16"/>
  <c r="V99" i="16" s="1"/>
  <c r="W99" i="16"/>
  <c r="Y99" i="16" s="1"/>
  <c r="Z99" i="16" s="1"/>
  <c r="M100" i="16"/>
  <c r="O100" i="16"/>
  <c r="P100" i="16" s="1"/>
  <c r="Q100" i="16"/>
  <c r="R100" i="16" s="1"/>
  <c r="T100" i="16"/>
  <c r="U100" i="16"/>
  <c r="V100" i="16" s="1"/>
  <c r="W100" i="16"/>
  <c r="Y100" i="16" s="1"/>
  <c r="Z100" i="16" s="1"/>
  <c r="M101" i="16"/>
  <c r="O101" i="16"/>
  <c r="P101" i="16" s="1"/>
  <c r="Q101" i="16"/>
  <c r="R101" i="16" s="1"/>
  <c r="T101" i="16"/>
  <c r="U101" i="16"/>
  <c r="V101" i="16" s="1"/>
  <c r="W101" i="16"/>
  <c r="Y101" i="16" s="1"/>
  <c r="Z101" i="16" s="1"/>
  <c r="M102" i="16"/>
  <c r="O102" i="16"/>
  <c r="P102" i="16" s="1"/>
  <c r="P111" i="16" s="1"/>
  <c r="Q102" i="16"/>
  <c r="R102" i="16" s="1"/>
  <c r="R111" i="16" s="1"/>
  <c r="T102" i="16"/>
  <c r="U102" i="16"/>
  <c r="V102" i="16" s="1"/>
  <c r="V111" i="16" s="1"/>
  <c r="W102" i="16"/>
  <c r="Y102" i="16" s="1"/>
  <c r="Z102" i="16" s="1"/>
  <c r="M103" i="16"/>
  <c r="O103" i="16"/>
  <c r="P103" i="16" s="1"/>
  <c r="Q103" i="16"/>
  <c r="R103" i="16" s="1"/>
  <c r="T103" i="16"/>
  <c r="U103" i="16"/>
  <c r="V103" i="16" s="1"/>
  <c r="W103" i="16"/>
  <c r="Y103" i="16" s="1"/>
  <c r="Z103" i="16" s="1"/>
  <c r="M104" i="16"/>
  <c r="O104" i="16"/>
  <c r="P104" i="16" s="1"/>
  <c r="Q104" i="16"/>
  <c r="R104" i="16" s="1"/>
  <c r="T104" i="16"/>
  <c r="U104" i="16"/>
  <c r="V104" i="16" s="1"/>
  <c r="W104" i="16"/>
  <c r="Y104" i="16" s="1"/>
  <c r="Z104" i="16" s="1"/>
  <c r="M71" i="16"/>
  <c r="O71" i="16"/>
  <c r="P71" i="16" s="1"/>
  <c r="Q71" i="16"/>
  <c r="R71" i="16" s="1"/>
  <c r="T71" i="16"/>
  <c r="U71" i="16"/>
  <c r="V71" i="16" s="1"/>
  <c r="W71" i="16"/>
  <c r="Y71" i="16" s="1"/>
  <c r="Z71" i="16" s="1"/>
  <c r="M72" i="16"/>
  <c r="O72" i="16"/>
  <c r="P72" i="16" s="1"/>
  <c r="Q72" i="16"/>
  <c r="R72" i="16" s="1"/>
  <c r="T72" i="16"/>
  <c r="U72" i="16"/>
  <c r="V72" i="16" s="1"/>
  <c r="W72" i="16"/>
  <c r="X72" i="16" s="1"/>
  <c r="M73" i="16"/>
  <c r="O73" i="16"/>
  <c r="P73" i="16" s="1"/>
  <c r="Q73" i="16"/>
  <c r="R73" i="16" s="1"/>
  <c r="T73" i="16"/>
  <c r="U73" i="16"/>
  <c r="V73" i="16" s="1"/>
  <c r="W73" i="16"/>
  <c r="X73" i="16" s="1"/>
  <c r="M74" i="16"/>
  <c r="O74" i="16"/>
  <c r="P74" i="16" s="1"/>
  <c r="Q74" i="16"/>
  <c r="R74" i="16" s="1"/>
  <c r="T74" i="16"/>
  <c r="U74" i="16"/>
  <c r="V74" i="16" s="1"/>
  <c r="W74" i="16"/>
  <c r="X74" i="16" s="1"/>
  <c r="M75" i="16"/>
  <c r="O75" i="16"/>
  <c r="P75" i="16" s="1"/>
  <c r="Q75" i="16"/>
  <c r="R75" i="16" s="1"/>
  <c r="T75" i="16"/>
  <c r="U75" i="16"/>
  <c r="V75" i="16" s="1"/>
  <c r="W75" i="16"/>
  <c r="Y75" i="16" s="1"/>
  <c r="Z75" i="16" s="1"/>
  <c r="M76" i="16"/>
  <c r="O76" i="16"/>
  <c r="P76" i="16" s="1"/>
  <c r="Q76" i="16"/>
  <c r="R76" i="16" s="1"/>
  <c r="T76" i="16"/>
  <c r="U76" i="16"/>
  <c r="V76" i="16" s="1"/>
  <c r="W76" i="16"/>
  <c r="X76" i="16" s="1"/>
  <c r="M13" i="12"/>
  <c r="O13" i="12"/>
  <c r="P13" i="12" s="1"/>
  <c r="Q13" i="12"/>
  <c r="R13" i="12" s="1"/>
  <c r="T13" i="12"/>
  <c r="U13" i="12"/>
  <c r="V13" i="12" s="1"/>
  <c r="W13" i="12"/>
  <c r="X13" i="12" s="1"/>
  <c r="M14" i="12"/>
  <c r="O14" i="12"/>
  <c r="P14" i="12" s="1"/>
  <c r="Q14" i="12"/>
  <c r="R14" i="12" s="1"/>
  <c r="T14" i="12"/>
  <c r="U14" i="12"/>
  <c r="V14" i="12" s="1"/>
  <c r="W14" i="12"/>
  <c r="X14" i="12" s="1"/>
  <c r="M99" i="12"/>
  <c r="O99" i="12"/>
  <c r="P99" i="12" s="1"/>
  <c r="Q99" i="12"/>
  <c r="R99" i="12" s="1"/>
  <c r="T99" i="12"/>
  <c r="U99" i="12"/>
  <c r="V99" i="12" s="1"/>
  <c r="W99" i="12"/>
  <c r="Y99" i="12" s="1"/>
  <c r="Z99" i="12" s="1"/>
  <c r="M13" i="13"/>
  <c r="O13" i="13"/>
  <c r="Q13" i="13"/>
  <c r="R13" i="13" s="1"/>
  <c r="T13" i="13"/>
  <c r="U13" i="13"/>
  <c r="V13" i="13" s="1"/>
  <c r="W13" i="13"/>
  <c r="X13" i="13" s="1"/>
  <c r="M14" i="13"/>
  <c r="O14" i="13"/>
  <c r="Q14" i="13"/>
  <c r="R14" i="13" s="1"/>
  <c r="T14" i="13"/>
  <c r="U14" i="13"/>
  <c r="V14" i="13" s="1"/>
  <c r="W14" i="13"/>
  <c r="X14" i="13" s="1"/>
  <c r="M15" i="13"/>
  <c r="O15" i="13"/>
  <c r="Q15" i="13"/>
  <c r="R15" i="13" s="1"/>
  <c r="T15" i="13"/>
  <c r="U15" i="13"/>
  <c r="V15" i="13" s="1"/>
  <c r="W15" i="13"/>
  <c r="Y15" i="13" s="1"/>
  <c r="Z15" i="13" s="1"/>
  <c r="M16" i="13"/>
  <c r="O16" i="13"/>
  <c r="Q16" i="13"/>
  <c r="R16" i="13" s="1"/>
  <c r="T16" i="13"/>
  <c r="U16" i="13"/>
  <c r="V16" i="13" s="1"/>
  <c r="W16" i="13"/>
  <c r="X16" i="13" s="1"/>
  <c r="M17" i="13"/>
  <c r="O17" i="13"/>
  <c r="Q17" i="13"/>
  <c r="R17" i="13" s="1"/>
  <c r="T17" i="13"/>
  <c r="U17" i="13"/>
  <c r="V17" i="13" s="1"/>
  <c r="W17" i="13"/>
  <c r="X17" i="13" s="1"/>
  <c r="M18" i="13"/>
  <c r="O18" i="13"/>
  <c r="Q18" i="13"/>
  <c r="R18" i="13" s="1"/>
  <c r="T18" i="13"/>
  <c r="U18" i="13"/>
  <c r="V18" i="13" s="1"/>
  <c r="W18" i="13"/>
  <c r="X18" i="13" s="1"/>
  <c r="M42" i="13"/>
  <c r="O42" i="13"/>
  <c r="P42" i="13" s="1"/>
  <c r="Q42" i="13"/>
  <c r="R42" i="13" s="1"/>
  <c r="T42" i="13"/>
  <c r="U42" i="13"/>
  <c r="V42" i="13" s="1"/>
  <c r="W42" i="13"/>
  <c r="Y42" i="13" s="1"/>
  <c r="Z42" i="13" s="1"/>
  <c r="M43" i="13"/>
  <c r="O43" i="13"/>
  <c r="P43" i="13" s="1"/>
  <c r="Q43" i="13"/>
  <c r="R43" i="13" s="1"/>
  <c r="T43" i="13"/>
  <c r="U43" i="13"/>
  <c r="V43" i="13" s="1"/>
  <c r="W43" i="13"/>
  <c r="Y43" i="13" s="1"/>
  <c r="Z43" i="13" s="1"/>
  <c r="M44" i="13"/>
  <c r="O44" i="13"/>
  <c r="P44" i="13" s="1"/>
  <c r="Q44" i="13"/>
  <c r="R44" i="13" s="1"/>
  <c r="T44" i="13"/>
  <c r="U44" i="13"/>
  <c r="V44" i="13" s="1"/>
  <c r="W44" i="13"/>
  <c r="Y44" i="13" s="1"/>
  <c r="Z44" i="13" s="1"/>
  <c r="M45" i="13"/>
  <c r="O45" i="13"/>
  <c r="P45" i="13" s="1"/>
  <c r="Q45" i="13"/>
  <c r="R45" i="13" s="1"/>
  <c r="T45" i="13"/>
  <c r="U45" i="13"/>
  <c r="V45" i="13" s="1"/>
  <c r="W45" i="13"/>
  <c r="Y45" i="13" s="1"/>
  <c r="Z45" i="13" s="1"/>
  <c r="M46" i="13"/>
  <c r="O46" i="13"/>
  <c r="P46" i="13" s="1"/>
  <c r="Q46" i="13"/>
  <c r="R46" i="13" s="1"/>
  <c r="T46" i="13"/>
  <c r="U46" i="13"/>
  <c r="V46" i="13" s="1"/>
  <c r="W46" i="13"/>
  <c r="X46" i="13" s="1"/>
  <c r="M47" i="13"/>
  <c r="O47" i="13"/>
  <c r="P47" i="13" s="1"/>
  <c r="Q47" i="13"/>
  <c r="R47" i="13" s="1"/>
  <c r="T47" i="13"/>
  <c r="U47" i="13"/>
  <c r="V47" i="13" s="1"/>
  <c r="W47" i="13"/>
  <c r="Y47" i="13" s="1"/>
  <c r="Z47" i="13" s="1"/>
  <c r="M71" i="13"/>
  <c r="O71" i="13"/>
  <c r="Q71" i="13"/>
  <c r="R71" i="13" s="1"/>
  <c r="T71" i="13"/>
  <c r="U71" i="13"/>
  <c r="V71" i="13" s="1"/>
  <c r="W71" i="13"/>
  <c r="X71" i="13" s="1"/>
  <c r="M72" i="13"/>
  <c r="O72" i="13"/>
  <c r="Q72" i="13"/>
  <c r="R72" i="13" s="1"/>
  <c r="T72" i="13"/>
  <c r="U72" i="13"/>
  <c r="V72" i="13" s="1"/>
  <c r="W72" i="13"/>
  <c r="X72" i="13" s="1"/>
  <c r="M73" i="13"/>
  <c r="O73" i="13"/>
  <c r="P73" i="13" s="1"/>
  <c r="Q73" i="13"/>
  <c r="R73" i="13" s="1"/>
  <c r="T73" i="13"/>
  <c r="U73" i="13"/>
  <c r="V73" i="13" s="1"/>
  <c r="W73" i="13"/>
  <c r="X73" i="13" s="1"/>
  <c r="M74" i="13"/>
  <c r="O74" i="13"/>
  <c r="Q74" i="13"/>
  <c r="R74" i="13" s="1"/>
  <c r="T74" i="13"/>
  <c r="U74" i="13"/>
  <c r="V74" i="13" s="1"/>
  <c r="W74" i="13"/>
  <c r="X74" i="13" s="1"/>
  <c r="M75" i="13"/>
  <c r="O75" i="13"/>
  <c r="P75" i="13" s="1"/>
  <c r="Q75" i="13"/>
  <c r="R75" i="13" s="1"/>
  <c r="T75" i="13"/>
  <c r="U75" i="13"/>
  <c r="V75" i="13" s="1"/>
  <c r="W75" i="13"/>
  <c r="Y75" i="13" s="1"/>
  <c r="Z75" i="13" s="1"/>
  <c r="M76" i="13"/>
  <c r="O76" i="13"/>
  <c r="P76" i="13" s="1"/>
  <c r="Q76" i="13"/>
  <c r="R76" i="13" s="1"/>
  <c r="T76" i="13"/>
  <c r="U76" i="13"/>
  <c r="V76" i="13" s="1"/>
  <c r="W76" i="13"/>
  <c r="X76" i="13" s="1"/>
  <c r="M99" i="13"/>
  <c r="O99" i="13"/>
  <c r="P99" i="13" s="1"/>
  <c r="Q99" i="13"/>
  <c r="R99" i="13" s="1"/>
  <c r="T99" i="13"/>
  <c r="U99" i="13"/>
  <c r="V99" i="13" s="1"/>
  <c r="W99" i="13"/>
  <c r="X99" i="13" s="1"/>
  <c r="M100" i="13"/>
  <c r="O100" i="13"/>
  <c r="P100" i="13" s="1"/>
  <c r="Q100" i="13"/>
  <c r="R100" i="13" s="1"/>
  <c r="T100" i="13"/>
  <c r="U100" i="13"/>
  <c r="V100" i="13" s="1"/>
  <c r="W100" i="13"/>
  <c r="X100" i="13" s="1"/>
  <c r="M101" i="13"/>
  <c r="O101" i="13"/>
  <c r="P101" i="13" s="1"/>
  <c r="Q101" i="13"/>
  <c r="R101" i="13" s="1"/>
  <c r="T101" i="13"/>
  <c r="U101" i="13"/>
  <c r="V101" i="13" s="1"/>
  <c r="W101" i="13"/>
  <c r="X101" i="13" s="1"/>
  <c r="M102" i="13"/>
  <c r="O102" i="13"/>
  <c r="P102" i="13" s="1"/>
  <c r="Q102" i="13"/>
  <c r="R102" i="13" s="1"/>
  <c r="T102" i="13"/>
  <c r="U102" i="13"/>
  <c r="V102" i="13" s="1"/>
  <c r="W102" i="13"/>
  <c r="X102" i="13" s="1"/>
  <c r="M103" i="13"/>
  <c r="O103" i="13"/>
  <c r="P103" i="13" s="1"/>
  <c r="Q103" i="13"/>
  <c r="R103" i="13" s="1"/>
  <c r="T103" i="13"/>
  <c r="U103" i="13"/>
  <c r="V103" i="13" s="1"/>
  <c r="W103" i="13"/>
  <c r="X103" i="13" s="1"/>
  <c r="M104" i="13"/>
  <c r="O104" i="13"/>
  <c r="P104" i="13" s="1"/>
  <c r="Q104" i="13"/>
  <c r="R104" i="13" s="1"/>
  <c r="T104" i="13"/>
  <c r="U104" i="13"/>
  <c r="V104" i="13" s="1"/>
  <c r="W104" i="13"/>
  <c r="X104" i="13" s="1"/>
  <c r="Y113" i="31"/>
  <c r="Z113" i="31" s="1"/>
  <c r="W113" i="31"/>
  <c r="X113" i="31" s="1"/>
  <c r="U113" i="31"/>
  <c r="V113" i="31" s="1"/>
  <c r="S113" i="31"/>
  <c r="T113" i="31" s="1"/>
  <c r="Q113" i="31"/>
  <c r="R113" i="31" s="1"/>
  <c r="O113" i="31"/>
  <c r="P113" i="31" s="1"/>
  <c r="M113" i="31"/>
  <c r="N113" i="31" s="1"/>
  <c r="L113" i="31"/>
  <c r="Z111" i="31"/>
  <c r="X111" i="31"/>
  <c r="V111" i="31"/>
  <c r="T111" i="31"/>
  <c r="R111" i="31"/>
  <c r="P111" i="31"/>
  <c r="N111" i="31"/>
  <c r="W98" i="31"/>
  <c r="X98" i="31" s="1"/>
  <c r="U98" i="31"/>
  <c r="V98" i="31" s="1"/>
  <c r="T98" i="31"/>
  <c r="Q98" i="31"/>
  <c r="R98" i="31" s="1"/>
  <c r="O98" i="31"/>
  <c r="P98" i="31" s="1"/>
  <c r="M98" i="31"/>
  <c r="W97" i="31"/>
  <c r="Y97" i="31" s="1"/>
  <c r="Z97" i="31" s="1"/>
  <c r="U97" i="31"/>
  <c r="V97" i="31" s="1"/>
  <c r="T97" i="31"/>
  <c r="Q97" i="31"/>
  <c r="R97" i="31" s="1"/>
  <c r="O97" i="31"/>
  <c r="P97" i="31" s="1"/>
  <c r="M97" i="31"/>
  <c r="W96" i="31"/>
  <c r="U96" i="31"/>
  <c r="V96" i="31" s="1"/>
  <c r="T96" i="31"/>
  <c r="Q96" i="31"/>
  <c r="R96" i="31" s="1"/>
  <c r="O96" i="31"/>
  <c r="P96" i="31" s="1"/>
  <c r="M96" i="31"/>
  <c r="W95" i="31"/>
  <c r="Y95" i="31" s="1"/>
  <c r="Z95" i="31" s="1"/>
  <c r="U95" i="31"/>
  <c r="V95" i="31" s="1"/>
  <c r="T95" i="31"/>
  <c r="Q95" i="31"/>
  <c r="R95" i="31" s="1"/>
  <c r="O95" i="31"/>
  <c r="P95" i="31" s="1"/>
  <c r="M95" i="31"/>
  <c r="W94" i="31"/>
  <c r="U94" i="31"/>
  <c r="V94" i="31" s="1"/>
  <c r="T94" i="31"/>
  <c r="Q94" i="31"/>
  <c r="R94" i="31" s="1"/>
  <c r="O94" i="31"/>
  <c r="P94" i="31" s="1"/>
  <c r="M94" i="31"/>
  <c r="W93" i="31"/>
  <c r="U93" i="31"/>
  <c r="V93" i="31" s="1"/>
  <c r="T93" i="31"/>
  <c r="Q93" i="31"/>
  <c r="R93" i="31" s="1"/>
  <c r="O93" i="31"/>
  <c r="P93" i="31" s="1"/>
  <c r="M93" i="31"/>
  <c r="U84" i="31"/>
  <c r="V84" i="31" s="1"/>
  <c r="S84" i="31"/>
  <c r="T84" i="31" s="1"/>
  <c r="L84" i="31"/>
  <c r="W70" i="31"/>
  <c r="X70" i="31" s="1"/>
  <c r="U70" i="31"/>
  <c r="V70" i="31" s="1"/>
  <c r="T70" i="31"/>
  <c r="Q70" i="31"/>
  <c r="R70" i="31" s="1"/>
  <c r="O70" i="31"/>
  <c r="P70" i="31" s="1"/>
  <c r="M70" i="31"/>
  <c r="W69" i="31"/>
  <c r="X69" i="31" s="1"/>
  <c r="U69" i="31"/>
  <c r="V69" i="31" s="1"/>
  <c r="T69" i="31"/>
  <c r="Q69" i="31"/>
  <c r="R69" i="31" s="1"/>
  <c r="O69" i="31"/>
  <c r="P69" i="31" s="1"/>
  <c r="O84" i="31" s="1"/>
  <c r="P84" i="31" s="1"/>
  <c r="M69" i="31"/>
  <c r="W68" i="31"/>
  <c r="Y68" i="31" s="1"/>
  <c r="Z68" i="31" s="1"/>
  <c r="U68" i="31"/>
  <c r="V68" i="31" s="1"/>
  <c r="T68" i="31"/>
  <c r="Q68" i="31"/>
  <c r="R68" i="31" s="1"/>
  <c r="Q84" i="31" s="1"/>
  <c r="R84" i="31" s="1"/>
  <c r="O68" i="31"/>
  <c r="P68" i="31" s="1"/>
  <c r="M68" i="31"/>
  <c r="W67" i="31"/>
  <c r="X67" i="31" s="1"/>
  <c r="U67" i="31"/>
  <c r="V67" i="31" s="1"/>
  <c r="T67" i="31"/>
  <c r="Q67" i="31"/>
  <c r="R67" i="31" s="1"/>
  <c r="O67" i="31"/>
  <c r="P67" i="31" s="1"/>
  <c r="M67" i="31"/>
  <c r="W66" i="31"/>
  <c r="X66" i="31" s="1"/>
  <c r="U66" i="31"/>
  <c r="V66" i="31" s="1"/>
  <c r="T66" i="31"/>
  <c r="Q66" i="31"/>
  <c r="R66" i="31" s="1"/>
  <c r="O66" i="31"/>
  <c r="P66" i="31" s="1"/>
  <c r="M66" i="31"/>
  <c r="W65" i="31"/>
  <c r="Y65" i="31" s="1"/>
  <c r="Z65" i="31" s="1"/>
  <c r="U65" i="31"/>
  <c r="V65" i="31" s="1"/>
  <c r="T65" i="31"/>
  <c r="Q65" i="31"/>
  <c r="R65" i="31" s="1"/>
  <c r="O65" i="31"/>
  <c r="P65" i="31" s="1"/>
  <c r="M65" i="31"/>
  <c r="L56" i="31"/>
  <c r="Z54" i="31"/>
  <c r="X54" i="31"/>
  <c r="V54" i="31"/>
  <c r="T54" i="31"/>
  <c r="R54" i="31"/>
  <c r="P54" i="31"/>
  <c r="N54" i="31"/>
  <c r="W41" i="31"/>
  <c r="Y41" i="31" s="1"/>
  <c r="Z41" i="31" s="1"/>
  <c r="U41" i="31"/>
  <c r="V41" i="31" s="1"/>
  <c r="T41" i="31"/>
  <c r="Q41" i="31"/>
  <c r="R41" i="31" s="1"/>
  <c r="O41" i="31"/>
  <c r="P41" i="31" s="1"/>
  <c r="M41" i="31"/>
  <c r="W40" i="31"/>
  <c r="Y40" i="31" s="1"/>
  <c r="Z40" i="31" s="1"/>
  <c r="U40" i="31"/>
  <c r="V40" i="31" s="1"/>
  <c r="T40" i="31"/>
  <c r="Q40" i="31"/>
  <c r="R40" i="31" s="1"/>
  <c r="O40" i="31"/>
  <c r="P40" i="31" s="1"/>
  <c r="M40" i="31"/>
  <c r="W39" i="31"/>
  <c r="Y39" i="31" s="1"/>
  <c r="Z39" i="31" s="1"/>
  <c r="U39" i="31"/>
  <c r="V39" i="31" s="1"/>
  <c r="T39" i="31"/>
  <c r="Q39" i="31"/>
  <c r="R39" i="31" s="1"/>
  <c r="O39" i="31"/>
  <c r="P39" i="31" s="1"/>
  <c r="M39" i="31"/>
  <c r="W38" i="31"/>
  <c r="Y38" i="31" s="1"/>
  <c r="Z38" i="31" s="1"/>
  <c r="Y56" i="31" s="1"/>
  <c r="Z56" i="31" s="1"/>
  <c r="U38" i="31"/>
  <c r="V38" i="31" s="1"/>
  <c r="T38" i="31"/>
  <c r="Q38" i="31"/>
  <c r="R38" i="31" s="1"/>
  <c r="O38" i="31"/>
  <c r="P38" i="31" s="1"/>
  <c r="M38" i="31"/>
  <c r="W37" i="31"/>
  <c r="Y37" i="31" s="1"/>
  <c r="Z37" i="31" s="1"/>
  <c r="U37" i="31"/>
  <c r="V37" i="31" s="1"/>
  <c r="T37" i="31"/>
  <c r="Q37" i="31"/>
  <c r="R37" i="31" s="1"/>
  <c r="O37" i="31"/>
  <c r="P37" i="31" s="1"/>
  <c r="M37" i="31"/>
  <c r="W36" i="31"/>
  <c r="Y36" i="31" s="1"/>
  <c r="Z36" i="31" s="1"/>
  <c r="U36" i="31"/>
  <c r="V36" i="31" s="1"/>
  <c r="T36" i="31"/>
  <c r="Q36" i="31"/>
  <c r="R36" i="31" s="1"/>
  <c r="O36" i="31"/>
  <c r="P36" i="31" s="1"/>
  <c r="M36" i="31"/>
  <c r="L27" i="31"/>
  <c r="Z25" i="31"/>
  <c r="X25" i="31"/>
  <c r="V25" i="31"/>
  <c r="T25" i="31"/>
  <c r="R25" i="31"/>
  <c r="P25" i="31"/>
  <c r="N25" i="31"/>
  <c r="W14" i="31"/>
  <c r="U14" i="31"/>
  <c r="V14" i="31" s="1"/>
  <c r="T14" i="31"/>
  <c r="Q14" i="31"/>
  <c r="R14" i="31" s="1"/>
  <c r="O14" i="31"/>
  <c r="P14" i="31" s="1"/>
  <c r="M14" i="31"/>
  <c r="W13" i="31"/>
  <c r="U13" i="31"/>
  <c r="V13" i="31" s="1"/>
  <c r="T13" i="31"/>
  <c r="Q13" i="31"/>
  <c r="R13" i="31" s="1"/>
  <c r="O13" i="31"/>
  <c r="P13" i="31" s="1"/>
  <c r="M13" i="31"/>
  <c r="W12" i="31"/>
  <c r="U12" i="31"/>
  <c r="V12" i="31" s="1"/>
  <c r="T12" i="31"/>
  <c r="Q12" i="31"/>
  <c r="R12" i="31" s="1"/>
  <c r="O12" i="31"/>
  <c r="P12" i="31" s="1"/>
  <c r="M12" i="31"/>
  <c r="W11" i="31"/>
  <c r="U11" i="31"/>
  <c r="V11" i="31" s="1"/>
  <c r="T11" i="31"/>
  <c r="Q11" i="31"/>
  <c r="R11" i="31" s="1"/>
  <c r="O11" i="31"/>
  <c r="P11" i="31" s="1"/>
  <c r="M11" i="31"/>
  <c r="W10" i="31"/>
  <c r="U10" i="31"/>
  <c r="V10" i="31" s="1"/>
  <c r="T10" i="31"/>
  <c r="Q10" i="31"/>
  <c r="R10" i="31" s="1"/>
  <c r="O10" i="31"/>
  <c r="P10" i="31" s="1"/>
  <c r="M10" i="31"/>
  <c r="W9" i="31"/>
  <c r="X9" i="31" s="1"/>
  <c r="U9" i="31"/>
  <c r="V9" i="31" s="1"/>
  <c r="T9" i="31"/>
  <c r="Q9" i="31"/>
  <c r="R9" i="31" s="1"/>
  <c r="O9" i="31"/>
  <c r="P9" i="31" s="1"/>
  <c r="M9" i="31"/>
  <c r="W8" i="31"/>
  <c r="X8" i="31" s="1"/>
  <c r="U8" i="31"/>
  <c r="V8" i="31" s="1"/>
  <c r="T8" i="31"/>
  <c r="Q8" i="31"/>
  <c r="R8" i="31" s="1"/>
  <c r="O8" i="31"/>
  <c r="P8" i="31" s="1"/>
  <c r="M8" i="31"/>
  <c r="W7" i="31"/>
  <c r="X7" i="31" s="1"/>
  <c r="U7" i="31"/>
  <c r="V7" i="31" s="1"/>
  <c r="T7" i="31"/>
  <c r="Q7" i="31"/>
  <c r="R7" i="31" s="1"/>
  <c r="O7" i="31"/>
  <c r="P7" i="31" s="1"/>
  <c r="M7" i="31"/>
  <c r="Y113" i="30"/>
  <c r="Z113" i="30" s="1"/>
  <c r="W113" i="30"/>
  <c r="X113" i="30" s="1"/>
  <c r="U113" i="30"/>
  <c r="V113" i="30" s="1"/>
  <c r="S113" i="30"/>
  <c r="T113" i="30" s="1"/>
  <c r="Q113" i="30"/>
  <c r="R113" i="30" s="1"/>
  <c r="O113" i="30"/>
  <c r="P113" i="30" s="1"/>
  <c r="M113" i="30"/>
  <c r="N113" i="30" s="1"/>
  <c r="L113" i="30"/>
  <c r="W104" i="30"/>
  <c r="X104" i="30" s="1"/>
  <c r="U104" i="30"/>
  <c r="V104" i="30" s="1"/>
  <c r="T104" i="30"/>
  <c r="Q104" i="30"/>
  <c r="R104" i="30" s="1"/>
  <c r="O104" i="30"/>
  <c r="P104" i="30" s="1"/>
  <c r="M104" i="30"/>
  <c r="W103" i="30"/>
  <c r="Y103" i="30" s="1"/>
  <c r="Z103" i="30" s="1"/>
  <c r="U103" i="30"/>
  <c r="V103" i="30" s="1"/>
  <c r="T103" i="30"/>
  <c r="Q103" i="30"/>
  <c r="R103" i="30" s="1"/>
  <c r="O103" i="30"/>
  <c r="P103" i="30" s="1"/>
  <c r="M103" i="30"/>
  <c r="W102" i="30"/>
  <c r="X102" i="30" s="1"/>
  <c r="U102" i="30"/>
  <c r="V102" i="30" s="1"/>
  <c r="T102" i="30"/>
  <c r="Q102" i="30"/>
  <c r="R102" i="30" s="1"/>
  <c r="O102" i="30"/>
  <c r="P102" i="30" s="1"/>
  <c r="M102" i="30"/>
  <c r="W101" i="30"/>
  <c r="U101" i="30"/>
  <c r="V101" i="30" s="1"/>
  <c r="T101" i="30"/>
  <c r="Q101" i="30"/>
  <c r="R101" i="30" s="1"/>
  <c r="O101" i="30"/>
  <c r="P101" i="30" s="1"/>
  <c r="M101" i="30"/>
  <c r="W100" i="30"/>
  <c r="Y100" i="30" s="1"/>
  <c r="Z100" i="30" s="1"/>
  <c r="U100" i="30"/>
  <c r="V100" i="30" s="1"/>
  <c r="T100" i="30"/>
  <c r="Q100" i="30"/>
  <c r="R100" i="30" s="1"/>
  <c r="R111" i="30" s="1"/>
  <c r="O100" i="30"/>
  <c r="P100" i="30" s="1"/>
  <c r="P111" i="30" s="1"/>
  <c r="M100" i="30"/>
  <c r="W99" i="30"/>
  <c r="U99" i="30"/>
  <c r="V99" i="30" s="1"/>
  <c r="T99" i="30"/>
  <c r="Q99" i="30"/>
  <c r="R99" i="30" s="1"/>
  <c r="O99" i="30"/>
  <c r="P99" i="30" s="1"/>
  <c r="M99" i="30"/>
  <c r="W98" i="30"/>
  <c r="Y98" i="30" s="1"/>
  <c r="Z98" i="30" s="1"/>
  <c r="U98" i="30"/>
  <c r="V98" i="30" s="1"/>
  <c r="T98" i="30"/>
  <c r="Q98" i="30"/>
  <c r="R98" i="30" s="1"/>
  <c r="O98" i="30"/>
  <c r="P98" i="30" s="1"/>
  <c r="M98" i="30"/>
  <c r="W97" i="30"/>
  <c r="U97" i="30"/>
  <c r="V97" i="30" s="1"/>
  <c r="T97" i="30"/>
  <c r="Q97" i="30"/>
  <c r="R97" i="30" s="1"/>
  <c r="O97" i="30"/>
  <c r="P97" i="30" s="1"/>
  <c r="M97" i="30"/>
  <c r="W96" i="30"/>
  <c r="U96" i="30"/>
  <c r="V96" i="30" s="1"/>
  <c r="T96" i="30"/>
  <c r="Q96" i="30"/>
  <c r="R96" i="30" s="1"/>
  <c r="O96" i="30"/>
  <c r="P96" i="30" s="1"/>
  <c r="M96" i="30"/>
  <c r="W95" i="30"/>
  <c r="Y95" i="30" s="1"/>
  <c r="Z95" i="30" s="1"/>
  <c r="U95" i="30"/>
  <c r="V95" i="30" s="1"/>
  <c r="T95" i="30"/>
  <c r="Q95" i="30"/>
  <c r="R95" i="30" s="1"/>
  <c r="O95" i="30"/>
  <c r="P95" i="30" s="1"/>
  <c r="M95" i="30"/>
  <c r="W94" i="30"/>
  <c r="U94" i="30"/>
  <c r="V94" i="30" s="1"/>
  <c r="T94" i="30"/>
  <c r="Q94" i="30"/>
  <c r="R94" i="30" s="1"/>
  <c r="O94" i="30"/>
  <c r="P94" i="30" s="1"/>
  <c r="M94" i="30"/>
  <c r="W93" i="30"/>
  <c r="X93" i="30" s="1"/>
  <c r="U93" i="30"/>
  <c r="V93" i="30" s="1"/>
  <c r="T93" i="30"/>
  <c r="Q93" i="30"/>
  <c r="R93" i="30" s="1"/>
  <c r="O93" i="30"/>
  <c r="P93" i="30" s="1"/>
  <c r="M93" i="30"/>
  <c r="Y84" i="30"/>
  <c r="Z84" i="30" s="1"/>
  <c r="W84" i="30"/>
  <c r="X84" i="30" s="1"/>
  <c r="U84" i="30"/>
  <c r="V84" i="30" s="1"/>
  <c r="S84" i="30"/>
  <c r="T84" i="30" s="1"/>
  <c r="Q84" i="30"/>
  <c r="R84" i="30" s="1"/>
  <c r="O84" i="30"/>
  <c r="P84" i="30" s="1"/>
  <c r="M84" i="30"/>
  <c r="N84" i="30" s="1"/>
  <c r="L84" i="30"/>
  <c r="Z82" i="30"/>
  <c r="X82" i="30"/>
  <c r="V82" i="30"/>
  <c r="T82" i="30"/>
  <c r="R82" i="30"/>
  <c r="P82" i="30"/>
  <c r="N82" i="30"/>
  <c r="W76" i="30"/>
  <c r="Y76" i="30" s="1"/>
  <c r="Z76" i="30" s="1"/>
  <c r="U76" i="30"/>
  <c r="V76" i="30" s="1"/>
  <c r="T76" i="30"/>
  <c r="Q76" i="30"/>
  <c r="R76" i="30" s="1"/>
  <c r="O76" i="30"/>
  <c r="P76" i="30" s="1"/>
  <c r="M76" i="30"/>
  <c r="W75" i="30"/>
  <c r="Y75" i="30" s="1"/>
  <c r="Z75" i="30" s="1"/>
  <c r="U75" i="30"/>
  <c r="V75" i="30" s="1"/>
  <c r="T75" i="30"/>
  <c r="Q75" i="30"/>
  <c r="R75" i="30" s="1"/>
  <c r="O75" i="30"/>
  <c r="P75" i="30" s="1"/>
  <c r="M75" i="30"/>
  <c r="W74" i="30"/>
  <c r="Y74" i="30" s="1"/>
  <c r="Z74" i="30" s="1"/>
  <c r="U74" i="30"/>
  <c r="V74" i="30" s="1"/>
  <c r="T74" i="30"/>
  <c r="Q74" i="30"/>
  <c r="R74" i="30" s="1"/>
  <c r="O74" i="30"/>
  <c r="P74" i="30" s="1"/>
  <c r="M74" i="30"/>
  <c r="W73" i="30"/>
  <c r="Y73" i="30" s="1"/>
  <c r="Z73" i="30" s="1"/>
  <c r="U73" i="30"/>
  <c r="V73" i="30" s="1"/>
  <c r="T73" i="30"/>
  <c r="Q73" i="30"/>
  <c r="R73" i="30" s="1"/>
  <c r="O73" i="30"/>
  <c r="P73" i="30" s="1"/>
  <c r="M73" i="30"/>
  <c r="W72" i="30"/>
  <c r="U72" i="30"/>
  <c r="V72" i="30" s="1"/>
  <c r="T72" i="30"/>
  <c r="Q72" i="30"/>
  <c r="R72" i="30" s="1"/>
  <c r="O72" i="30"/>
  <c r="P72" i="30" s="1"/>
  <c r="M72" i="30"/>
  <c r="W71" i="30"/>
  <c r="U71" i="30"/>
  <c r="V71" i="30" s="1"/>
  <c r="T71" i="30"/>
  <c r="Q71" i="30"/>
  <c r="R71" i="30" s="1"/>
  <c r="O71" i="30"/>
  <c r="P71" i="30" s="1"/>
  <c r="M71" i="30"/>
  <c r="W70" i="30"/>
  <c r="X70" i="30" s="1"/>
  <c r="U70" i="30"/>
  <c r="V70" i="30" s="1"/>
  <c r="T70" i="30"/>
  <c r="Q70" i="30"/>
  <c r="R70" i="30" s="1"/>
  <c r="O70" i="30"/>
  <c r="P70" i="30" s="1"/>
  <c r="M70" i="30"/>
  <c r="W69" i="30"/>
  <c r="Y69" i="30" s="1"/>
  <c r="Z69" i="30" s="1"/>
  <c r="U69" i="30"/>
  <c r="V69" i="30" s="1"/>
  <c r="T69" i="30"/>
  <c r="Q69" i="30"/>
  <c r="R69" i="30" s="1"/>
  <c r="O69" i="30"/>
  <c r="P69" i="30" s="1"/>
  <c r="M69" i="30"/>
  <c r="W68" i="30"/>
  <c r="Y68" i="30" s="1"/>
  <c r="Z68" i="30" s="1"/>
  <c r="U68" i="30"/>
  <c r="V68" i="30" s="1"/>
  <c r="T68" i="30"/>
  <c r="Q68" i="30"/>
  <c r="R68" i="30" s="1"/>
  <c r="O68" i="30"/>
  <c r="P68" i="30" s="1"/>
  <c r="M68" i="30"/>
  <c r="W67" i="30"/>
  <c r="Y67" i="30" s="1"/>
  <c r="Z67" i="30" s="1"/>
  <c r="U67" i="30"/>
  <c r="V67" i="30" s="1"/>
  <c r="T67" i="30"/>
  <c r="Q67" i="30"/>
  <c r="R67" i="30" s="1"/>
  <c r="O67" i="30"/>
  <c r="P67" i="30" s="1"/>
  <c r="M67" i="30"/>
  <c r="W66" i="30"/>
  <c r="U66" i="30"/>
  <c r="V66" i="30" s="1"/>
  <c r="T66" i="30"/>
  <c r="Q66" i="30"/>
  <c r="R66" i="30" s="1"/>
  <c r="O66" i="30"/>
  <c r="P66" i="30" s="1"/>
  <c r="M66" i="30"/>
  <c r="W65" i="30"/>
  <c r="Y65" i="30" s="1"/>
  <c r="Z65" i="30" s="1"/>
  <c r="U65" i="30"/>
  <c r="V65" i="30" s="1"/>
  <c r="T65" i="30"/>
  <c r="Q65" i="30"/>
  <c r="R65" i="30" s="1"/>
  <c r="O65" i="30"/>
  <c r="P65" i="30" s="1"/>
  <c r="M65" i="30"/>
  <c r="Y56" i="30"/>
  <c r="Z56" i="30" s="1"/>
  <c r="W56" i="30"/>
  <c r="X56" i="30" s="1"/>
  <c r="U56" i="30"/>
  <c r="V56" i="30" s="1"/>
  <c r="S56" i="30"/>
  <c r="T56" i="30" s="1"/>
  <c r="Q56" i="30"/>
  <c r="R56" i="30" s="1"/>
  <c r="O56" i="30"/>
  <c r="P56" i="30" s="1"/>
  <c r="M56" i="30"/>
  <c r="N56" i="30" s="1"/>
  <c r="L56" i="30"/>
  <c r="Z54" i="30"/>
  <c r="X54" i="30"/>
  <c r="V54" i="30"/>
  <c r="T54" i="30"/>
  <c r="R54" i="30"/>
  <c r="P54" i="30"/>
  <c r="N54" i="30"/>
  <c r="W47" i="30"/>
  <c r="X47" i="30" s="1"/>
  <c r="U47" i="30"/>
  <c r="V47" i="30" s="1"/>
  <c r="T47" i="30"/>
  <c r="Q47" i="30"/>
  <c r="R47" i="30" s="1"/>
  <c r="O47" i="30"/>
  <c r="P47" i="30" s="1"/>
  <c r="M47" i="30"/>
  <c r="W46" i="30"/>
  <c r="X46" i="30" s="1"/>
  <c r="U46" i="30"/>
  <c r="V46" i="30" s="1"/>
  <c r="T46" i="30"/>
  <c r="Q46" i="30"/>
  <c r="R46" i="30" s="1"/>
  <c r="O46" i="30"/>
  <c r="P46" i="30" s="1"/>
  <c r="M46" i="30"/>
  <c r="W45" i="30"/>
  <c r="X45" i="30" s="1"/>
  <c r="U45" i="30"/>
  <c r="V45" i="30" s="1"/>
  <c r="T45" i="30"/>
  <c r="Q45" i="30"/>
  <c r="R45" i="30" s="1"/>
  <c r="O45" i="30"/>
  <c r="P45" i="30" s="1"/>
  <c r="M45" i="30"/>
  <c r="W44" i="30"/>
  <c r="X44" i="30" s="1"/>
  <c r="U44" i="30"/>
  <c r="V44" i="30" s="1"/>
  <c r="T44" i="30"/>
  <c r="Q44" i="30"/>
  <c r="R44" i="30" s="1"/>
  <c r="O44" i="30"/>
  <c r="P44" i="30" s="1"/>
  <c r="M44" i="30"/>
  <c r="W43" i="30"/>
  <c r="X43" i="30" s="1"/>
  <c r="U43" i="30"/>
  <c r="V43" i="30" s="1"/>
  <c r="T43" i="30"/>
  <c r="Q43" i="30"/>
  <c r="R43" i="30" s="1"/>
  <c r="O43" i="30"/>
  <c r="P43" i="30" s="1"/>
  <c r="M43" i="30"/>
  <c r="W42" i="30"/>
  <c r="X42" i="30" s="1"/>
  <c r="U42" i="30"/>
  <c r="V42" i="30" s="1"/>
  <c r="T42" i="30"/>
  <c r="Q42" i="30"/>
  <c r="R42" i="30" s="1"/>
  <c r="O42" i="30"/>
  <c r="P42" i="30" s="1"/>
  <c r="M42" i="30"/>
  <c r="W41" i="30"/>
  <c r="X41" i="30" s="1"/>
  <c r="U41" i="30"/>
  <c r="V41" i="30" s="1"/>
  <c r="T41" i="30"/>
  <c r="Q41" i="30"/>
  <c r="R41" i="30" s="1"/>
  <c r="O41" i="30"/>
  <c r="P41" i="30" s="1"/>
  <c r="M41" i="30"/>
  <c r="W40" i="30"/>
  <c r="X40" i="30" s="1"/>
  <c r="U40" i="30"/>
  <c r="V40" i="30" s="1"/>
  <c r="T40" i="30"/>
  <c r="Q40" i="30"/>
  <c r="R40" i="30" s="1"/>
  <c r="O40" i="30"/>
  <c r="P40" i="30" s="1"/>
  <c r="M40" i="30"/>
  <c r="W39" i="30"/>
  <c r="X39" i="30" s="1"/>
  <c r="U39" i="30"/>
  <c r="V39" i="30" s="1"/>
  <c r="T39" i="30"/>
  <c r="Q39" i="30"/>
  <c r="R39" i="30" s="1"/>
  <c r="O39" i="30"/>
  <c r="P39" i="30" s="1"/>
  <c r="M39" i="30"/>
  <c r="W38" i="30"/>
  <c r="X38" i="30" s="1"/>
  <c r="U38" i="30"/>
  <c r="V38" i="30" s="1"/>
  <c r="T38" i="30"/>
  <c r="Q38" i="30"/>
  <c r="R38" i="30" s="1"/>
  <c r="O38" i="30"/>
  <c r="M38" i="30"/>
  <c r="W37" i="30"/>
  <c r="X37" i="30" s="1"/>
  <c r="U37" i="30"/>
  <c r="V37" i="30" s="1"/>
  <c r="T37" i="30"/>
  <c r="Q37" i="30"/>
  <c r="R37" i="30" s="1"/>
  <c r="O37" i="30"/>
  <c r="P37" i="30" s="1"/>
  <c r="M37" i="30"/>
  <c r="W36" i="30"/>
  <c r="X36" i="30" s="1"/>
  <c r="U36" i="30"/>
  <c r="V36" i="30" s="1"/>
  <c r="T36" i="30"/>
  <c r="Q36" i="30"/>
  <c r="R36" i="30" s="1"/>
  <c r="O36" i="30"/>
  <c r="P36" i="30" s="1"/>
  <c r="M36" i="30"/>
  <c r="Y27" i="30"/>
  <c r="Z27" i="30" s="1"/>
  <c r="W27" i="30"/>
  <c r="X27" i="30" s="1"/>
  <c r="U27" i="30"/>
  <c r="V27" i="30" s="1"/>
  <c r="S27" i="30"/>
  <c r="T27" i="30" s="1"/>
  <c r="Q27" i="30"/>
  <c r="R27" i="30" s="1"/>
  <c r="O27" i="30"/>
  <c r="P27" i="30" s="1"/>
  <c r="M27" i="30"/>
  <c r="N27" i="30" s="1"/>
  <c r="L27" i="30"/>
  <c r="Z25" i="30"/>
  <c r="X25" i="30"/>
  <c r="V25" i="30"/>
  <c r="T25" i="30"/>
  <c r="R25" i="30"/>
  <c r="P25" i="30"/>
  <c r="N25" i="30"/>
  <c r="W18" i="30"/>
  <c r="U18" i="30"/>
  <c r="V18" i="30" s="1"/>
  <c r="T18" i="30"/>
  <c r="Q18" i="30"/>
  <c r="R18" i="30" s="1"/>
  <c r="O18" i="30"/>
  <c r="P18" i="30" s="1"/>
  <c r="M18" i="30"/>
  <c r="W17" i="30"/>
  <c r="X17" i="30" s="1"/>
  <c r="U17" i="30"/>
  <c r="V17" i="30" s="1"/>
  <c r="T17" i="30"/>
  <c r="Q17" i="30"/>
  <c r="R17" i="30" s="1"/>
  <c r="O17" i="30"/>
  <c r="P17" i="30" s="1"/>
  <c r="M17" i="30"/>
  <c r="W16" i="30"/>
  <c r="Y16" i="30" s="1"/>
  <c r="Z16" i="30" s="1"/>
  <c r="U16" i="30"/>
  <c r="V16" i="30" s="1"/>
  <c r="T16" i="30"/>
  <c r="Q16" i="30"/>
  <c r="R16" i="30" s="1"/>
  <c r="O16" i="30"/>
  <c r="P16" i="30" s="1"/>
  <c r="M16" i="30"/>
  <c r="W15" i="30"/>
  <c r="Y15" i="30" s="1"/>
  <c r="Z15" i="30" s="1"/>
  <c r="U15" i="30"/>
  <c r="V15" i="30" s="1"/>
  <c r="T15" i="30"/>
  <c r="Q15" i="30"/>
  <c r="R15" i="30" s="1"/>
  <c r="O15" i="30"/>
  <c r="P15" i="30" s="1"/>
  <c r="M15" i="30"/>
  <c r="W14" i="30"/>
  <c r="U14" i="30"/>
  <c r="V14" i="30" s="1"/>
  <c r="T14" i="30"/>
  <c r="Q14" i="30"/>
  <c r="R14" i="30" s="1"/>
  <c r="O14" i="30"/>
  <c r="M14" i="30"/>
  <c r="W13" i="30"/>
  <c r="U13" i="30"/>
  <c r="V13" i="30" s="1"/>
  <c r="T13" i="30"/>
  <c r="Q13" i="30"/>
  <c r="R13" i="30" s="1"/>
  <c r="O13" i="30"/>
  <c r="P13" i="30" s="1"/>
  <c r="M13" i="30"/>
  <c r="W12" i="30"/>
  <c r="Y12" i="30" s="1"/>
  <c r="Z12" i="30" s="1"/>
  <c r="U12" i="30"/>
  <c r="V12" i="30" s="1"/>
  <c r="T12" i="30"/>
  <c r="Q12" i="30"/>
  <c r="R12" i="30" s="1"/>
  <c r="O12" i="30"/>
  <c r="P12" i="30" s="1"/>
  <c r="M12" i="30"/>
  <c r="W11" i="30"/>
  <c r="Y11" i="30" s="1"/>
  <c r="Z11" i="30" s="1"/>
  <c r="U11" i="30"/>
  <c r="V11" i="30" s="1"/>
  <c r="T11" i="30"/>
  <c r="Q11" i="30"/>
  <c r="R11" i="30" s="1"/>
  <c r="O11" i="30"/>
  <c r="P11" i="30" s="1"/>
  <c r="M11" i="30"/>
  <c r="W10" i="30"/>
  <c r="U10" i="30"/>
  <c r="V10" i="30" s="1"/>
  <c r="T10" i="30"/>
  <c r="Q10" i="30"/>
  <c r="R10" i="30" s="1"/>
  <c r="O10" i="30"/>
  <c r="P10" i="30" s="1"/>
  <c r="M10" i="30"/>
  <c r="W9" i="30"/>
  <c r="X9" i="30" s="1"/>
  <c r="U9" i="30"/>
  <c r="V9" i="30" s="1"/>
  <c r="T9" i="30"/>
  <c r="Q9" i="30"/>
  <c r="R9" i="30" s="1"/>
  <c r="O9" i="30"/>
  <c r="P9" i="30" s="1"/>
  <c r="M9" i="30"/>
  <c r="W8" i="30"/>
  <c r="Y8" i="30" s="1"/>
  <c r="Z8" i="30" s="1"/>
  <c r="U8" i="30"/>
  <c r="V8" i="30" s="1"/>
  <c r="T8" i="30"/>
  <c r="Q8" i="30"/>
  <c r="R8" i="30" s="1"/>
  <c r="O8" i="30"/>
  <c r="P8" i="30" s="1"/>
  <c r="M8" i="30"/>
  <c r="W7" i="30"/>
  <c r="X7" i="30" s="1"/>
  <c r="U7" i="30"/>
  <c r="V7" i="30" s="1"/>
  <c r="T7" i="30"/>
  <c r="Q7" i="30"/>
  <c r="R7" i="30" s="1"/>
  <c r="O7" i="30"/>
  <c r="P7" i="30" s="1"/>
  <c r="M7" i="30"/>
  <c r="L113" i="29"/>
  <c r="Z111" i="29"/>
  <c r="X111" i="29"/>
  <c r="V111" i="29"/>
  <c r="T111" i="29"/>
  <c r="R111" i="29"/>
  <c r="P111" i="29"/>
  <c r="N111" i="29"/>
  <c r="W98" i="29"/>
  <c r="U98" i="29"/>
  <c r="V98" i="29" s="1"/>
  <c r="T98" i="29"/>
  <c r="Q98" i="29"/>
  <c r="R98" i="29" s="1"/>
  <c r="O98" i="29"/>
  <c r="P98" i="29" s="1"/>
  <c r="M98" i="29"/>
  <c r="W97" i="29"/>
  <c r="U97" i="29"/>
  <c r="V97" i="29" s="1"/>
  <c r="T97" i="29"/>
  <c r="Q97" i="29"/>
  <c r="R97" i="29" s="1"/>
  <c r="O97" i="29"/>
  <c r="P97" i="29" s="1"/>
  <c r="M97" i="29"/>
  <c r="W96" i="29"/>
  <c r="U96" i="29"/>
  <c r="V96" i="29" s="1"/>
  <c r="T96" i="29"/>
  <c r="Q96" i="29"/>
  <c r="R96" i="29" s="1"/>
  <c r="O96" i="29"/>
  <c r="P96" i="29" s="1"/>
  <c r="M96" i="29"/>
  <c r="W95" i="29"/>
  <c r="Y95" i="29" s="1"/>
  <c r="Z95" i="29" s="1"/>
  <c r="U95" i="29"/>
  <c r="V95" i="29" s="1"/>
  <c r="T95" i="29"/>
  <c r="Q95" i="29"/>
  <c r="R95" i="29" s="1"/>
  <c r="O95" i="29"/>
  <c r="P95" i="29" s="1"/>
  <c r="M95" i="29"/>
  <c r="W94" i="29"/>
  <c r="X94" i="29" s="1"/>
  <c r="U94" i="29"/>
  <c r="V94" i="29" s="1"/>
  <c r="T94" i="29"/>
  <c r="Q94" i="29"/>
  <c r="R94" i="29" s="1"/>
  <c r="Q113" i="29" s="1"/>
  <c r="R113" i="29" s="1"/>
  <c r="O94" i="29"/>
  <c r="P94" i="29" s="1"/>
  <c r="O113" i="29" s="1"/>
  <c r="P113" i="29" s="1"/>
  <c r="M94" i="29"/>
  <c r="W93" i="29"/>
  <c r="X93" i="29" s="1"/>
  <c r="U93" i="29"/>
  <c r="V93" i="29" s="1"/>
  <c r="T93" i="29"/>
  <c r="Q93" i="29"/>
  <c r="R93" i="29" s="1"/>
  <c r="O93" i="29"/>
  <c r="P93" i="29" s="1"/>
  <c r="M93" i="29"/>
  <c r="L84" i="29"/>
  <c r="V82" i="29"/>
  <c r="T82" i="29"/>
  <c r="R82" i="29"/>
  <c r="P82" i="29"/>
  <c r="W70" i="29"/>
  <c r="U70" i="29"/>
  <c r="V70" i="29" s="1"/>
  <c r="T70" i="29"/>
  <c r="Q70" i="29"/>
  <c r="R70" i="29" s="1"/>
  <c r="O70" i="29"/>
  <c r="P70" i="29" s="1"/>
  <c r="M70" i="29"/>
  <c r="W69" i="29"/>
  <c r="U69" i="29"/>
  <c r="V69" i="29" s="1"/>
  <c r="T69" i="29"/>
  <c r="Q69" i="29"/>
  <c r="R69" i="29" s="1"/>
  <c r="O69" i="29"/>
  <c r="P69" i="29" s="1"/>
  <c r="M69" i="29"/>
  <c r="W68" i="29"/>
  <c r="U68" i="29"/>
  <c r="V68" i="29" s="1"/>
  <c r="T68" i="29"/>
  <c r="Q68" i="29"/>
  <c r="R68" i="29" s="1"/>
  <c r="O68" i="29"/>
  <c r="P68" i="29" s="1"/>
  <c r="O84" i="29" s="1"/>
  <c r="P84" i="29" s="1"/>
  <c r="M68" i="29"/>
  <c r="W67" i="29"/>
  <c r="U67" i="29"/>
  <c r="V67" i="29" s="1"/>
  <c r="T67" i="29"/>
  <c r="Q67" i="29"/>
  <c r="R67" i="29" s="1"/>
  <c r="O67" i="29"/>
  <c r="P67" i="29" s="1"/>
  <c r="M67" i="29"/>
  <c r="W66" i="29"/>
  <c r="U66" i="29"/>
  <c r="V66" i="29" s="1"/>
  <c r="T66" i="29"/>
  <c r="Q66" i="29"/>
  <c r="R66" i="29" s="1"/>
  <c r="O66" i="29"/>
  <c r="P66" i="29" s="1"/>
  <c r="M66" i="29"/>
  <c r="W65" i="29"/>
  <c r="U65" i="29"/>
  <c r="V65" i="29" s="1"/>
  <c r="T65" i="29"/>
  <c r="Q65" i="29"/>
  <c r="R65" i="29" s="1"/>
  <c r="O65" i="29"/>
  <c r="P65" i="29" s="1"/>
  <c r="M65" i="29"/>
  <c r="L56" i="29"/>
  <c r="Z54" i="29"/>
  <c r="X54" i="29"/>
  <c r="V54" i="29"/>
  <c r="T54" i="29"/>
  <c r="R54" i="29"/>
  <c r="P54" i="29"/>
  <c r="N54" i="29"/>
  <c r="W41" i="29"/>
  <c r="Y41" i="29" s="1"/>
  <c r="Z41" i="29" s="1"/>
  <c r="U41" i="29"/>
  <c r="V41" i="29" s="1"/>
  <c r="T41" i="29"/>
  <c r="Q41" i="29"/>
  <c r="R41" i="29" s="1"/>
  <c r="O41" i="29"/>
  <c r="P41" i="29" s="1"/>
  <c r="M41" i="29"/>
  <c r="W40" i="29"/>
  <c r="U40" i="29"/>
  <c r="V40" i="29" s="1"/>
  <c r="T40" i="29"/>
  <c r="Q40" i="29"/>
  <c r="R40" i="29" s="1"/>
  <c r="O40" i="29"/>
  <c r="P40" i="29" s="1"/>
  <c r="M40" i="29"/>
  <c r="W39" i="29"/>
  <c r="Y39" i="29" s="1"/>
  <c r="Z39" i="29" s="1"/>
  <c r="U39" i="29"/>
  <c r="V39" i="29" s="1"/>
  <c r="T39" i="29"/>
  <c r="Q39" i="29"/>
  <c r="R39" i="29" s="1"/>
  <c r="O39" i="29"/>
  <c r="P39" i="29" s="1"/>
  <c r="M39" i="29"/>
  <c r="W38" i="29"/>
  <c r="U38" i="29"/>
  <c r="V38" i="29" s="1"/>
  <c r="T38" i="29"/>
  <c r="Q38" i="29"/>
  <c r="R38" i="29" s="1"/>
  <c r="O38" i="29"/>
  <c r="P38" i="29" s="1"/>
  <c r="M38" i="29"/>
  <c r="W37" i="29"/>
  <c r="U37" i="29"/>
  <c r="V37" i="29" s="1"/>
  <c r="T37" i="29"/>
  <c r="Q37" i="29"/>
  <c r="R37" i="29" s="1"/>
  <c r="O37" i="29"/>
  <c r="P37" i="29" s="1"/>
  <c r="M37" i="29"/>
  <c r="W36" i="29"/>
  <c r="U36" i="29"/>
  <c r="V36" i="29" s="1"/>
  <c r="T36" i="29"/>
  <c r="Q36" i="29"/>
  <c r="R36" i="29" s="1"/>
  <c r="O36" i="29"/>
  <c r="P36" i="29" s="1"/>
  <c r="M36" i="29"/>
  <c r="L27" i="29"/>
  <c r="Z25" i="29"/>
  <c r="X25" i="29"/>
  <c r="V25" i="29"/>
  <c r="T25" i="29"/>
  <c r="R25" i="29"/>
  <c r="P25" i="29"/>
  <c r="N25" i="29"/>
  <c r="W14" i="29"/>
  <c r="Y14" i="29" s="1"/>
  <c r="Z14" i="29" s="1"/>
  <c r="U14" i="29"/>
  <c r="V14" i="29" s="1"/>
  <c r="T14" i="29"/>
  <c r="Q14" i="29"/>
  <c r="R14" i="29" s="1"/>
  <c r="O14" i="29"/>
  <c r="P14" i="29" s="1"/>
  <c r="M14" i="29"/>
  <c r="W13" i="29"/>
  <c r="Y13" i="29" s="1"/>
  <c r="Z13" i="29" s="1"/>
  <c r="U13" i="29"/>
  <c r="V13" i="29" s="1"/>
  <c r="T13" i="29"/>
  <c r="Q13" i="29"/>
  <c r="R13" i="29" s="1"/>
  <c r="O13" i="29"/>
  <c r="P13" i="29" s="1"/>
  <c r="O27" i="29" s="1"/>
  <c r="P27" i="29" s="1"/>
  <c r="M13" i="29"/>
  <c r="W12" i="29"/>
  <c r="U12" i="29"/>
  <c r="V12" i="29" s="1"/>
  <c r="T12" i="29"/>
  <c r="Q12" i="29"/>
  <c r="R12" i="29" s="1"/>
  <c r="O12" i="29"/>
  <c r="P12" i="29" s="1"/>
  <c r="M12" i="29"/>
  <c r="W11" i="29"/>
  <c r="U11" i="29"/>
  <c r="V11" i="29" s="1"/>
  <c r="T11" i="29"/>
  <c r="Q11" i="29"/>
  <c r="R11" i="29" s="1"/>
  <c r="O11" i="29"/>
  <c r="P11" i="29" s="1"/>
  <c r="M11" i="29"/>
  <c r="W10" i="29"/>
  <c r="Y10" i="29" s="1"/>
  <c r="Z10" i="29" s="1"/>
  <c r="U10" i="29"/>
  <c r="V10" i="29" s="1"/>
  <c r="T10" i="29"/>
  <c r="Q10" i="29"/>
  <c r="R10" i="29" s="1"/>
  <c r="O10" i="29"/>
  <c r="P10" i="29" s="1"/>
  <c r="M10" i="29"/>
  <c r="W9" i="29"/>
  <c r="Y9" i="29" s="1"/>
  <c r="Z9" i="29" s="1"/>
  <c r="U9" i="29"/>
  <c r="V9" i="29" s="1"/>
  <c r="T9" i="29"/>
  <c r="Q9" i="29"/>
  <c r="R9" i="29" s="1"/>
  <c r="O9" i="29"/>
  <c r="P9" i="29" s="1"/>
  <c r="M9" i="29"/>
  <c r="W8" i="29"/>
  <c r="Y8" i="29" s="1"/>
  <c r="Z8" i="29" s="1"/>
  <c r="U8" i="29"/>
  <c r="V8" i="29" s="1"/>
  <c r="T8" i="29"/>
  <c r="Q8" i="29"/>
  <c r="R8" i="29" s="1"/>
  <c r="O8" i="29"/>
  <c r="P8" i="29" s="1"/>
  <c r="M8" i="29"/>
  <c r="W7" i="29"/>
  <c r="U7" i="29"/>
  <c r="V7" i="29" s="1"/>
  <c r="T7" i="29"/>
  <c r="Q7" i="29"/>
  <c r="R7" i="29" s="1"/>
  <c r="O7" i="29"/>
  <c r="P7" i="29" s="1"/>
  <c r="M7" i="29"/>
  <c r="Y113" i="28"/>
  <c r="Z113" i="28" s="1"/>
  <c r="W113" i="28"/>
  <c r="X113" i="28" s="1"/>
  <c r="U113" i="28"/>
  <c r="V113" i="28" s="1"/>
  <c r="S113" i="28"/>
  <c r="T113" i="28" s="1"/>
  <c r="L113" i="28"/>
  <c r="W104" i="28"/>
  <c r="U104" i="28"/>
  <c r="V104" i="28" s="1"/>
  <c r="T104" i="28"/>
  <c r="Q104" i="28"/>
  <c r="R104" i="28" s="1"/>
  <c r="O104" i="28"/>
  <c r="P104" i="28" s="1"/>
  <c r="M104" i="28"/>
  <c r="W103" i="28"/>
  <c r="X103" i="28" s="1"/>
  <c r="U103" i="28"/>
  <c r="V103" i="28" s="1"/>
  <c r="T103" i="28"/>
  <c r="Q103" i="28"/>
  <c r="R103" i="28" s="1"/>
  <c r="O103" i="28"/>
  <c r="P103" i="28" s="1"/>
  <c r="M103" i="28"/>
  <c r="W102" i="28"/>
  <c r="U102" i="28"/>
  <c r="V102" i="28" s="1"/>
  <c r="T102" i="28"/>
  <c r="Q102" i="28"/>
  <c r="R102" i="28" s="1"/>
  <c r="O102" i="28"/>
  <c r="P102" i="28" s="1"/>
  <c r="M102" i="28"/>
  <c r="W101" i="28"/>
  <c r="U101" i="28"/>
  <c r="V101" i="28" s="1"/>
  <c r="T101" i="28"/>
  <c r="Q101" i="28"/>
  <c r="R101" i="28" s="1"/>
  <c r="O101" i="28"/>
  <c r="P101" i="28" s="1"/>
  <c r="M101" i="28"/>
  <c r="W100" i="28"/>
  <c r="U100" i="28"/>
  <c r="V100" i="28" s="1"/>
  <c r="T100" i="28"/>
  <c r="Q100" i="28"/>
  <c r="R100" i="28" s="1"/>
  <c r="O100" i="28"/>
  <c r="P100" i="28" s="1"/>
  <c r="M100" i="28"/>
  <c r="W99" i="28"/>
  <c r="U99" i="28"/>
  <c r="V99" i="28" s="1"/>
  <c r="V111" i="28" s="1"/>
  <c r="T99" i="28"/>
  <c r="Q99" i="28"/>
  <c r="R99" i="28" s="1"/>
  <c r="R111" i="28" s="1"/>
  <c r="O99" i="28"/>
  <c r="P99" i="28" s="1"/>
  <c r="P111" i="28" s="1"/>
  <c r="M99" i="28"/>
  <c r="W98" i="28"/>
  <c r="X98" i="28" s="1"/>
  <c r="U98" i="28"/>
  <c r="V98" i="28" s="1"/>
  <c r="T98" i="28"/>
  <c r="T111" i="28" s="1"/>
  <c r="Q98" i="28"/>
  <c r="R98" i="28" s="1"/>
  <c r="O98" i="28"/>
  <c r="P98" i="28" s="1"/>
  <c r="M98" i="28"/>
  <c r="W97" i="28"/>
  <c r="X97" i="28" s="1"/>
  <c r="U97" i="28"/>
  <c r="V97" i="28" s="1"/>
  <c r="T97" i="28"/>
  <c r="Q97" i="28"/>
  <c r="R97" i="28" s="1"/>
  <c r="O97" i="28"/>
  <c r="P97" i="28" s="1"/>
  <c r="M97" i="28"/>
  <c r="W96" i="28"/>
  <c r="X96" i="28" s="1"/>
  <c r="U96" i="28"/>
  <c r="V96" i="28" s="1"/>
  <c r="T96" i="28"/>
  <c r="Q96" i="28"/>
  <c r="R96" i="28" s="1"/>
  <c r="O96" i="28"/>
  <c r="P96" i="28" s="1"/>
  <c r="M96" i="28"/>
  <c r="W95" i="28"/>
  <c r="U95" i="28"/>
  <c r="V95" i="28" s="1"/>
  <c r="T95" i="28"/>
  <c r="Q95" i="28"/>
  <c r="R95" i="28" s="1"/>
  <c r="Q113" i="28" s="1"/>
  <c r="R113" i="28" s="1"/>
  <c r="O95" i="28"/>
  <c r="P95" i="28" s="1"/>
  <c r="O113" i="28" s="1"/>
  <c r="P113" i="28" s="1"/>
  <c r="M95" i="28"/>
  <c r="W94" i="28"/>
  <c r="U94" i="28"/>
  <c r="V94" i="28" s="1"/>
  <c r="T94" i="28"/>
  <c r="Q94" i="28"/>
  <c r="R94" i="28" s="1"/>
  <c r="O94" i="28"/>
  <c r="P94" i="28" s="1"/>
  <c r="M94" i="28"/>
  <c r="W93" i="28"/>
  <c r="U93" i="28"/>
  <c r="V93" i="28" s="1"/>
  <c r="T93" i="28"/>
  <c r="Q93" i="28"/>
  <c r="R93" i="28" s="1"/>
  <c r="O93" i="28"/>
  <c r="P93" i="28" s="1"/>
  <c r="M93" i="28"/>
  <c r="Q84" i="28"/>
  <c r="R84" i="28" s="1"/>
  <c r="L84" i="28"/>
  <c r="X82" i="28"/>
  <c r="R82" i="28"/>
  <c r="P82" i="28"/>
  <c r="W76" i="28"/>
  <c r="X76" i="28" s="1"/>
  <c r="U76" i="28"/>
  <c r="V76" i="28" s="1"/>
  <c r="V82" i="28" s="1"/>
  <c r="T76" i="28"/>
  <c r="T82" i="28" s="1"/>
  <c r="Q76" i="28"/>
  <c r="R76" i="28" s="1"/>
  <c r="O76" i="28"/>
  <c r="P76" i="28" s="1"/>
  <c r="M76" i="28"/>
  <c r="W75" i="28"/>
  <c r="U75" i="28"/>
  <c r="V75" i="28" s="1"/>
  <c r="T75" i="28"/>
  <c r="Q75" i="28"/>
  <c r="R75" i="28" s="1"/>
  <c r="O75" i="28"/>
  <c r="P75" i="28" s="1"/>
  <c r="M75" i="28"/>
  <c r="W74" i="28"/>
  <c r="U74" i="28"/>
  <c r="V74" i="28" s="1"/>
  <c r="T74" i="28"/>
  <c r="Q74" i="28"/>
  <c r="R74" i="28" s="1"/>
  <c r="O74" i="28"/>
  <c r="P74" i="28" s="1"/>
  <c r="M74" i="28"/>
  <c r="W73" i="28"/>
  <c r="X73" i="28" s="1"/>
  <c r="U73" i="28"/>
  <c r="V73" i="28" s="1"/>
  <c r="T73" i="28"/>
  <c r="Q73" i="28"/>
  <c r="R73" i="28" s="1"/>
  <c r="O73" i="28"/>
  <c r="P73" i="28" s="1"/>
  <c r="M73" i="28"/>
  <c r="W72" i="28"/>
  <c r="U72" i="28"/>
  <c r="V72" i="28" s="1"/>
  <c r="T72" i="28"/>
  <c r="Q72" i="28"/>
  <c r="R72" i="28" s="1"/>
  <c r="O72" i="28"/>
  <c r="P72" i="28" s="1"/>
  <c r="M72" i="28"/>
  <c r="W71" i="28"/>
  <c r="U71" i="28"/>
  <c r="V71" i="28" s="1"/>
  <c r="T71" i="28"/>
  <c r="Q71" i="28"/>
  <c r="R71" i="28" s="1"/>
  <c r="O71" i="28"/>
  <c r="P71" i="28" s="1"/>
  <c r="M71" i="28"/>
  <c r="W70" i="28"/>
  <c r="U70" i="28"/>
  <c r="V70" i="28" s="1"/>
  <c r="T70" i="28"/>
  <c r="Q70" i="28"/>
  <c r="R70" i="28" s="1"/>
  <c r="O70" i="28"/>
  <c r="P70" i="28" s="1"/>
  <c r="M70" i="28"/>
  <c r="W69" i="28"/>
  <c r="X69" i="28" s="1"/>
  <c r="U69" i="28"/>
  <c r="V69" i="28" s="1"/>
  <c r="T69" i="28"/>
  <c r="Q69" i="28"/>
  <c r="R69" i="28" s="1"/>
  <c r="O69" i="28"/>
  <c r="P69" i="28" s="1"/>
  <c r="M69" i="28"/>
  <c r="W68" i="28"/>
  <c r="X68" i="28" s="1"/>
  <c r="U68" i="28"/>
  <c r="V68" i="28" s="1"/>
  <c r="U84" i="28" s="1"/>
  <c r="V84" i="28" s="1"/>
  <c r="T68" i="28"/>
  <c r="S84" i="28" s="1"/>
  <c r="T84" i="28" s="1"/>
  <c r="Q68" i="28"/>
  <c r="R68" i="28" s="1"/>
  <c r="O68" i="28"/>
  <c r="P68" i="28" s="1"/>
  <c r="O84" i="28" s="1"/>
  <c r="P84" i="28" s="1"/>
  <c r="M68" i="28"/>
  <c r="W67" i="28"/>
  <c r="U67" i="28"/>
  <c r="V67" i="28" s="1"/>
  <c r="T67" i="28"/>
  <c r="Q67" i="28"/>
  <c r="R67" i="28" s="1"/>
  <c r="O67" i="28"/>
  <c r="P67" i="28" s="1"/>
  <c r="M67" i="28"/>
  <c r="W66" i="28"/>
  <c r="Y66" i="28" s="1"/>
  <c r="Z66" i="28" s="1"/>
  <c r="U66" i="28"/>
  <c r="V66" i="28" s="1"/>
  <c r="T66" i="28"/>
  <c r="Q66" i="28"/>
  <c r="R66" i="28" s="1"/>
  <c r="O66" i="28"/>
  <c r="P66" i="28" s="1"/>
  <c r="M66" i="28"/>
  <c r="W65" i="28"/>
  <c r="Y65" i="28" s="1"/>
  <c r="Z65" i="28" s="1"/>
  <c r="U65" i="28"/>
  <c r="V65" i="28" s="1"/>
  <c r="T65" i="28"/>
  <c r="Q65" i="28"/>
  <c r="R65" i="28" s="1"/>
  <c r="O65" i="28"/>
  <c r="P65" i="28" s="1"/>
  <c r="M65" i="28"/>
  <c r="U56" i="28"/>
  <c r="V56" i="28" s="1"/>
  <c r="L56" i="28"/>
  <c r="Z54" i="28"/>
  <c r="X54" i="28"/>
  <c r="V54" i="28"/>
  <c r="T54" i="28"/>
  <c r="R54" i="28"/>
  <c r="P54" i="28"/>
  <c r="N54" i="28"/>
  <c r="W47" i="28"/>
  <c r="Y47" i="28" s="1"/>
  <c r="Z47" i="28" s="1"/>
  <c r="U47" i="28"/>
  <c r="V47" i="28" s="1"/>
  <c r="T47" i="28"/>
  <c r="Q47" i="28"/>
  <c r="R47" i="28" s="1"/>
  <c r="O47" i="28"/>
  <c r="P47" i="28" s="1"/>
  <c r="M47" i="28"/>
  <c r="W46" i="28"/>
  <c r="Y46" i="28" s="1"/>
  <c r="Z46" i="28" s="1"/>
  <c r="U46" i="28"/>
  <c r="V46" i="28" s="1"/>
  <c r="T46" i="28"/>
  <c r="Q46" i="28"/>
  <c r="R46" i="28" s="1"/>
  <c r="O46" i="28"/>
  <c r="P46" i="28" s="1"/>
  <c r="M46" i="28"/>
  <c r="W45" i="28"/>
  <c r="Y45" i="28" s="1"/>
  <c r="Z45" i="28" s="1"/>
  <c r="U45" i="28"/>
  <c r="V45" i="28" s="1"/>
  <c r="T45" i="28"/>
  <c r="Q45" i="28"/>
  <c r="R45" i="28" s="1"/>
  <c r="O45" i="28"/>
  <c r="P45" i="28" s="1"/>
  <c r="M45" i="28"/>
  <c r="W44" i="28"/>
  <c r="Y44" i="28" s="1"/>
  <c r="Z44" i="28" s="1"/>
  <c r="U44" i="28"/>
  <c r="V44" i="28" s="1"/>
  <c r="T44" i="28"/>
  <c r="Q44" i="28"/>
  <c r="R44" i="28" s="1"/>
  <c r="O44" i="28"/>
  <c r="M44" i="28"/>
  <c r="W43" i="28"/>
  <c r="Y43" i="28" s="1"/>
  <c r="Z43" i="28" s="1"/>
  <c r="U43" i="28"/>
  <c r="V43" i="28" s="1"/>
  <c r="T43" i="28"/>
  <c r="Q43" i="28"/>
  <c r="R43" i="28" s="1"/>
  <c r="O43" i="28"/>
  <c r="P43" i="28" s="1"/>
  <c r="M43" i="28"/>
  <c r="W42" i="28"/>
  <c r="Y42" i="28" s="1"/>
  <c r="Z42" i="28" s="1"/>
  <c r="U42" i="28"/>
  <c r="V42" i="28" s="1"/>
  <c r="T42" i="28"/>
  <c r="Q42" i="28"/>
  <c r="R42" i="28" s="1"/>
  <c r="O42" i="28"/>
  <c r="P42" i="28" s="1"/>
  <c r="M42" i="28"/>
  <c r="W41" i="28"/>
  <c r="U41" i="28"/>
  <c r="V41" i="28" s="1"/>
  <c r="T41" i="28"/>
  <c r="Q41" i="28"/>
  <c r="R41" i="28" s="1"/>
  <c r="O41" i="28"/>
  <c r="P41" i="28" s="1"/>
  <c r="M41" i="28"/>
  <c r="W40" i="28"/>
  <c r="Y40" i="28" s="1"/>
  <c r="Z40" i="28" s="1"/>
  <c r="U40" i="28"/>
  <c r="V40" i="28" s="1"/>
  <c r="T40" i="28"/>
  <c r="Q40" i="28"/>
  <c r="R40" i="28" s="1"/>
  <c r="O40" i="28"/>
  <c r="M40" i="28"/>
  <c r="W39" i="28"/>
  <c r="Y39" i="28" s="1"/>
  <c r="Z39" i="28" s="1"/>
  <c r="U39" i="28"/>
  <c r="V39" i="28" s="1"/>
  <c r="T39" i="28"/>
  <c r="Q39" i="28"/>
  <c r="R39" i="28" s="1"/>
  <c r="O39" i="28"/>
  <c r="P39" i="28" s="1"/>
  <c r="M39" i="28"/>
  <c r="W38" i="28"/>
  <c r="Y38" i="28" s="1"/>
  <c r="Z38" i="28" s="1"/>
  <c r="U38" i="28"/>
  <c r="V38" i="28" s="1"/>
  <c r="T38" i="28"/>
  <c r="Q38" i="28"/>
  <c r="R38" i="28" s="1"/>
  <c r="O38" i="28"/>
  <c r="P38" i="28" s="1"/>
  <c r="M38" i="28"/>
  <c r="W37" i="28"/>
  <c r="Y37" i="28" s="1"/>
  <c r="Z37" i="28" s="1"/>
  <c r="U37" i="28"/>
  <c r="V37" i="28" s="1"/>
  <c r="T37" i="28"/>
  <c r="Q37" i="28"/>
  <c r="R37" i="28" s="1"/>
  <c r="O37" i="28"/>
  <c r="P37" i="28" s="1"/>
  <c r="M37" i="28"/>
  <c r="W36" i="28"/>
  <c r="Y36" i="28" s="1"/>
  <c r="Z36" i="28" s="1"/>
  <c r="U36" i="28"/>
  <c r="V36" i="28" s="1"/>
  <c r="T36" i="28"/>
  <c r="Q36" i="28"/>
  <c r="R36" i="28" s="1"/>
  <c r="O36" i="28"/>
  <c r="M36" i="28"/>
  <c r="L27" i="28"/>
  <c r="Z25" i="28"/>
  <c r="X25" i="28"/>
  <c r="V25" i="28"/>
  <c r="T25" i="28"/>
  <c r="R25" i="28"/>
  <c r="P25" i="28"/>
  <c r="N25" i="28"/>
  <c r="W18" i="28"/>
  <c r="X18" i="28" s="1"/>
  <c r="U18" i="28"/>
  <c r="V18" i="28" s="1"/>
  <c r="T18" i="28"/>
  <c r="Q18" i="28"/>
  <c r="R18" i="28" s="1"/>
  <c r="O18" i="28"/>
  <c r="P18" i="28" s="1"/>
  <c r="M18" i="28"/>
  <c r="W17" i="28"/>
  <c r="X17" i="28" s="1"/>
  <c r="U17" i="28"/>
  <c r="V17" i="28" s="1"/>
  <c r="T17" i="28"/>
  <c r="Q17" i="28"/>
  <c r="R17" i="28" s="1"/>
  <c r="O17" i="28"/>
  <c r="P17" i="28" s="1"/>
  <c r="M17" i="28"/>
  <c r="W16" i="28"/>
  <c r="X16" i="28" s="1"/>
  <c r="U16" i="28"/>
  <c r="V16" i="28" s="1"/>
  <c r="T16" i="28"/>
  <c r="Q16" i="28"/>
  <c r="R16" i="28" s="1"/>
  <c r="O16" i="28"/>
  <c r="P16" i="28" s="1"/>
  <c r="M16" i="28"/>
  <c r="W15" i="28"/>
  <c r="X15" i="28" s="1"/>
  <c r="U15" i="28"/>
  <c r="V15" i="28" s="1"/>
  <c r="T15" i="28"/>
  <c r="Q15" i="28"/>
  <c r="R15" i="28" s="1"/>
  <c r="O15" i="28"/>
  <c r="P15" i="28" s="1"/>
  <c r="M15" i="28"/>
  <c r="W14" i="28"/>
  <c r="X14" i="28" s="1"/>
  <c r="U14" i="28"/>
  <c r="V14" i="28" s="1"/>
  <c r="T14" i="28"/>
  <c r="Q14" i="28"/>
  <c r="R14" i="28" s="1"/>
  <c r="O14" i="28"/>
  <c r="P14" i="28" s="1"/>
  <c r="M14" i="28"/>
  <c r="W13" i="28"/>
  <c r="U13" i="28"/>
  <c r="V13" i="28" s="1"/>
  <c r="T13" i="28"/>
  <c r="Q13" i="28"/>
  <c r="R13" i="28" s="1"/>
  <c r="O13" i="28"/>
  <c r="P13" i="28" s="1"/>
  <c r="M13" i="28"/>
  <c r="W12" i="28"/>
  <c r="X12" i="28" s="1"/>
  <c r="U12" i="28"/>
  <c r="V12" i="28" s="1"/>
  <c r="T12" i="28"/>
  <c r="Q12" i="28"/>
  <c r="R12" i="28" s="1"/>
  <c r="O12" i="28"/>
  <c r="P12" i="28" s="1"/>
  <c r="O27" i="28" s="1"/>
  <c r="P27" i="28" s="1"/>
  <c r="M12" i="28"/>
  <c r="W11" i="28"/>
  <c r="X11" i="28" s="1"/>
  <c r="U11" i="28"/>
  <c r="V11" i="28" s="1"/>
  <c r="T11" i="28"/>
  <c r="Q11" i="28"/>
  <c r="R11" i="28" s="1"/>
  <c r="O11" i="28"/>
  <c r="P11" i="28" s="1"/>
  <c r="M11" i="28"/>
  <c r="W10" i="28"/>
  <c r="X10" i="28" s="1"/>
  <c r="U10" i="28"/>
  <c r="V10" i="28" s="1"/>
  <c r="T10" i="28"/>
  <c r="Q10" i="28"/>
  <c r="R10" i="28" s="1"/>
  <c r="O10" i="28"/>
  <c r="P10" i="28" s="1"/>
  <c r="M10" i="28"/>
  <c r="W9" i="28"/>
  <c r="U9" i="28"/>
  <c r="V9" i="28" s="1"/>
  <c r="T9" i="28"/>
  <c r="Q9" i="28"/>
  <c r="R9" i="28" s="1"/>
  <c r="O9" i="28"/>
  <c r="P9" i="28" s="1"/>
  <c r="M9" i="28"/>
  <c r="W8" i="28"/>
  <c r="X8" i="28" s="1"/>
  <c r="U8" i="28"/>
  <c r="V8" i="28" s="1"/>
  <c r="T8" i="28"/>
  <c r="Q8" i="28"/>
  <c r="R8" i="28" s="1"/>
  <c r="O8" i="28"/>
  <c r="P8" i="28" s="1"/>
  <c r="M8" i="28"/>
  <c r="W7" i="28"/>
  <c r="Y7" i="28" s="1"/>
  <c r="Z7" i="28" s="1"/>
  <c r="U7" i="28"/>
  <c r="V7" i="28" s="1"/>
  <c r="T7" i="28"/>
  <c r="Q7" i="28"/>
  <c r="R7" i="28" s="1"/>
  <c r="O7" i="28"/>
  <c r="P7" i="28" s="1"/>
  <c r="M7" i="28"/>
  <c r="L113" i="27"/>
  <c r="Z111" i="27"/>
  <c r="X111" i="27"/>
  <c r="V111" i="27"/>
  <c r="T111" i="27"/>
  <c r="R111" i="27"/>
  <c r="P111" i="27"/>
  <c r="N111" i="27"/>
  <c r="U104" i="27"/>
  <c r="V104" i="27" s="1"/>
  <c r="T104" i="27"/>
  <c r="U103" i="27"/>
  <c r="V103" i="27" s="1"/>
  <c r="T103" i="27"/>
  <c r="U102" i="27"/>
  <c r="V102" i="27" s="1"/>
  <c r="T102" i="27"/>
  <c r="U101" i="27"/>
  <c r="V101" i="27" s="1"/>
  <c r="T101" i="27"/>
  <c r="U100" i="27"/>
  <c r="V100" i="27" s="1"/>
  <c r="T100" i="27"/>
  <c r="U99" i="27"/>
  <c r="V99" i="27" s="1"/>
  <c r="T99" i="27"/>
  <c r="Y98" i="27"/>
  <c r="Z98" i="27" s="1"/>
  <c r="U98" i="27"/>
  <c r="V98" i="27" s="1"/>
  <c r="T98" i="27"/>
  <c r="Q98" i="27"/>
  <c r="R98" i="27" s="1"/>
  <c r="O98" i="27"/>
  <c r="P98" i="27" s="1"/>
  <c r="M98" i="27"/>
  <c r="W97" i="27"/>
  <c r="Y97" i="27" s="1"/>
  <c r="Z97" i="27" s="1"/>
  <c r="U97" i="27"/>
  <c r="V97" i="27" s="1"/>
  <c r="T97" i="27"/>
  <c r="Q97" i="27"/>
  <c r="R97" i="27" s="1"/>
  <c r="O97" i="27"/>
  <c r="P97" i="27" s="1"/>
  <c r="M97" i="27"/>
  <c r="W96" i="27"/>
  <c r="Y96" i="27" s="1"/>
  <c r="Z96" i="27" s="1"/>
  <c r="U96" i="27"/>
  <c r="V96" i="27" s="1"/>
  <c r="T96" i="27"/>
  <c r="Q96" i="27"/>
  <c r="R96" i="27" s="1"/>
  <c r="O96" i="27"/>
  <c r="P96" i="27" s="1"/>
  <c r="M96" i="27"/>
  <c r="W95" i="27"/>
  <c r="Y95" i="27" s="1"/>
  <c r="Z95" i="27" s="1"/>
  <c r="U95" i="27"/>
  <c r="V95" i="27" s="1"/>
  <c r="T95" i="27"/>
  <c r="Q95" i="27"/>
  <c r="R95" i="27" s="1"/>
  <c r="O95" i="27"/>
  <c r="P95" i="27" s="1"/>
  <c r="M95" i="27"/>
  <c r="W94" i="27"/>
  <c r="Y94" i="27" s="1"/>
  <c r="Z94" i="27" s="1"/>
  <c r="Y113" i="27" s="1"/>
  <c r="Z113" i="27" s="1"/>
  <c r="U94" i="27"/>
  <c r="V94" i="27" s="1"/>
  <c r="U113" i="27" s="1"/>
  <c r="V113" i="27" s="1"/>
  <c r="T94" i="27"/>
  <c r="Q94" i="27"/>
  <c r="R94" i="27" s="1"/>
  <c r="O94" i="27"/>
  <c r="P94" i="27" s="1"/>
  <c r="O113" i="27" s="1"/>
  <c r="P113" i="27" s="1"/>
  <c r="M94" i="27"/>
  <c r="W93" i="27"/>
  <c r="Y93" i="27" s="1"/>
  <c r="Z93" i="27" s="1"/>
  <c r="U93" i="27"/>
  <c r="V93" i="27" s="1"/>
  <c r="T93" i="27"/>
  <c r="Q93" i="27"/>
  <c r="R93" i="27" s="1"/>
  <c r="O93" i="27"/>
  <c r="P93" i="27" s="1"/>
  <c r="M93" i="27"/>
  <c r="L84" i="27"/>
  <c r="Z82" i="27"/>
  <c r="X82" i="27"/>
  <c r="V82" i="27"/>
  <c r="T82" i="27"/>
  <c r="R82" i="27"/>
  <c r="P82" i="27"/>
  <c r="N82" i="27"/>
  <c r="U76" i="27"/>
  <c r="V76" i="27" s="1"/>
  <c r="T76" i="27"/>
  <c r="U75" i="27"/>
  <c r="V75" i="27" s="1"/>
  <c r="T75" i="27"/>
  <c r="U74" i="27"/>
  <c r="V74" i="27" s="1"/>
  <c r="T74" i="27"/>
  <c r="U73" i="27"/>
  <c r="V73" i="27" s="1"/>
  <c r="T73" i="27"/>
  <c r="U72" i="27"/>
  <c r="V72" i="27" s="1"/>
  <c r="T72" i="27"/>
  <c r="U71" i="27"/>
  <c r="V71" i="27" s="1"/>
  <c r="T71" i="27"/>
  <c r="W70" i="27"/>
  <c r="X70" i="27" s="1"/>
  <c r="U70" i="27"/>
  <c r="V70" i="27" s="1"/>
  <c r="T70" i="27"/>
  <c r="Q70" i="27"/>
  <c r="R70" i="27" s="1"/>
  <c r="O70" i="27"/>
  <c r="P70" i="27" s="1"/>
  <c r="M70" i="27"/>
  <c r="W69" i="27"/>
  <c r="U69" i="27"/>
  <c r="V69" i="27" s="1"/>
  <c r="T69" i="27"/>
  <c r="Q69" i="27"/>
  <c r="R69" i="27" s="1"/>
  <c r="O69" i="27"/>
  <c r="P69" i="27" s="1"/>
  <c r="M69" i="27"/>
  <c r="W68" i="27"/>
  <c r="Y68" i="27" s="1"/>
  <c r="Z68" i="27" s="1"/>
  <c r="U68" i="27"/>
  <c r="V68" i="27" s="1"/>
  <c r="T68" i="27"/>
  <c r="Q68" i="27"/>
  <c r="R68" i="27" s="1"/>
  <c r="O68" i="27"/>
  <c r="P68" i="27" s="1"/>
  <c r="O84" i="27" s="1"/>
  <c r="P84" i="27" s="1"/>
  <c r="M68" i="27"/>
  <c r="W67" i="27"/>
  <c r="Y67" i="27" s="1"/>
  <c r="Z67" i="27" s="1"/>
  <c r="U67" i="27"/>
  <c r="V67" i="27" s="1"/>
  <c r="T67" i="27"/>
  <c r="Q67" i="27"/>
  <c r="R67" i="27" s="1"/>
  <c r="O67" i="27"/>
  <c r="P67" i="27" s="1"/>
  <c r="M67" i="27"/>
  <c r="W66" i="27"/>
  <c r="Y66" i="27" s="1"/>
  <c r="Z66" i="27" s="1"/>
  <c r="U66" i="27"/>
  <c r="V66" i="27" s="1"/>
  <c r="T66" i="27"/>
  <c r="Q66" i="27"/>
  <c r="R66" i="27" s="1"/>
  <c r="O66" i="27"/>
  <c r="P66" i="27" s="1"/>
  <c r="M66" i="27"/>
  <c r="W65" i="27"/>
  <c r="Y65" i="27" s="1"/>
  <c r="Z65" i="27" s="1"/>
  <c r="U65" i="27"/>
  <c r="V65" i="27" s="1"/>
  <c r="T65" i="27"/>
  <c r="Q65" i="27"/>
  <c r="R65" i="27" s="1"/>
  <c r="O65" i="27"/>
  <c r="P65" i="27" s="1"/>
  <c r="M65" i="27"/>
  <c r="L56" i="27"/>
  <c r="Z54" i="27"/>
  <c r="X54" i="27"/>
  <c r="V54" i="27"/>
  <c r="T54" i="27"/>
  <c r="R54" i="27"/>
  <c r="P54" i="27"/>
  <c r="N54" i="27"/>
  <c r="U47" i="27"/>
  <c r="V47" i="27" s="1"/>
  <c r="T47" i="27"/>
  <c r="U46" i="27"/>
  <c r="V46" i="27" s="1"/>
  <c r="T46" i="27"/>
  <c r="U44" i="27"/>
  <c r="V44" i="27" s="1"/>
  <c r="T44" i="27"/>
  <c r="U43" i="27"/>
  <c r="V43" i="27" s="1"/>
  <c r="T43" i="27"/>
  <c r="U42" i="27"/>
  <c r="V42" i="27" s="1"/>
  <c r="T42" i="27"/>
  <c r="W41" i="27"/>
  <c r="Y41" i="27" s="1"/>
  <c r="Z41" i="27" s="1"/>
  <c r="U41" i="27"/>
  <c r="V41" i="27" s="1"/>
  <c r="T41" i="27"/>
  <c r="Q41" i="27"/>
  <c r="R41" i="27" s="1"/>
  <c r="O41" i="27"/>
  <c r="P41" i="27" s="1"/>
  <c r="M41" i="27"/>
  <c r="W40" i="27"/>
  <c r="Y40" i="27" s="1"/>
  <c r="Z40" i="27" s="1"/>
  <c r="U40" i="27"/>
  <c r="V40" i="27" s="1"/>
  <c r="T40" i="27"/>
  <c r="Q40" i="27"/>
  <c r="R40" i="27" s="1"/>
  <c r="O40" i="27"/>
  <c r="M40" i="27"/>
  <c r="W39" i="27"/>
  <c r="Y39" i="27" s="1"/>
  <c r="Z39" i="27" s="1"/>
  <c r="U39" i="27"/>
  <c r="V39" i="27" s="1"/>
  <c r="T39" i="27"/>
  <c r="Q39" i="27"/>
  <c r="R39" i="27" s="1"/>
  <c r="O39" i="27"/>
  <c r="P39" i="27" s="1"/>
  <c r="M39" i="27"/>
  <c r="W38" i="27"/>
  <c r="Y38" i="27" s="1"/>
  <c r="Z38" i="27" s="1"/>
  <c r="U38" i="27"/>
  <c r="V38" i="27" s="1"/>
  <c r="T38" i="27"/>
  <c r="Q38" i="27"/>
  <c r="R38" i="27" s="1"/>
  <c r="O38" i="27"/>
  <c r="P38" i="27" s="1"/>
  <c r="M38" i="27"/>
  <c r="W37" i="27"/>
  <c r="Y37" i="27" s="1"/>
  <c r="Z37" i="27" s="1"/>
  <c r="U37" i="27"/>
  <c r="V37" i="27" s="1"/>
  <c r="T37" i="27"/>
  <c r="Q37" i="27"/>
  <c r="R37" i="27" s="1"/>
  <c r="O37" i="27"/>
  <c r="P37" i="27" s="1"/>
  <c r="M37" i="27"/>
  <c r="W36" i="27"/>
  <c r="Y36" i="27" s="1"/>
  <c r="Z36" i="27" s="1"/>
  <c r="U36" i="27"/>
  <c r="V36" i="27" s="1"/>
  <c r="T36" i="27"/>
  <c r="Q36" i="27"/>
  <c r="R36" i="27" s="1"/>
  <c r="O36" i="27"/>
  <c r="M36" i="27"/>
  <c r="L27" i="27"/>
  <c r="Z25" i="27"/>
  <c r="X25" i="27"/>
  <c r="V25" i="27"/>
  <c r="T25" i="27"/>
  <c r="R25" i="27"/>
  <c r="P25" i="27"/>
  <c r="N25" i="27"/>
  <c r="U18" i="27"/>
  <c r="V18" i="27" s="1"/>
  <c r="T18" i="27"/>
  <c r="U17" i="27"/>
  <c r="V17" i="27" s="1"/>
  <c r="T17" i="27"/>
  <c r="U16" i="27"/>
  <c r="V16" i="27" s="1"/>
  <c r="T16" i="27"/>
  <c r="U15" i="27"/>
  <c r="V15" i="27" s="1"/>
  <c r="T15" i="27"/>
  <c r="U14" i="27"/>
  <c r="V14" i="27" s="1"/>
  <c r="T14" i="27"/>
  <c r="U13" i="27"/>
  <c r="V13" i="27" s="1"/>
  <c r="T13" i="27"/>
  <c r="W12" i="27"/>
  <c r="X12" i="27" s="1"/>
  <c r="U12" i="27"/>
  <c r="V12" i="27" s="1"/>
  <c r="T12" i="27"/>
  <c r="Q12" i="27"/>
  <c r="R12" i="27" s="1"/>
  <c r="O12" i="27"/>
  <c r="P12" i="27" s="1"/>
  <c r="M12" i="27"/>
  <c r="W11" i="27"/>
  <c r="U11" i="27"/>
  <c r="V11" i="27" s="1"/>
  <c r="T11" i="27"/>
  <c r="Q11" i="27"/>
  <c r="R11" i="27" s="1"/>
  <c r="O11" i="27"/>
  <c r="P11" i="27" s="1"/>
  <c r="M11" i="27"/>
  <c r="W10" i="27"/>
  <c r="Y10" i="27" s="1"/>
  <c r="Z10" i="27" s="1"/>
  <c r="U10" i="27"/>
  <c r="V10" i="27" s="1"/>
  <c r="T10" i="27"/>
  <c r="Q10" i="27"/>
  <c r="R10" i="27" s="1"/>
  <c r="O10" i="27"/>
  <c r="M10" i="27"/>
  <c r="W9" i="27"/>
  <c r="Y9" i="27" s="1"/>
  <c r="Z9" i="27" s="1"/>
  <c r="U9" i="27"/>
  <c r="V9" i="27" s="1"/>
  <c r="T9" i="27"/>
  <c r="Q9" i="27"/>
  <c r="R9" i="27" s="1"/>
  <c r="O9" i="27"/>
  <c r="M9" i="27"/>
  <c r="W8" i="27"/>
  <c r="X8" i="27" s="1"/>
  <c r="U8" i="27"/>
  <c r="V8" i="27" s="1"/>
  <c r="T8" i="27"/>
  <c r="Q8" i="27"/>
  <c r="R8" i="27" s="1"/>
  <c r="O8" i="27"/>
  <c r="P8" i="27" s="1"/>
  <c r="M8" i="27"/>
  <c r="W7" i="27"/>
  <c r="Y7" i="27" s="1"/>
  <c r="Z7" i="27" s="1"/>
  <c r="U7" i="27"/>
  <c r="V7" i="27" s="1"/>
  <c r="T7" i="27"/>
  <c r="Q7" i="27"/>
  <c r="R7" i="27" s="1"/>
  <c r="O7" i="27"/>
  <c r="P7" i="27" s="1"/>
  <c r="M7" i="27"/>
  <c r="Y113" i="26"/>
  <c r="Z113" i="26" s="1"/>
  <c r="W113" i="26"/>
  <c r="X113" i="26" s="1"/>
  <c r="U113" i="26"/>
  <c r="V113" i="26" s="1"/>
  <c r="S113" i="26"/>
  <c r="T113" i="26" s="1"/>
  <c r="Q113" i="26"/>
  <c r="R113" i="26" s="1"/>
  <c r="O113" i="26"/>
  <c r="P113" i="26" s="1"/>
  <c r="M113" i="26"/>
  <c r="N113" i="26" s="1"/>
  <c r="L113" i="26"/>
  <c r="W98" i="26"/>
  <c r="Y98" i="26" s="1"/>
  <c r="Z98" i="26" s="1"/>
  <c r="U98" i="26"/>
  <c r="V98" i="26" s="1"/>
  <c r="T98" i="26"/>
  <c r="Q98" i="26"/>
  <c r="R98" i="26" s="1"/>
  <c r="O98" i="26"/>
  <c r="P98" i="26" s="1"/>
  <c r="M98" i="26"/>
  <c r="W97" i="26"/>
  <c r="Y97" i="26" s="1"/>
  <c r="Z97" i="26" s="1"/>
  <c r="U97" i="26"/>
  <c r="V97" i="26" s="1"/>
  <c r="T97" i="26"/>
  <c r="T111" i="26" s="1"/>
  <c r="Q97" i="26"/>
  <c r="R97" i="26" s="1"/>
  <c r="R111" i="26" s="1"/>
  <c r="O97" i="26"/>
  <c r="P97" i="26" s="1"/>
  <c r="P111" i="26" s="1"/>
  <c r="M97" i="26"/>
  <c r="W96" i="26"/>
  <c r="Y96" i="26" s="1"/>
  <c r="Z96" i="26" s="1"/>
  <c r="U96" i="26"/>
  <c r="V96" i="26" s="1"/>
  <c r="T96" i="26"/>
  <c r="Q96" i="26"/>
  <c r="R96" i="26" s="1"/>
  <c r="O96" i="26"/>
  <c r="P96" i="26" s="1"/>
  <c r="M96" i="26"/>
  <c r="W95" i="26"/>
  <c r="Y95" i="26" s="1"/>
  <c r="Z95" i="26" s="1"/>
  <c r="U95" i="26"/>
  <c r="V95" i="26" s="1"/>
  <c r="T95" i="26"/>
  <c r="Q95" i="26"/>
  <c r="R95" i="26" s="1"/>
  <c r="O95" i="26"/>
  <c r="P95" i="26" s="1"/>
  <c r="M95" i="26"/>
  <c r="W94" i="26"/>
  <c r="Y94" i="26" s="1"/>
  <c r="Z94" i="26" s="1"/>
  <c r="U94" i="26"/>
  <c r="V94" i="26" s="1"/>
  <c r="T94" i="26"/>
  <c r="Q94" i="26"/>
  <c r="R94" i="26" s="1"/>
  <c r="O94" i="26"/>
  <c r="P94" i="26" s="1"/>
  <c r="M94" i="26"/>
  <c r="W93" i="26"/>
  <c r="Y93" i="26" s="1"/>
  <c r="Z93" i="26" s="1"/>
  <c r="U93" i="26"/>
  <c r="V93" i="26" s="1"/>
  <c r="T93" i="26"/>
  <c r="Q93" i="26"/>
  <c r="R93" i="26" s="1"/>
  <c r="O93" i="26"/>
  <c r="P93" i="26" s="1"/>
  <c r="M93" i="26"/>
  <c r="L84" i="26"/>
  <c r="Z82" i="26"/>
  <c r="X82" i="26"/>
  <c r="V82" i="26"/>
  <c r="T82" i="26"/>
  <c r="R82" i="26"/>
  <c r="P82" i="26"/>
  <c r="N82" i="26"/>
  <c r="W70" i="26"/>
  <c r="Y70" i="26" s="1"/>
  <c r="Z70" i="26" s="1"/>
  <c r="U70" i="26"/>
  <c r="V70" i="26" s="1"/>
  <c r="T70" i="26"/>
  <c r="Q70" i="26"/>
  <c r="R70" i="26" s="1"/>
  <c r="O70" i="26"/>
  <c r="P70" i="26" s="1"/>
  <c r="M70" i="26"/>
  <c r="W69" i="26"/>
  <c r="U69" i="26"/>
  <c r="V69" i="26" s="1"/>
  <c r="T69" i="26"/>
  <c r="Q69" i="26"/>
  <c r="R69" i="26" s="1"/>
  <c r="O69" i="26"/>
  <c r="P69" i="26" s="1"/>
  <c r="M69" i="26"/>
  <c r="W68" i="26"/>
  <c r="U68" i="26"/>
  <c r="V68" i="26" s="1"/>
  <c r="T68" i="26"/>
  <c r="Q68" i="26"/>
  <c r="R68" i="26" s="1"/>
  <c r="O68" i="26"/>
  <c r="P68" i="26" s="1"/>
  <c r="M68" i="26"/>
  <c r="W67" i="26"/>
  <c r="U67" i="26"/>
  <c r="V67" i="26" s="1"/>
  <c r="T67" i="26"/>
  <c r="Q67" i="26"/>
  <c r="R67" i="26" s="1"/>
  <c r="O67" i="26"/>
  <c r="P67" i="26" s="1"/>
  <c r="M67" i="26"/>
  <c r="W66" i="26"/>
  <c r="Y66" i="26" s="1"/>
  <c r="Z66" i="26" s="1"/>
  <c r="U66" i="26"/>
  <c r="V66" i="26" s="1"/>
  <c r="T66" i="26"/>
  <c r="Q66" i="26"/>
  <c r="R66" i="26" s="1"/>
  <c r="O66" i="26"/>
  <c r="P66" i="26" s="1"/>
  <c r="M66" i="26"/>
  <c r="W65" i="26"/>
  <c r="U65" i="26"/>
  <c r="V65" i="26" s="1"/>
  <c r="T65" i="26"/>
  <c r="Q65" i="26"/>
  <c r="R65" i="26" s="1"/>
  <c r="O65" i="26"/>
  <c r="P65" i="26" s="1"/>
  <c r="M65" i="26"/>
  <c r="L56" i="26"/>
  <c r="Z54" i="26"/>
  <c r="X54" i="26"/>
  <c r="V54" i="26"/>
  <c r="T54" i="26"/>
  <c r="R54" i="26"/>
  <c r="P54" i="26"/>
  <c r="N54" i="26"/>
  <c r="W41" i="26"/>
  <c r="Y41" i="26" s="1"/>
  <c r="Z41" i="26" s="1"/>
  <c r="U41" i="26"/>
  <c r="V41" i="26" s="1"/>
  <c r="T41" i="26"/>
  <c r="Q41" i="26"/>
  <c r="R41" i="26" s="1"/>
  <c r="O41" i="26"/>
  <c r="P41" i="26" s="1"/>
  <c r="M41" i="26"/>
  <c r="W40" i="26"/>
  <c r="Y40" i="26" s="1"/>
  <c r="Z40" i="26" s="1"/>
  <c r="U40" i="26"/>
  <c r="V40" i="26" s="1"/>
  <c r="T40" i="26"/>
  <c r="Q40" i="26"/>
  <c r="R40" i="26" s="1"/>
  <c r="O40" i="26"/>
  <c r="P40" i="26" s="1"/>
  <c r="M40" i="26"/>
  <c r="W39" i="26"/>
  <c r="Y39" i="26" s="1"/>
  <c r="Z39" i="26" s="1"/>
  <c r="U39" i="26"/>
  <c r="V39" i="26" s="1"/>
  <c r="T39" i="26"/>
  <c r="Q39" i="26"/>
  <c r="R39" i="26" s="1"/>
  <c r="O39" i="26"/>
  <c r="P39" i="26" s="1"/>
  <c r="M39" i="26"/>
  <c r="W38" i="26"/>
  <c r="Y38" i="26" s="1"/>
  <c r="Z38" i="26" s="1"/>
  <c r="U38" i="26"/>
  <c r="V38" i="26" s="1"/>
  <c r="T38" i="26"/>
  <c r="Q38" i="26"/>
  <c r="R38" i="26" s="1"/>
  <c r="O38" i="26"/>
  <c r="P38" i="26" s="1"/>
  <c r="M38" i="26"/>
  <c r="W37" i="26"/>
  <c r="Y37" i="26" s="1"/>
  <c r="Z37" i="26" s="1"/>
  <c r="U37" i="26"/>
  <c r="V37" i="26" s="1"/>
  <c r="T37" i="26"/>
  <c r="Q37" i="26"/>
  <c r="R37" i="26" s="1"/>
  <c r="O37" i="26"/>
  <c r="M37" i="26"/>
  <c r="W36" i="26"/>
  <c r="Y36" i="26" s="1"/>
  <c r="Z36" i="26" s="1"/>
  <c r="U36" i="26"/>
  <c r="V36" i="26" s="1"/>
  <c r="T36" i="26"/>
  <c r="Q36" i="26"/>
  <c r="R36" i="26" s="1"/>
  <c r="O36" i="26"/>
  <c r="P36" i="26" s="1"/>
  <c r="M36" i="26"/>
  <c r="L27" i="26"/>
  <c r="U13" i="26"/>
  <c r="V13" i="26" s="1"/>
  <c r="T13" i="26"/>
  <c r="W12" i="26"/>
  <c r="X12" i="26" s="1"/>
  <c r="U12" i="26"/>
  <c r="V12" i="26" s="1"/>
  <c r="T12" i="26"/>
  <c r="Q12" i="26"/>
  <c r="R12" i="26" s="1"/>
  <c r="O12" i="26"/>
  <c r="P12" i="26" s="1"/>
  <c r="M12" i="26"/>
  <c r="W11" i="26"/>
  <c r="X11" i="26" s="1"/>
  <c r="U11" i="26"/>
  <c r="V11" i="26" s="1"/>
  <c r="T11" i="26"/>
  <c r="Q11" i="26"/>
  <c r="R11" i="26" s="1"/>
  <c r="O11" i="26"/>
  <c r="P11" i="26" s="1"/>
  <c r="M11" i="26"/>
  <c r="W10" i="26"/>
  <c r="Y10" i="26" s="1"/>
  <c r="Z10" i="26" s="1"/>
  <c r="U10" i="26"/>
  <c r="V10" i="26" s="1"/>
  <c r="T10" i="26"/>
  <c r="T25" i="26" s="1"/>
  <c r="Q10" i="26"/>
  <c r="R10" i="26" s="1"/>
  <c r="R25" i="26" s="1"/>
  <c r="O10" i="26"/>
  <c r="P10" i="26" s="1"/>
  <c r="P25" i="26" s="1"/>
  <c r="M10" i="26"/>
  <c r="W9" i="26"/>
  <c r="U9" i="26"/>
  <c r="V9" i="26" s="1"/>
  <c r="T9" i="26"/>
  <c r="Q9" i="26"/>
  <c r="R9" i="26" s="1"/>
  <c r="O9" i="26"/>
  <c r="P9" i="26" s="1"/>
  <c r="M9" i="26"/>
  <c r="W8" i="26"/>
  <c r="Y8" i="26" s="1"/>
  <c r="Z8" i="26" s="1"/>
  <c r="U8" i="26"/>
  <c r="V8" i="26" s="1"/>
  <c r="T8" i="26"/>
  <c r="Q8" i="26"/>
  <c r="R8" i="26" s="1"/>
  <c r="O8" i="26"/>
  <c r="P8" i="26" s="1"/>
  <c r="M8" i="26"/>
  <c r="W7" i="26"/>
  <c r="Y7" i="26" s="1"/>
  <c r="Z7" i="26" s="1"/>
  <c r="U7" i="26"/>
  <c r="V7" i="26" s="1"/>
  <c r="T7" i="26"/>
  <c r="Q7" i="26"/>
  <c r="R7" i="26" s="1"/>
  <c r="O7" i="26"/>
  <c r="P7" i="26" s="1"/>
  <c r="M7" i="26"/>
  <c r="Y113" i="25"/>
  <c r="Z113" i="25" s="1"/>
  <c r="W113" i="25"/>
  <c r="X113" i="25" s="1"/>
  <c r="U113" i="25"/>
  <c r="V113" i="25" s="1"/>
  <c r="S113" i="25"/>
  <c r="T113" i="25" s="1"/>
  <c r="Q113" i="25"/>
  <c r="R113" i="25" s="1"/>
  <c r="O113" i="25"/>
  <c r="P113" i="25" s="1"/>
  <c r="M113" i="25"/>
  <c r="N113" i="25" s="1"/>
  <c r="L113" i="25"/>
  <c r="Z111" i="25"/>
  <c r="X111" i="25"/>
  <c r="V111" i="25"/>
  <c r="T111" i="25"/>
  <c r="R111" i="25"/>
  <c r="P111" i="25"/>
  <c r="N111" i="25"/>
  <c r="W98" i="25"/>
  <c r="X98" i="25" s="1"/>
  <c r="U98" i="25"/>
  <c r="V98" i="25" s="1"/>
  <c r="T98" i="25"/>
  <c r="Q98" i="25"/>
  <c r="R98" i="25" s="1"/>
  <c r="O98" i="25"/>
  <c r="P98" i="25" s="1"/>
  <c r="M98" i="25"/>
  <c r="W97" i="25"/>
  <c r="X97" i="25" s="1"/>
  <c r="U97" i="25"/>
  <c r="V97" i="25" s="1"/>
  <c r="T97" i="25"/>
  <c r="Q97" i="25"/>
  <c r="R97" i="25" s="1"/>
  <c r="O97" i="25"/>
  <c r="P97" i="25" s="1"/>
  <c r="M97" i="25"/>
  <c r="W96" i="25"/>
  <c r="X96" i="25" s="1"/>
  <c r="U96" i="25"/>
  <c r="V96" i="25" s="1"/>
  <c r="T96" i="25"/>
  <c r="Q96" i="25"/>
  <c r="R96" i="25" s="1"/>
  <c r="O96" i="25"/>
  <c r="P96" i="25" s="1"/>
  <c r="M96" i="25"/>
  <c r="W95" i="25"/>
  <c r="Y95" i="25" s="1"/>
  <c r="Z95" i="25" s="1"/>
  <c r="U95" i="25"/>
  <c r="V95" i="25" s="1"/>
  <c r="T95" i="25"/>
  <c r="Q95" i="25"/>
  <c r="R95" i="25" s="1"/>
  <c r="O95" i="25"/>
  <c r="P95" i="25" s="1"/>
  <c r="M95" i="25"/>
  <c r="W94" i="25"/>
  <c r="U94" i="25"/>
  <c r="V94" i="25" s="1"/>
  <c r="T94" i="25"/>
  <c r="Q94" i="25"/>
  <c r="R94" i="25" s="1"/>
  <c r="O94" i="25"/>
  <c r="P94" i="25" s="1"/>
  <c r="M94" i="25"/>
  <c r="W93" i="25"/>
  <c r="U93" i="25"/>
  <c r="V93" i="25" s="1"/>
  <c r="T93" i="25"/>
  <c r="Q93" i="25"/>
  <c r="R93" i="25" s="1"/>
  <c r="O93" i="25"/>
  <c r="P93" i="25" s="1"/>
  <c r="M93" i="25"/>
  <c r="L84" i="25"/>
  <c r="W70" i="25"/>
  <c r="Y70" i="25" s="1"/>
  <c r="Z70" i="25" s="1"/>
  <c r="U70" i="25"/>
  <c r="V70" i="25" s="1"/>
  <c r="T70" i="25"/>
  <c r="Q70" i="25"/>
  <c r="R70" i="25" s="1"/>
  <c r="O70" i="25"/>
  <c r="P70" i="25" s="1"/>
  <c r="M70" i="25"/>
  <c r="W69" i="25"/>
  <c r="U69" i="25"/>
  <c r="V69" i="25" s="1"/>
  <c r="T69" i="25"/>
  <c r="Q69" i="25"/>
  <c r="R69" i="25" s="1"/>
  <c r="O69" i="25"/>
  <c r="M69" i="25"/>
  <c r="W68" i="25"/>
  <c r="Y68" i="25" s="1"/>
  <c r="Z68" i="25" s="1"/>
  <c r="U68" i="25"/>
  <c r="V68" i="25" s="1"/>
  <c r="T68" i="25"/>
  <c r="Q68" i="25"/>
  <c r="R68" i="25" s="1"/>
  <c r="O68" i="25"/>
  <c r="P68" i="25" s="1"/>
  <c r="M68" i="25"/>
  <c r="W67" i="25"/>
  <c r="Y67" i="25" s="1"/>
  <c r="Z67" i="25" s="1"/>
  <c r="U67" i="25"/>
  <c r="V67" i="25" s="1"/>
  <c r="T67" i="25"/>
  <c r="Q67" i="25"/>
  <c r="R67" i="25" s="1"/>
  <c r="O67" i="25"/>
  <c r="P67" i="25" s="1"/>
  <c r="M67" i="25"/>
  <c r="W66" i="25"/>
  <c r="Y66" i="25" s="1"/>
  <c r="Z66" i="25" s="1"/>
  <c r="U66" i="25"/>
  <c r="V66" i="25" s="1"/>
  <c r="T66" i="25"/>
  <c r="Q66" i="25"/>
  <c r="R66" i="25" s="1"/>
  <c r="O66" i="25"/>
  <c r="P66" i="25" s="1"/>
  <c r="M66" i="25"/>
  <c r="W65" i="25"/>
  <c r="U65" i="25"/>
  <c r="V65" i="25" s="1"/>
  <c r="T65" i="25"/>
  <c r="Q65" i="25"/>
  <c r="R65" i="25" s="1"/>
  <c r="O65" i="25"/>
  <c r="M65" i="25"/>
  <c r="L56" i="25"/>
  <c r="Z54" i="25"/>
  <c r="X54" i="25"/>
  <c r="V54" i="25"/>
  <c r="T54" i="25"/>
  <c r="R54" i="25"/>
  <c r="P54" i="25"/>
  <c r="N54" i="25"/>
  <c r="W41" i="25"/>
  <c r="X41" i="25" s="1"/>
  <c r="U41" i="25"/>
  <c r="V41" i="25" s="1"/>
  <c r="T41" i="25"/>
  <c r="Q41" i="25"/>
  <c r="R41" i="25" s="1"/>
  <c r="O41" i="25"/>
  <c r="P41" i="25" s="1"/>
  <c r="M41" i="25"/>
  <c r="W40" i="25"/>
  <c r="X40" i="25" s="1"/>
  <c r="U40" i="25"/>
  <c r="V40" i="25" s="1"/>
  <c r="T40" i="25"/>
  <c r="Q40" i="25"/>
  <c r="R40" i="25" s="1"/>
  <c r="O40" i="25"/>
  <c r="P40" i="25" s="1"/>
  <c r="M40" i="25"/>
  <c r="W39" i="25"/>
  <c r="X39" i="25" s="1"/>
  <c r="U39" i="25"/>
  <c r="V39" i="25" s="1"/>
  <c r="T39" i="25"/>
  <c r="Q39" i="25"/>
  <c r="R39" i="25" s="1"/>
  <c r="O39" i="25"/>
  <c r="P39" i="25" s="1"/>
  <c r="M39" i="25"/>
  <c r="W38" i="25"/>
  <c r="X38" i="25" s="1"/>
  <c r="U38" i="25"/>
  <c r="V38" i="25" s="1"/>
  <c r="T38" i="25"/>
  <c r="Q38" i="25"/>
  <c r="R38" i="25" s="1"/>
  <c r="O38" i="25"/>
  <c r="P38" i="25" s="1"/>
  <c r="M38" i="25"/>
  <c r="W37" i="25"/>
  <c r="X37" i="25" s="1"/>
  <c r="U37" i="25"/>
  <c r="V37" i="25" s="1"/>
  <c r="T37" i="25"/>
  <c r="Q37" i="25"/>
  <c r="R37" i="25" s="1"/>
  <c r="O37" i="25"/>
  <c r="P37" i="25" s="1"/>
  <c r="M37" i="25"/>
  <c r="W36" i="25"/>
  <c r="X36" i="25" s="1"/>
  <c r="U36" i="25"/>
  <c r="V36" i="25" s="1"/>
  <c r="T36" i="25"/>
  <c r="Q36" i="25"/>
  <c r="R36" i="25" s="1"/>
  <c r="O36" i="25"/>
  <c r="P36" i="25" s="1"/>
  <c r="M36" i="25"/>
  <c r="L27" i="25"/>
  <c r="Z25" i="25"/>
  <c r="X25" i="25"/>
  <c r="V25" i="25"/>
  <c r="T25" i="25"/>
  <c r="R25" i="25"/>
  <c r="P25" i="25"/>
  <c r="N25" i="25"/>
  <c r="W15" i="25"/>
  <c r="U15" i="25"/>
  <c r="V15" i="25" s="1"/>
  <c r="T15" i="25"/>
  <c r="W14" i="25"/>
  <c r="U14" i="25"/>
  <c r="V14" i="25" s="1"/>
  <c r="T14" i="25"/>
  <c r="Q14" i="25"/>
  <c r="R14" i="25" s="1"/>
  <c r="O14" i="25"/>
  <c r="M14" i="25"/>
  <c r="W13" i="25"/>
  <c r="Y13" i="25" s="1"/>
  <c r="Z13" i="25" s="1"/>
  <c r="U13" i="25"/>
  <c r="V13" i="25" s="1"/>
  <c r="T13" i="25"/>
  <c r="Q13" i="25"/>
  <c r="R13" i="25" s="1"/>
  <c r="O13" i="25"/>
  <c r="P13" i="25" s="1"/>
  <c r="M13" i="25"/>
  <c r="W12" i="25"/>
  <c r="X12" i="25" s="1"/>
  <c r="U12" i="25"/>
  <c r="V12" i="25" s="1"/>
  <c r="T12" i="25"/>
  <c r="Q12" i="25"/>
  <c r="R12" i="25" s="1"/>
  <c r="O12" i="25"/>
  <c r="P12" i="25" s="1"/>
  <c r="M12" i="25"/>
  <c r="W11" i="25"/>
  <c r="Y11" i="25" s="1"/>
  <c r="Z11" i="25" s="1"/>
  <c r="U11" i="25"/>
  <c r="V11" i="25" s="1"/>
  <c r="T11" i="25"/>
  <c r="Q11" i="25"/>
  <c r="R11" i="25" s="1"/>
  <c r="O11" i="25"/>
  <c r="P11" i="25" s="1"/>
  <c r="M11" i="25"/>
  <c r="W10" i="25"/>
  <c r="Y10" i="25" s="1"/>
  <c r="Z10" i="25" s="1"/>
  <c r="U10" i="25"/>
  <c r="V10" i="25" s="1"/>
  <c r="T10" i="25"/>
  <c r="Q10" i="25"/>
  <c r="R10" i="25" s="1"/>
  <c r="O10" i="25"/>
  <c r="P10" i="25" s="1"/>
  <c r="M10" i="25"/>
  <c r="W9" i="25"/>
  <c r="Y9" i="25" s="1"/>
  <c r="Z9" i="25" s="1"/>
  <c r="U9" i="25"/>
  <c r="V9" i="25" s="1"/>
  <c r="T9" i="25"/>
  <c r="Q9" i="25"/>
  <c r="R9" i="25" s="1"/>
  <c r="O9" i="25"/>
  <c r="P9" i="25" s="1"/>
  <c r="M9" i="25"/>
  <c r="W8" i="25"/>
  <c r="Y8" i="25" s="1"/>
  <c r="Z8" i="25" s="1"/>
  <c r="U8" i="25"/>
  <c r="V8" i="25" s="1"/>
  <c r="T8" i="25"/>
  <c r="Q8" i="25"/>
  <c r="R8" i="25" s="1"/>
  <c r="O8" i="25"/>
  <c r="P8" i="25" s="1"/>
  <c r="M8" i="25"/>
  <c r="W7" i="25"/>
  <c r="U7" i="25"/>
  <c r="V7" i="25" s="1"/>
  <c r="T7" i="25"/>
  <c r="Q7" i="25"/>
  <c r="R7" i="25" s="1"/>
  <c r="O7" i="25"/>
  <c r="P7" i="25" s="1"/>
  <c r="M7" i="25"/>
  <c r="Y113" i="24"/>
  <c r="Z113" i="24" s="1"/>
  <c r="W113" i="24"/>
  <c r="X113" i="24" s="1"/>
  <c r="U113" i="24"/>
  <c r="V113" i="24" s="1"/>
  <c r="S113" i="24"/>
  <c r="T113" i="24" s="1"/>
  <c r="Q113" i="24"/>
  <c r="R113" i="24" s="1"/>
  <c r="O113" i="24"/>
  <c r="P113" i="24" s="1"/>
  <c r="M113" i="24"/>
  <c r="N113" i="24" s="1"/>
  <c r="L113" i="24"/>
  <c r="T111" i="24"/>
  <c r="R111" i="24"/>
  <c r="W104" i="24"/>
  <c r="X104" i="24" s="1"/>
  <c r="U104" i="24"/>
  <c r="V104" i="24" s="1"/>
  <c r="T104" i="24"/>
  <c r="Q104" i="24"/>
  <c r="R104" i="24" s="1"/>
  <c r="O104" i="24"/>
  <c r="P104" i="24" s="1"/>
  <c r="M104" i="24"/>
  <c r="W103" i="24"/>
  <c r="U103" i="24"/>
  <c r="V103" i="24" s="1"/>
  <c r="T103" i="24"/>
  <c r="Q103" i="24"/>
  <c r="R103" i="24" s="1"/>
  <c r="O103" i="24"/>
  <c r="P103" i="24" s="1"/>
  <c r="M103" i="24"/>
  <c r="W102" i="24"/>
  <c r="Y102" i="24" s="1"/>
  <c r="Z102" i="24" s="1"/>
  <c r="U102" i="24"/>
  <c r="V102" i="24" s="1"/>
  <c r="T102" i="24"/>
  <c r="Q102" i="24"/>
  <c r="R102" i="24" s="1"/>
  <c r="O102" i="24"/>
  <c r="P102" i="24" s="1"/>
  <c r="M102" i="24"/>
  <c r="W101" i="24"/>
  <c r="Y101" i="24" s="1"/>
  <c r="Z101" i="24" s="1"/>
  <c r="U101" i="24"/>
  <c r="V101" i="24" s="1"/>
  <c r="T101" i="24"/>
  <c r="Q101" i="24"/>
  <c r="R101" i="24" s="1"/>
  <c r="O101" i="24"/>
  <c r="P101" i="24" s="1"/>
  <c r="M101" i="24"/>
  <c r="W100" i="24"/>
  <c r="Y100" i="24" s="1"/>
  <c r="Z100" i="24" s="1"/>
  <c r="U100" i="24"/>
  <c r="V100" i="24" s="1"/>
  <c r="V111" i="24" s="1"/>
  <c r="T100" i="24"/>
  <c r="Q100" i="24"/>
  <c r="R100" i="24" s="1"/>
  <c r="O100" i="24"/>
  <c r="P100" i="24" s="1"/>
  <c r="M100" i="24"/>
  <c r="W99" i="24"/>
  <c r="X99" i="24" s="1"/>
  <c r="U99" i="24"/>
  <c r="V99" i="24" s="1"/>
  <c r="T99" i="24"/>
  <c r="Q99" i="24"/>
  <c r="R99" i="24" s="1"/>
  <c r="O99" i="24"/>
  <c r="P99" i="24" s="1"/>
  <c r="M99" i="24"/>
  <c r="W98" i="24"/>
  <c r="Y98" i="24" s="1"/>
  <c r="Z98" i="24" s="1"/>
  <c r="U98" i="24"/>
  <c r="V98" i="24" s="1"/>
  <c r="T98" i="24"/>
  <c r="Q98" i="24"/>
  <c r="R98" i="24" s="1"/>
  <c r="O98" i="24"/>
  <c r="P98" i="24" s="1"/>
  <c r="M98" i="24"/>
  <c r="W97" i="24"/>
  <c r="Y97" i="24" s="1"/>
  <c r="Z97" i="24" s="1"/>
  <c r="U97" i="24"/>
  <c r="V97" i="24" s="1"/>
  <c r="T97" i="24"/>
  <c r="Q97" i="24"/>
  <c r="R97" i="24" s="1"/>
  <c r="O97" i="24"/>
  <c r="P97" i="24" s="1"/>
  <c r="M97" i="24"/>
  <c r="W96" i="24"/>
  <c r="U96" i="24"/>
  <c r="V96" i="24" s="1"/>
  <c r="T96" i="24"/>
  <c r="Q96" i="24"/>
  <c r="R96" i="24" s="1"/>
  <c r="O96" i="24"/>
  <c r="P96" i="24" s="1"/>
  <c r="M96" i="24"/>
  <c r="W95" i="24"/>
  <c r="U95" i="24"/>
  <c r="V95" i="24" s="1"/>
  <c r="T95" i="24"/>
  <c r="Q95" i="24"/>
  <c r="R95" i="24" s="1"/>
  <c r="O95" i="24"/>
  <c r="P95" i="24" s="1"/>
  <c r="P111" i="24" s="1"/>
  <c r="M95" i="24"/>
  <c r="W94" i="24"/>
  <c r="Y94" i="24" s="1"/>
  <c r="Z94" i="24" s="1"/>
  <c r="U94" i="24"/>
  <c r="V94" i="24" s="1"/>
  <c r="T94" i="24"/>
  <c r="Q94" i="24"/>
  <c r="R94" i="24" s="1"/>
  <c r="O94" i="24"/>
  <c r="P94" i="24" s="1"/>
  <c r="M94" i="24"/>
  <c r="W93" i="24"/>
  <c r="Y93" i="24" s="1"/>
  <c r="Z93" i="24" s="1"/>
  <c r="U93" i="24"/>
  <c r="V93" i="24" s="1"/>
  <c r="T93" i="24"/>
  <c r="Q93" i="24"/>
  <c r="R93" i="24" s="1"/>
  <c r="O93" i="24"/>
  <c r="P93" i="24" s="1"/>
  <c r="M93" i="24"/>
  <c r="L84" i="24"/>
  <c r="Z82" i="24"/>
  <c r="X82" i="24"/>
  <c r="V82" i="24"/>
  <c r="T82" i="24"/>
  <c r="R82" i="24"/>
  <c r="P82" i="24"/>
  <c r="N82" i="24"/>
  <c r="W76" i="24"/>
  <c r="U76" i="24"/>
  <c r="V76" i="24" s="1"/>
  <c r="T76" i="24"/>
  <c r="Q76" i="24"/>
  <c r="R76" i="24" s="1"/>
  <c r="O76" i="24"/>
  <c r="P76" i="24" s="1"/>
  <c r="M76" i="24"/>
  <c r="W75" i="24"/>
  <c r="U75" i="24"/>
  <c r="V75" i="24" s="1"/>
  <c r="T75" i="24"/>
  <c r="Q75" i="24"/>
  <c r="R75" i="24" s="1"/>
  <c r="O75" i="24"/>
  <c r="P75" i="24" s="1"/>
  <c r="M75" i="24"/>
  <c r="W74" i="24"/>
  <c r="U74" i="24"/>
  <c r="V74" i="24" s="1"/>
  <c r="T74" i="24"/>
  <c r="Q74" i="24"/>
  <c r="R74" i="24" s="1"/>
  <c r="O74" i="24"/>
  <c r="P74" i="24" s="1"/>
  <c r="M74" i="24"/>
  <c r="W73" i="24"/>
  <c r="U73" i="24"/>
  <c r="V73" i="24" s="1"/>
  <c r="T73" i="24"/>
  <c r="Q73" i="24"/>
  <c r="R73" i="24" s="1"/>
  <c r="O73" i="24"/>
  <c r="P73" i="24" s="1"/>
  <c r="M73" i="24"/>
  <c r="W72" i="24"/>
  <c r="U72" i="24"/>
  <c r="V72" i="24" s="1"/>
  <c r="T72" i="24"/>
  <c r="Q72" i="24"/>
  <c r="R72" i="24" s="1"/>
  <c r="O72" i="24"/>
  <c r="M72" i="24"/>
  <c r="W71" i="24"/>
  <c r="U71" i="24"/>
  <c r="V71" i="24" s="1"/>
  <c r="T71" i="24"/>
  <c r="Q71" i="24"/>
  <c r="R71" i="24" s="1"/>
  <c r="O71" i="24"/>
  <c r="P71" i="24" s="1"/>
  <c r="M71" i="24"/>
  <c r="W70" i="24"/>
  <c r="U70" i="24"/>
  <c r="V70" i="24" s="1"/>
  <c r="T70" i="24"/>
  <c r="Q70" i="24"/>
  <c r="R70" i="24" s="1"/>
  <c r="O70" i="24"/>
  <c r="P70" i="24" s="1"/>
  <c r="M70" i="24"/>
  <c r="W69" i="24"/>
  <c r="U69" i="24"/>
  <c r="V69" i="24" s="1"/>
  <c r="T69" i="24"/>
  <c r="Q69" i="24"/>
  <c r="R69" i="24" s="1"/>
  <c r="O69" i="24"/>
  <c r="P69" i="24" s="1"/>
  <c r="M69" i="24"/>
  <c r="W68" i="24"/>
  <c r="X68" i="24" s="1"/>
  <c r="U68" i="24"/>
  <c r="V68" i="24" s="1"/>
  <c r="U84" i="24" s="1"/>
  <c r="V84" i="24" s="1"/>
  <c r="T68" i="24"/>
  <c r="Q68" i="24"/>
  <c r="R68" i="24" s="1"/>
  <c r="O68" i="24"/>
  <c r="P68" i="24" s="1"/>
  <c r="M68" i="24"/>
  <c r="W67" i="24"/>
  <c r="X67" i="24" s="1"/>
  <c r="U67" i="24"/>
  <c r="V67" i="24" s="1"/>
  <c r="T67" i="24"/>
  <c r="Q67" i="24"/>
  <c r="R67" i="24" s="1"/>
  <c r="Q84" i="24" s="1"/>
  <c r="R84" i="24" s="1"/>
  <c r="O67" i="24"/>
  <c r="P67" i="24" s="1"/>
  <c r="O84" i="24" s="1"/>
  <c r="P84" i="24" s="1"/>
  <c r="M67" i="24"/>
  <c r="W66" i="24"/>
  <c r="U66" i="24"/>
  <c r="V66" i="24" s="1"/>
  <c r="T66" i="24"/>
  <c r="Q66" i="24"/>
  <c r="R66" i="24" s="1"/>
  <c r="O66" i="24"/>
  <c r="P66" i="24" s="1"/>
  <c r="M66" i="24"/>
  <c r="W65" i="24"/>
  <c r="U65" i="24"/>
  <c r="V65" i="24" s="1"/>
  <c r="T65" i="24"/>
  <c r="Q65" i="24"/>
  <c r="R65" i="24" s="1"/>
  <c r="O65" i="24"/>
  <c r="P65" i="24" s="1"/>
  <c r="M65" i="24"/>
  <c r="L56" i="24"/>
  <c r="Z54" i="24"/>
  <c r="X54" i="24"/>
  <c r="V54" i="24"/>
  <c r="T54" i="24"/>
  <c r="R54" i="24"/>
  <c r="P54" i="24"/>
  <c r="N54" i="24"/>
  <c r="W47" i="24"/>
  <c r="Y47" i="24" s="1"/>
  <c r="Z47" i="24" s="1"/>
  <c r="U47" i="24"/>
  <c r="V47" i="24" s="1"/>
  <c r="T47" i="24"/>
  <c r="Q47" i="24"/>
  <c r="R47" i="24" s="1"/>
  <c r="O47" i="24"/>
  <c r="P47" i="24" s="1"/>
  <c r="M47" i="24"/>
  <c r="W46" i="24"/>
  <c r="Y46" i="24" s="1"/>
  <c r="Z46" i="24" s="1"/>
  <c r="U46" i="24"/>
  <c r="V46" i="24" s="1"/>
  <c r="T46" i="24"/>
  <c r="Q46" i="24"/>
  <c r="R46" i="24" s="1"/>
  <c r="O46" i="24"/>
  <c r="P46" i="24" s="1"/>
  <c r="M46" i="24"/>
  <c r="W45" i="24"/>
  <c r="U45" i="24"/>
  <c r="V45" i="24" s="1"/>
  <c r="T45" i="24"/>
  <c r="Q45" i="24"/>
  <c r="R45" i="24" s="1"/>
  <c r="O45" i="24"/>
  <c r="P45" i="24" s="1"/>
  <c r="M45" i="24"/>
  <c r="W44" i="24"/>
  <c r="Y44" i="24" s="1"/>
  <c r="Z44" i="24" s="1"/>
  <c r="U44" i="24"/>
  <c r="V44" i="24" s="1"/>
  <c r="T44" i="24"/>
  <c r="Q44" i="24"/>
  <c r="R44" i="24" s="1"/>
  <c r="O44" i="24"/>
  <c r="P44" i="24" s="1"/>
  <c r="M44" i="24"/>
  <c r="W43" i="24"/>
  <c r="Y43" i="24" s="1"/>
  <c r="Z43" i="24" s="1"/>
  <c r="U43" i="24"/>
  <c r="V43" i="24" s="1"/>
  <c r="T43" i="24"/>
  <c r="Q43" i="24"/>
  <c r="R43" i="24" s="1"/>
  <c r="W42" i="24"/>
  <c r="U42" i="24"/>
  <c r="V42" i="24" s="1"/>
  <c r="U56" i="24" s="1"/>
  <c r="V56" i="24" s="1"/>
  <c r="T42" i="24"/>
  <c r="S56" i="24" s="1"/>
  <c r="T56" i="24" s="1"/>
  <c r="Q42" i="24"/>
  <c r="R42" i="24" s="1"/>
  <c r="Q56" i="24" s="1"/>
  <c r="R56" i="24" s="1"/>
  <c r="O42" i="24"/>
  <c r="P42" i="24" s="1"/>
  <c r="O56" i="24" s="1"/>
  <c r="P56" i="24" s="1"/>
  <c r="M42" i="24"/>
  <c r="W41" i="24"/>
  <c r="U41" i="24"/>
  <c r="V41" i="24" s="1"/>
  <c r="T41" i="24"/>
  <c r="Q41" i="24"/>
  <c r="R41" i="24" s="1"/>
  <c r="O41" i="24"/>
  <c r="P41" i="24" s="1"/>
  <c r="M41" i="24"/>
  <c r="W40" i="24"/>
  <c r="Y40" i="24" s="1"/>
  <c r="Z40" i="24" s="1"/>
  <c r="U40" i="24"/>
  <c r="V40" i="24" s="1"/>
  <c r="T40" i="24"/>
  <c r="Q40" i="24"/>
  <c r="R40" i="24" s="1"/>
  <c r="O40" i="24"/>
  <c r="P40" i="24" s="1"/>
  <c r="M40" i="24"/>
  <c r="W39" i="24"/>
  <c r="Y39" i="24" s="1"/>
  <c r="Z39" i="24" s="1"/>
  <c r="U39" i="24"/>
  <c r="V39" i="24" s="1"/>
  <c r="T39" i="24"/>
  <c r="Q39" i="24"/>
  <c r="R39" i="24" s="1"/>
  <c r="O39" i="24"/>
  <c r="P39" i="24" s="1"/>
  <c r="M39" i="24"/>
  <c r="W38" i="24"/>
  <c r="U38" i="24"/>
  <c r="V38" i="24" s="1"/>
  <c r="T38" i="24"/>
  <c r="Q38" i="24"/>
  <c r="R38" i="24" s="1"/>
  <c r="O38" i="24"/>
  <c r="P38" i="24" s="1"/>
  <c r="M38" i="24"/>
  <c r="W37" i="24"/>
  <c r="X37" i="24" s="1"/>
  <c r="U37" i="24"/>
  <c r="V37" i="24" s="1"/>
  <c r="T37" i="24"/>
  <c r="Q37" i="24"/>
  <c r="R37" i="24" s="1"/>
  <c r="O37" i="24"/>
  <c r="P37" i="24" s="1"/>
  <c r="M37" i="24"/>
  <c r="W36" i="24"/>
  <c r="Y36" i="24" s="1"/>
  <c r="Z36" i="24" s="1"/>
  <c r="U36" i="24"/>
  <c r="V36" i="24" s="1"/>
  <c r="T36" i="24"/>
  <c r="Q36" i="24"/>
  <c r="R36" i="24" s="1"/>
  <c r="O36" i="24"/>
  <c r="P36" i="24" s="1"/>
  <c r="M36" i="24"/>
  <c r="L27" i="24"/>
  <c r="Z25" i="24"/>
  <c r="X25" i="24"/>
  <c r="V25" i="24"/>
  <c r="T25" i="24"/>
  <c r="R25" i="24"/>
  <c r="P25" i="24"/>
  <c r="N25" i="24"/>
  <c r="W18" i="24"/>
  <c r="U18" i="24"/>
  <c r="V18" i="24" s="1"/>
  <c r="T18" i="24"/>
  <c r="Q18" i="24"/>
  <c r="R18" i="24" s="1"/>
  <c r="O18" i="24"/>
  <c r="M18" i="24"/>
  <c r="W17" i="24"/>
  <c r="Y17" i="24" s="1"/>
  <c r="Z17" i="24" s="1"/>
  <c r="U17" i="24"/>
  <c r="V17" i="24" s="1"/>
  <c r="T17" i="24"/>
  <c r="Q17" i="24"/>
  <c r="R17" i="24" s="1"/>
  <c r="O17" i="24"/>
  <c r="M17" i="24"/>
  <c r="W16" i="24"/>
  <c r="U16" i="24"/>
  <c r="V16" i="24" s="1"/>
  <c r="T16" i="24"/>
  <c r="Q16" i="24"/>
  <c r="R16" i="24" s="1"/>
  <c r="O16" i="24"/>
  <c r="M16" i="24"/>
  <c r="W15" i="24"/>
  <c r="Y15" i="24" s="1"/>
  <c r="Z15" i="24" s="1"/>
  <c r="Y27" i="24" s="1"/>
  <c r="Z27" i="24" s="1"/>
  <c r="U15" i="24"/>
  <c r="V15" i="24" s="1"/>
  <c r="U27" i="24" s="1"/>
  <c r="V27" i="24" s="1"/>
  <c r="T15" i="24"/>
  <c r="S27" i="24" s="1"/>
  <c r="T27" i="24" s="1"/>
  <c r="Q15" i="24"/>
  <c r="R15" i="24" s="1"/>
  <c r="Q27" i="24" s="1"/>
  <c r="R27" i="24" s="1"/>
  <c r="O15" i="24"/>
  <c r="P15" i="24" s="1"/>
  <c r="O27" i="24" s="1"/>
  <c r="P27" i="24" s="1"/>
  <c r="M15" i="24"/>
  <c r="W14" i="24"/>
  <c r="Y14" i="24" s="1"/>
  <c r="Z14" i="24" s="1"/>
  <c r="U14" i="24"/>
  <c r="V14" i="24" s="1"/>
  <c r="T14" i="24"/>
  <c r="Q14" i="24"/>
  <c r="R14" i="24" s="1"/>
  <c r="O14" i="24"/>
  <c r="M14" i="24"/>
  <c r="W13" i="24"/>
  <c r="Y13" i="24" s="1"/>
  <c r="Z13" i="24" s="1"/>
  <c r="U13" i="24"/>
  <c r="V13" i="24" s="1"/>
  <c r="T13" i="24"/>
  <c r="Q13" i="24"/>
  <c r="R13" i="24" s="1"/>
  <c r="O13" i="24"/>
  <c r="M13" i="24"/>
  <c r="W12" i="24"/>
  <c r="Y12" i="24" s="1"/>
  <c r="Z12" i="24" s="1"/>
  <c r="U12" i="24"/>
  <c r="V12" i="24" s="1"/>
  <c r="T12" i="24"/>
  <c r="Q12" i="24"/>
  <c r="R12" i="24" s="1"/>
  <c r="O12" i="24"/>
  <c r="M12" i="24"/>
  <c r="W11" i="24"/>
  <c r="U11" i="24"/>
  <c r="V11" i="24" s="1"/>
  <c r="T11" i="24"/>
  <c r="Q11" i="24"/>
  <c r="R11" i="24" s="1"/>
  <c r="O11" i="24"/>
  <c r="P11" i="24" s="1"/>
  <c r="M11" i="24"/>
  <c r="W10" i="24"/>
  <c r="Y10" i="24" s="1"/>
  <c r="Z10" i="24" s="1"/>
  <c r="U10" i="24"/>
  <c r="V10" i="24" s="1"/>
  <c r="T10" i="24"/>
  <c r="Q10" i="24"/>
  <c r="R10" i="24" s="1"/>
  <c r="O10" i="24"/>
  <c r="P10" i="24" s="1"/>
  <c r="M10" i="24"/>
  <c r="W9" i="24"/>
  <c r="Y9" i="24" s="1"/>
  <c r="Z9" i="24" s="1"/>
  <c r="U9" i="24"/>
  <c r="V9" i="24" s="1"/>
  <c r="T9" i="24"/>
  <c r="Q9" i="24"/>
  <c r="R9" i="24" s="1"/>
  <c r="O9" i="24"/>
  <c r="M9" i="24"/>
  <c r="W8" i="24"/>
  <c r="Y8" i="24" s="1"/>
  <c r="Z8" i="24" s="1"/>
  <c r="U8" i="24"/>
  <c r="V8" i="24" s="1"/>
  <c r="T8" i="24"/>
  <c r="Q8" i="24"/>
  <c r="R8" i="24" s="1"/>
  <c r="O8" i="24"/>
  <c r="M8" i="24"/>
  <c r="W7" i="24"/>
  <c r="Y7" i="24" s="1"/>
  <c r="Z7" i="24" s="1"/>
  <c r="U7" i="24"/>
  <c r="V7" i="24" s="1"/>
  <c r="T7" i="24"/>
  <c r="Q7" i="24"/>
  <c r="R7" i="24" s="1"/>
  <c r="O7" i="24"/>
  <c r="P7" i="24" s="1"/>
  <c r="M7" i="24"/>
  <c r="Y113" i="23"/>
  <c r="Z113" i="23" s="1"/>
  <c r="W113" i="23"/>
  <c r="X113" i="23" s="1"/>
  <c r="U113" i="23"/>
  <c r="V113" i="23" s="1"/>
  <c r="S113" i="23"/>
  <c r="T113" i="23" s="1"/>
  <c r="Q113" i="23"/>
  <c r="R113" i="23" s="1"/>
  <c r="O113" i="23"/>
  <c r="P113" i="23" s="1"/>
  <c r="M113" i="23"/>
  <c r="N113" i="23" s="1"/>
  <c r="L113" i="23"/>
  <c r="Z111" i="23"/>
  <c r="X111" i="23"/>
  <c r="V111" i="23"/>
  <c r="R111" i="23"/>
  <c r="P111" i="23"/>
  <c r="N111" i="23"/>
  <c r="W98" i="23"/>
  <c r="X98" i="23" s="1"/>
  <c r="U98" i="23"/>
  <c r="V98" i="23" s="1"/>
  <c r="T98" i="23"/>
  <c r="Q98" i="23"/>
  <c r="R98" i="23" s="1"/>
  <c r="O98" i="23"/>
  <c r="P98" i="23" s="1"/>
  <c r="M98" i="23"/>
  <c r="W97" i="23"/>
  <c r="U97" i="23"/>
  <c r="V97" i="23" s="1"/>
  <c r="T97" i="23"/>
  <c r="Q97" i="23"/>
  <c r="R97" i="23" s="1"/>
  <c r="O97" i="23"/>
  <c r="P97" i="23" s="1"/>
  <c r="M97" i="23"/>
  <c r="W96" i="23"/>
  <c r="X96" i="23" s="1"/>
  <c r="U96" i="23"/>
  <c r="V96" i="23" s="1"/>
  <c r="T96" i="23"/>
  <c r="T111" i="23" s="1"/>
  <c r="Q96" i="23"/>
  <c r="R96" i="23" s="1"/>
  <c r="O96" i="23"/>
  <c r="M96" i="23"/>
  <c r="W95" i="23"/>
  <c r="X95" i="23" s="1"/>
  <c r="U95" i="23"/>
  <c r="V95" i="23" s="1"/>
  <c r="T95" i="23"/>
  <c r="Q95" i="23"/>
  <c r="R95" i="23" s="1"/>
  <c r="O95" i="23"/>
  <c r="M95" i="23"/>
  <c r="W94" i="23"/>
  <c r="X94" i="23" s="1"/>
  <c r="U94" i="23"/>
  <c r="V94" i="23" s="1"/>
  <c r="T94" i="23"/>
  <c r="Q94" i="23"/>
  <c r="R94" i="23" s="1"/>
  <c r="O94" i="23"/>
  <c r="P94" i="23" s="1"/>
  <c r="M94" i="23"/>
  <c r="W93" i="23"/>
  <c r="Y93" i="23" s="1"/>
  <c r="Z93" i="23" s="1"/>
  <c r="U93" i="23"/>
  <c r="V93" i="23" s="1"/>
  <c r="T93" i="23"/>
  <c r="Q93" i="23"/>
  <c r="R93" i="23" s="1"/>
  <c r="O93" i="23"/>
  <c r="P93" i="23" s="1"/>
  <c r="M93" i="23"/>
  <c r="L84" i="23"/>
  <c r="Z82" i="23"/>
  <c r="X82" i="23"/>
  <c r="R82" i="23"/>
  <c r="P82" i="23"/>
  <c r="N82" i="23"/>
  <c r="V82" i="23"/>
  <c r="T82" i="23"/>
  <c r="W70" i="23"/>
  <c r="U70" i="23"/>
  <c r="V70" i="23" s="1"/>
  <c r="T70" i="23"/>
  <c r="Q70" i="23"/>
  <c r="R70" i="23" s="1"/>
  <c r="O70" i="23"/>
  <c r="P70" i="23" s="1"/>
  <c r="M70" i="23"/>
  <c r="W69" i="23"/>
  <c r="X69" i="23" s="1"/>
  <c r="U69" i="23"/>
  <c r="V69" i="23" s="1"/>
  <c r="T69" i="23"/>
  <c r="Q69" i="23"/>
  <c r="R69" i="23" s="1"/>
  <c r="O69" i="23"/>
  <c r="P69" i="23" s="1"/>
  <c r="M69" i="23"/>
  <c r="W68" i="23"/>
  <c r="Y68" i="23" s="1"/>
  <c r="Z68" i="23" s="1"/>
  <c r="U68" i="23"/>
  <c r="V68" i="23" s="1"/>
  <c r="T68" i="23"/>
  <c r="Q68" i="23"/>
  <c r="R68" i="23" s="1"/>
  <c r="O68" i="23"/>
  <c r="P68" i="23" s="1"/>
  <c r="M68" i="23"/>
  <c r="W67" i="23"/>
  <c r="Y67" i="23" s="1"/>
  <c r="Z67" i="23" s="1"/>
  <c r="U67" i="23"/>
  <c r="V67" i="23" s="1"/>
  <c r="T67" i="23"/>
  <c r="Q67" i="23"/>
  <c r="R67" i="23" s="1"/>
  <c r="O67" i="23"/>
  <c r="P67" i="23" s="1"/>
  <c r="M67" i="23"/>
  <c r="W66" i="23"/>
  <c r="X66" i="23" s="1"/>
  <c r="U66" i="23"/>
  <c r="V66" i="23" s="1"/>
  <c r="T66" i="23"/>
  <c r="Q66" i="23"/>
  <c r="R66" i="23" s="1"/>
  <c r="O66" i="23"/>
  <c r="P66" i="23" s="1"/>
  <c r="M66" i="23"/>
  <c r="W65" i="23"/>
  <c r="X65" i="23" s="1"/>
  <c r="U65" i="23"/>
  <c r="V65" i="23" s="1"/>
  <c r="T65" i="23"/>
  <c r="Q65" i="23"/>
  <c r="R65" i="23" s="1"/>
  <c r="O65" i="23"/>
  <c r="P65" i="23" s="1"/>
  <c r="M65" i="23"/>
  <c r="L56" i="23"/>
  <c r="Z54" i="23"/>
  <c r="X54" i="23"/>
  <c r="V54" i="23"/>
  <c r="T54" i="23"/>
  <c r="R54" i="23"/>
  <c r="P54" i="23"/>
  <c r="N54" i="23"/>
  <c r="W41" i="23"/>
  <c r="Y41" i="23" s="1"/>
  <c r="Z41" i="23" s="1"/>
  <c r="U41" i="23"/>
  <c r="V41" i="23" s="1"/>
  <c r="T41" i="23"/>
  <c r="Q41" i="23"/>
  <c r="R41" i="23" s="1"/>
  <c r="O41" i="23"/>
  <c r="P41" i="23" s="1"/>
  <c r="M41" i="23"/>
  <c r="W40" i="23"/>
  <c r="U40" i="23"/>
  <c r="V40" i="23" s="1"/>
  <c r="T40" i="23"/>
  <c r="Q40" i="23"/>
  <c r="R40" i="23" s="1"/>
  <c r="O40" i="23"/>
  <c r="P40" i="23" s="1"/>
  <c r="M40" i="23"/>
  <c r="W39" i="23"/>
  <c r="U39" i="23"/>
  <c r="V39" i="23" s="1"/>
  <c r="T39" i="23"/>
  <c r="Q39" i="23"/>
  <c r="R39" i="23" s="1"/>
  <c r="O39" i="23"/>
  <c r="P39" i="23" s="1"/>
  <c r="M39" i="23"/>
  <c r="W38" i="23"/>
  <c r="Y38" i="23" s="1"/>
  <c r="Z38" i="23" s="1"/>
  <c r="U38" i="23"/>
  <c r="V38" i="23" s="1"/>
  <c r="T38" i="23"/>
  <c r="Q38" i="23"/>
  <c r="R38" i="23" s="1"/>
  <c r="O38" i="23"/>
  <c r="P38" i="23" s="1"/>
  <c r="M38" i="23"/>
  <c r="W37" i="23"/>
  <c r="Y37" i="23" s="1"/>
  <c r="Z37" i="23" s="1"/>
  <c r="U37" i="23"/>
  <c r="V37" i="23" s="1"/>
  <c r="T37" i="23"/>
  <c r="Q37" i="23"/>
  <c r="R37" i="23" s="1"/>
  <c r="O37" i="23"/>
  <c r="P37" i="23" s="1"/>
  <c r="M37" i="23"/>
  <c r="W36" i="23"/>
  <c r="Y36" i="23" s="1"/>
  <c r="Z36" i="23" s="1"/>
  <c r="U36" i="23"/>
  <c r="V36" i="23" s="1"/>
  <c r="T36" i="23"/>
  <c r="Q36" i="23"/>
  <c r="R36" i="23" s="1"/>
  <c r="O36" i="23"/>
  <c r="P36" i="23" s="1"/>
  <c r="M36" i="23"/>
  <c r="L27" i="23"/>
  <c r="U18" i="23"/>
  <c r="V18" i="23" s="1"/>
  <c r="T18" i="23"/>
  <c r="U17" i="23"/>
  <c r="V17" i="23" s="1"/>
  <c r="T17" i="23"/>
  <c r="U16" i="23"/>
  <c r="V16" i="23" s="1"/>
  <c r="T16" i="23"/>
  <c r="U15" i="23"/>
  <c r="V15" i="23" s="1"/>
  <c r="T15" i="23"/>
  <c r="W14" i="23"/>
  <c r="X14" i="23" s="1"/>
  <c r="U14" i="23"/>
  <c r="V14" i="23" s="1"/>
  <c r="T14" i="23"/>
  <c r="Q14" i="23"/>
  <c r="R14" i="23" s="1"/>
  <c r="O14" i="23"/>
  <c r="P14" i="23" s="1"/>
  <c r="M14" i="23"/>
  <c r="W13" i="23"/>
  <c r="X13" i="23" s="1"/>
  <c r="U13" i="23"/>
  <c r="V13" i="23" s="1"/>
  <c r="T13" i="23"/>
  <c r="Q13" i="23"/>
  <c r="R13" i="23" s="1"/>
  <c r="O13" i="23"/>
  <c r="P13" i="23" s="1"/>
  <c r="M13" i="23"/>
  <c r="W12" i="23"/>
  <c r="X12" i="23" s="1"/>
  <c r="U12" i="23"/>
  <c r="V12" i="23" s="1"/>
  <c r="T12" i="23"/>
  <c r="Q12" i="23"/>
  <c r="R12" i="23" s="1"/>
  <c r="O12" i="23"/>
  <c r="P12" i="23" s="1"/>
  <c r="M12" i="23"/>
  <c r="W11" i="23"/>
  <c r="X11" i="23" s="1"/>
  <c r="U11" i="23"/>
  <c r="V11" i="23" s="1"/>
  <c r="T11" i="23"/>
  <c r="Q11" i="23"/>
  <c r="R11" i="23" s="1"/>
  <c r="O11" i="23"/>
  <c r="P11" i="23" s="1"/>
  <c r="M11" i="23"/>
  <c r="W10" i="23"/>
  <c r="X10" i="23" s="1"/>
  <c r="U10" i="23"/>
  <c r="V10" i="23" s="1"/>
  <c r="T10" i="23"/>
  <c r="Q10" i="23"/>
  <c r="R10" i="23" s="1"/>
  <c r="O10" i="23"/>
  <c r="P10" i="23" s="1"/>
  <c r="M10" i="23"/>
  <c r="W9" i="23"/>
  <c r="X9" i="23" s="1"/>
  <c r="U9" i="23"/>
  <c r="V9" i="23" s="1"/>
  <c r="V25" i="23" s="1"/>
  <c r="T9" i="23"/>
  <c r="T25" i="23" s="1"/>
  <c r="Q9" i="23"/>
  <c r="R9" i="23" s="1"/>
  <c r="O9" i="23"/>
  <c r="P9" i="23" s="1"/>
  <c r="M9" i="23"/>
  <c r="W8" i="23"/>
  <c r="X8" i="23" s="1"/>
  <c r="U8" i="23"/>
  <c r="V8" i="23" s="1"/>
  <c r="T8" i="23"/>
  <c r="Q8" i="23"/>
  <c r="R8" i="23" s="1"/>
  <c r="O8" i="23"/>
  <c r="P8" i="23" s="1"/>
  <c r="M8" i="23"/>
  <c r="W7" i="23"/>
  <c r="X7" i="23" s="1"/>
  <c r="U7" i="23"/>
  <c r="V7" i="23" s="1"/>
  <c r="T7" i="23"/>
  <c r="Q7" i="23"/>
  <c r="R7" i="23" s="1"/>
  <c r="O7" i="23"/>
  <c r="P7" i="23" s="1"/>
  <c r="M7" i="23"/>
  <c r="Y113" i="22"/>
  <c r="Z113" i="22" s="1"/>
  <c r="O113" i="22"/>
  <c r="P113" i="22" s="1"/>
  <c r="L113" i="22"/>
  <c r="W104" i="22"/>
  <c r="U104" i="22"/>
  <c r="V104" i="22" s="1"/>
  <c r="V111" i="22" s="1"/>
  <c r="T104" i="22"/>
  <c r="Q104" i="22"/>
  <c r="R104" i="22" s="1"/>
  <c r="R111" i="22" s="1"/>
  <c r="O104" i="22"/>
  <c r="P104" i="22" s="1"/>
  <c r="M104" i="22"/>
  <c r="W103" i="22"/>
  <c r="Y103" i="22" s="1"/>
  <c r="Z103" i="22" s="1"/>
  <c r="U103" i="22"/>
  <c r="V103" i="22" s="1"/>
  <c r="T103" i="22"/>
  <c r="Q103" i="22"/>
  <c r="R103" i="22" s="1"/>
  <c r="O103" i="22"/>
  <c r="P103" i="22" s="1"/>
  <c r="M103" i="22"/>
  <c r="W102" i="22"/>
  <c r="Y102" i="22" s="1"/>
  <c r="Z102" i="22" s="1"/>
  <c r="U102" i="22"/>
  <c r="V102" i="22" s="1"/>
  <c r="T102" i="22"/>
  <c r="Q102" i="22"/>
  <c r="R102" i="22" s="1"/>
  <c r="O102" i="22"/>
  <c r="P102" i="22" s="1"/>
  <c r="M102" i="22"/>
  <c r="W101" i="22"/>
  <c r="X101" i="22" s="1"/>
  <c r="U101" i="22"/>
  <c r="V101" i="22" s="1"/>
  <c r="T101" i="22"/>
  <c r="Q101" i="22"/>
  <c r="R101" i="22" s="1"/>
  <c r="O101" i="22"/>
  <c r="P101" i="22" s="1"/>
  <c r="M101" i="22"/>
  <c r="W100" i="22"/>
  <c r="Y100" i="22" s="1"/>
  <c r="Z100" i="22" s="1"/>
  <c r="U100" i="22"/>
  <c r="V100" i="22" s="1"/>
  <c r="T100" i="22"/>
  <c r="Q100" i="22"/>
  <c r="R100" i="22" s="1"/>
  <c r="O100" i="22"/>
  <c r="P100" i="22" s="1"/>
  <c r="M100" i="22"/>
  <c r="W99" i="22"/>
  <c r="Y99" i="22" s="1"/>
  <c r="Z99" i="22" s="1"/>
  <c r="U99" i="22"/>
  <c r="V99" i="22" s="1"/>
  <c r="T99" i="22"/>
  <c r="Q99" i="22"/>
  <c r="R99" i="22" s="1"/>
  <c r="O99" i="22"/>
  <c r="P99" i="22" s="1"/>
  <c r="M99" i="22"/>
  <c r="W98" i="22"/>
  <c r="Y98" i="22" s="1"/>
  <c r="Z98" i="22" s="1"/>
  <c r="U98" i="22"/>
  <c r="V98" i="22" s="1"/>
  <c r="T98" i="22"/>
  <c r="Q98" i="22"/>
  <c r="R98" i="22" s="1"/>
  <c r="O98" i="22"/>
  <c r="P98" i="22" s="1"/>
  <c r="M98" i="22"/>
  <c r="W97" i="22"/>
  <c r="X97" i="22" s="1"/>
  <c r="U97" i="22"/>
  <c r="V97" i="22" s="1"/>
  <c r="T97" i="22"/>
  <c r="Q97" i="22"/>
  <c r="R97" i="22" s="1"/>
  <c r="O97" i="22"/>
  <c r="P97" i="22" s="1"/>
  <c r="M97" i="22"/>
  <c r="W96" i="22"/>
  <c r="Y96" i="22" s="1"/>
  <c r="Z96" i="22" s="1"/>
  <c r="U96" i="22"/>
  <c r="V96" i="22" s="1"/>
  <c r="T96" i="22"/>
  <c r="Q96" i="22"/>
  <c r="R96" i="22" s="1"/>
  <c r="O96" i="22"/>
  <c r="P96" i="22" s="1"/>
  <c r="M96" i="22"/>
  <c r="W95" i="22"/>
  <c r="U95" i="22"/>
  <c r="V95" i="22" s="1"/>
  <c r="T95" i="22"/>
  <c r="Q95" i="22"/>
  <c r="R95" i="22" s="1"/>
  <c r="O95" i="22"/>
  <c r="P95" i="22" s="1"/>
  <c r="M95" i="22"/>
  <c r="W94" i="22"/>
  <c r="U94" i="22"/>
  <c r="V94" i="22" s="1"/>
  <c r="T94" i="22"/>
  <c r="Q94" i="22"/>
  <c r="R94" i="22" s="1"/>
  <c r="O94" i="22"/>
  <c r="P94" i="22" s="1"/>
  <c r="M94" i="22"/>
  <c r="W93" i="22"/>
  <c r="Y93" i="22" s="1"/>
  <c r="Z93" i="22" s="1"/>
  <c r="U93" i="22"/>
  <c r="V93" i="22" s="1"/>
  <c r="U113" i="22" s="1"/>
  <c r="V113" i="22" s="1"/>
  <c r="T93" i="22"/>
  <c r="S113" i="22" s="1"/>
  <c r="T113" i="22" s="1"/>
  <c r="Q93" i="22"/>
  <c r="R93" i="22" s="1"/>
  <c r="Q113" i="22" s="1"/>
  <c r="R113" i="22" s="1"/>
  <c r="O93" i="22"/>
  <c r="P93" i="22" s="1"/>
  <c r="M93" i="22"/>
  <c r="L84" i="22"/>
  <c r="Z82" i="22"/>
  <c r="X82" i="22"/>
  <c r="V82" i="22"/>
  <c r="T82" i="22"/>
  <c r="R82" i="22"/>
  <c r="P82" i="22"/>
  <c r="N82" i="22"/>
  <c r="W76" i="22"/>
  <c r="Y76" i="22" s="1"/>
  <c r="Z76" i="22" s="1"/>
  <c r="U76" i="22"/>
  <c r="V76" i="22" s="1"/>
  <c r="T76" i="22"/>
  <c r="Q76" i="22"/>
  <c r="R76" i="22" s="1"/>
  <c r="O76" i="22"/>
  <c r="P76" i="22" s="1"/>
  <c r="M76" i="22"/>
  <c r="W75" i="22"/>
  <c r="Y75" i="22" s="1"/>
  <c r="Z75" i="22" s="1"/>
  <c r="U75" i="22"/>
  <c r="V75" i="22" s="1"/>
  <c r="T75" i="22"/>
  <c r="Q75" i="22"/>
  <c r="R75" i="22" s="1"/>
  <c r="O75" i="22"/>
  <c r="P75" i="22" s="1"/>
  <c r="M75" i="22"/>
  <c r="W74" i="22"/>
  <c r="Y74" i="22" s="1"/>
  <c r="Z74" i="22" s="1"/>
  <c r="U74" i="22"/>
  <c r="V74" i="22" s="1"/>
  <c r="T74" i="22"/>
  <c r="Q74" i="22"/>
  <c r="R74" i="22" s="1"/>
  <c r="O74" i="22"/>
  <c r="P74" i="22" s="1"/>
  <c r="M74" i="22"/>
  <c r="W73" i="22"/>
  <c r="X73" i="22" s="1"/>
  <c r="U73" i="22"/>
  <c r="V73" i="22" s="1"/>
  <c r="T73" i="22"/>
  <c r="Q73" i="22"/>
  <c r="R73" i="22" s="1"/>
  <c r="O73" i="22"/>
  <c r="P73" i="22" s="1"/>
  <c r="M73" i="22"/>
  <c r="W72" i="22"/>
  <c r="U72" i="22"/>
  <c r="V72" i="22" s="1"/>
  <c r="T72" i="22"/>
  <c r="Q72" i="22"/>
  <c r="R72" i="22" s="1"/>
  <c r="O72" i="22"/>
  <c r="P72" i="22" s="1"/>
  <c r="M72" i="22"/>
  <c r="W71" i="22"/>
  <c r="Y71" i="22" s="1"/>
  <c r="Z71" i="22" s="1"/>
  <c r="U71" i="22"/>
  <c r="V71" i="22" s="1"/>
  <c r="T71" i="22"/>
  <c r="Q71" i="22"/>
  <c r="R71" i="22" s="1"/>
  <c r="O71" i="22"/>
  <c r="P71" i="22" s="1"/>
  <c r="M71" i="22"/>
  <c r="W70" i="22"/>
  <c r="U70" i="22"/>
  <c r="V70" i="22" s="1"/>
  <c r="T70" i="22"/>
  <c r="Q70" i="22"/>
  <c r="R70" i="22" s="1"/>
  <c r="O70" i="22"/>
  <c r="P70" i="22" s="1"/>
  <c r="M70" i="22"/>
  <c r="W69" i="22"/>
  <c r="U69" i="22"/>
  <c r="V69" i="22" s="1"/>
  <c r="T69" i="22"/>
  <c r="Q69" i="22"/>
  <c r="R69" i="22" s="1"/>
  <c r="O69" i="22"/>
  <c r="P69" i="22" s="1"/>
  <c r="M69" i="22"/>
  <c r="W68" i="22"/>
  <c r="Y68" i="22" s="1"/>
  <c r="Z68" i="22" s="1"/>
  <c r="U68" i="22"/>
  <c r="V68" i="22" s="1"/>
  <c r="T68" i="22"/>
  <c r="Q68" i="22"/>
  <c r="R68" i="22" s="1"/>
  <c r="O68" i="22"/>
  <c r="P68" i="22" s="1"/>
  <c r="M68" i="22"/>
  <c r="W67" i="22"/>
  <c r="X67" i="22" s="1"/>
  <c r="U67" i="22"/>
  <c r="V67" i="22" s="1"/>
  <c r="T67" i="22"/>
  <c r="Q67" i="22"/>
  <c r="R67" i="22" s="1"/>
  <c r="O67" i="22"/>
  <c r="P67" i="22" s="1"/>
  <c r="M67" i="22"/>
  <c r="W66" i="22"/>
  <c r="U66" i="22"/>
  <c r="V66" i="22" s="1"/>
  <c r="T66" i="22"/>
  <c r="Q66" i="22"/>
  <c r="R66" i="22" s="1"/>
  <c r="O66" i="22"/>
  <c r="P66" i="22" s="1"/>
  <c r="M66" i="22"/>
  <c r="W65" i="22"/>
  <c r="U65" i="22"/>
  <c r="V65" i="22" s="1"/>
  <c r="T65" i="22"/>
  <c r="Q65" i="22"/>
  <c r="R65" i="22" s="1"/>
  <c r="O65" i="22"/>
  <c r="P65" i="22" s="1"/>
  <c r="M65" i="22"/>
  <c r="L56" i="22"/>
  <c r="Z54" i="22"/>
  <c r="X54" i="22"/>
  <c r="V54" i="22"/>
  <c r="T54" i="22"/>
  <c r="R54" i="22"/>
  <c r="P54" i="22"/>
  <c r="N54" i="22"/>
  <c r="W47" i="22"/>
  <c r="U47" i="22"/>
  <c r="V47" i="22" s="1"/>
  <c r="T47" i="22"/>
  <c r="Q47" i="22"/>
  <c r="R47" i="22" s="1"/>
  <c r="O47" i="22"/>
  <c r="P47" i="22" s="1"/>
  <c r="M47" i="22"/>
  <c r="W46" i="22"/>
  <c r="U46" i="22"/>
  <c r="V46" i="22" s="1"/>
  <c r="T46" i="22"/>
  <c r="Q46" i="22"/>
  <c r="R46" i="22" s="1"/>
  <c r="O46" i="22"/>
  <c r="P46" i="22" s="1"/>
  <c r="M46" i="22"/>
  <c r="W45" i="22"/>
  <c r="Y45" i="22" s="1"/>
  <c r="Z45" i="22" s="1"/>
  <c r="U45" i="22"/>
  <c r="V45" i="22" s="1"/>
  <c r="T45" i="22"/>
  <c r="Q45" i="22"/>
  <c r="R45" i="22" s="1"/>
  <c r="O45" i="22"/>
  <c r="M45" i="22"/>
  <c r="W44" i="22"/>
  <c r="Y44" i="22" s="1"/>
  <c r="Z44" i="22" s="1"/>
  <c r="U44" i="22"/>
  <c r="V44" i="22" s="1"/>
  <c r="T44" i="22"/>
  <c r="Q44" i="22"/>
  <c r="R44" i="22" s="1"/>
  <c r="O44" i="22"/>
  <c r="P44" i="22" s="1"/>
  <c r="M44" i="22"/>
  <c r="W43" i="22"/>
  <c r="Y43" i="22" s="1"/>
  <c r="Z43" i="22" s="1"/>
  <c r="U43" i="22"/>
  <c r="V43" i="22" s="1"/>
  <c r="T43" i="22"/>
  <c r="Q43" i="22"/>
  <c r="R43" i="22" s="1"/>
  <c r="O43" i="22"/>
  <c r="M43" i="22"/>
  <c r="W42" i="22"/>
  <c r="Y42" i="22" s="1"/>
  <c r="Z42" i="22" s="1"/>
  <c r="U42" i="22"/>
  <c r="V42" i="22" s="1"/>
  <c r="T42" i="22"/>
  <c r="Q42" i="22"/>
  <c r="R42" i="22" s="1"/>
  <c r="O42" i="22"/>
  <c r="M42" i="22"/>
  <c r="W41" i="22"/>
  <c r="U41" i="22"/>
  <c r="V41" i="22" s="1"/>
  <c r="T41" i="22"/>
  <c r="Q41" i="22"/>
  <c r="R41" i="22" s="1"/>
  <c r="O41" i="22"/>
  <c r="P41" i="22" s="1"/>
  <c r="M41" i="22"/>
  <c r="W40" i="22"/>
  <c r="Y40" i="22" s="1"/>
  <c r="Z40" i="22" s="1"/>
  <c r="U40" i="22"/>
  <c r="V40" i="22" s="1"/>
  <c r="T40" i="22"/>
  <c r="Q40" i="22"/>
  <c r="R40" i="22" s="1"/>
  <c r="O40" i="22"/>
  <c r="P40" i="22" s="1"/>
  <c r="M40" i="22"/>
  <c r="W39" i="22"/>
  <c r="Y39" i="22" s="1"/>
  <c r="Z39" i="22" s="1"/>
  <c r="U39" i="22"/>
  <c r="V39" i="22" s="1"/>
  <c r="T39" i="22"/>
  <c r="Q39" i="22"/>
  <c r="R39" i="22" s="1"/>
  <c r="O39" i="22"/>
  <c r="P39" i="22" s="1"/>
  <c r="M39" i="22"/>
  <c r="W38" i="22"/>
  <c r="Y38" i="22" s="1"/>
  <c r="Z38" i="22" s="1"/>
  <c r="U38" i="22"/>
  <c r="V38" i="22" s="1"/>
  <c r="T38" i="22"/>
  <c r="Q38" i="22"/>
  <c r="R38" i="22" s="1"/>
  <c r="O38" i="22"/>
  <c r="P38" i="22" s="1"/>
  <c r="M38" i="22"/>
  <c r="W37" i="22"/>
  <c r="Y37" i="22" s="1"/>
  <c r="Z37" i="22" s="1"/>
  <c r="U37" i="22"/>
  <c r="V37" i="22" s="1"/>
  <c r="T37" i="22"/>
  <c r="Q37" i="22"/>
  <c r="R37" i="22" s="1"/>
  <c r="O37" i="22"/>
  <c r="P37" i="22" s="1"/>
  <c r="M37" i="22"/>
  <c r="W36" i="22"/>
  <c r="Y36" i="22" s="1"/>
  <c r="Z36" i="22" s="1"/>
  <c r="U36" i="22"/>
  <c r="V36" i="22" s="1"/>
  <c r="T36" i="22"/>
  <c r="Q36" i="22"/>
  <c r="R36" i="22" s="1"/>
  <c r="O36" i="22"/>
  <c r="P36" i="22" s="1"/>
  <c r="M36" i="22"/>
  <c r="L27" i="22"/>
  <c r="Z25" i="22"/>
  <c r="X25" i="22"/>
  <c r="V25" i="22"/>
  <c r="T25" i="22"/>
  <c r="R25" i="22"/>
  <c r="P25" i="22"/>
  <c r="N25" i="22"/>
  <c r="W18" i="22"/>
  <c r="Y18" i="22" s="1"/>
  <c r="Z18" i="22" s="1"/>
  <c r="U18" i="22"/>
  <c r="V18" i="22" s="1"/>
  <c r="T18" i="22"/>
  <c r="Q18" i="22"/>
  <c r="R18" i="22" s="1"/>
  <c r="O18" i="22"/>
  <c r="P18" i="22" s="1"/>
  <c r="M18" i="22"/>
  <c r="W17" i="22"/>
  <c r="Y17" i="22" s="1"/>
  <c r="Z17" i="22" s="1"/>
  <c r="U17" i="22"/>
  <c r="V17" i="22" s="1"/>
  <c r="T17" i="22"/>
  <c r="Q17" i="22"/>
  <c r="R17" i="22" s="1"/>
  <c r="O17" i="22"/>
  <c r="P17" i="22" s="1"/>
  <c r="M17" i="22"/>
  <c r="W16" i="22"/>
  <c r="Y16" i="22" s="1"/>
  <c r="Z16" i="22" s="1"/>
  <c r="U16" i="22"/>
  <c r="V16" i="22" s="1"/>
  <c r="T16" i="22"/>
  <c r="Q16" i="22"/>
  <c r="R16" i="22" s="1"/>
  <c r="O16" i="22"/>
  <c r="P16" i="22" s="1"/>
  <c r="M16" i="22"/>
  <c r="W15" i="22"/>
  <c r="Y15" i="22" s="1"/>
  <c r="Z15" i="22" s="1"/>
  <c r="U15" i="22"/>
  <c r="V15" i="22" s="1"/>
  <c r="T15" i="22"/>
  <c r="Q15" i="22"/>
  <c r="R15" i="22" s="1"/>
  <c r="O15" i="22"/>
  <c r="P15" i="22" s="1"/>
  <c r="M15" i="22"/>
  <c r="W14" i="22"/>
  <c r="Y14" i="22" s="1"/>
  <c r="Z14" i="22" s="1"/>
  <c r="U14" i="22"/>
  <c r="V14" i="22" s="1"/>
  <c r="T14" i="22"/>
  <c r="Q14" i="22"/>
  <c r="R14" i="22" s="1"/>
  <c r="O14" i="22"/>
  <c r="P14" i="22" s="1"/>
  <c r="M14" i="22"/>
  <c r="W13" i="22"/>
  <c r="Y13" i="22" s="1"/>
  <c r="Z13" i="22" s="1"/>
  <c r="U13" i="22"/>
  <c r="V13" i="22" s="1"/>
  <c r="T13" i="22"/>
  <c r="Q13" i="22"/>
  <c r="R13" i="22" s="1"/>
  <c r="O13" i="22"/>
  <c r="P13" i="22" s="1"/>
  <c r="M13" i="22"/>
  <c r="W12" i="22"/>
  <c r="Y12" i="22" s="1"/>
  <c r="Z12" i="22" s="1"/>
  <c r="U12" i="22"/>
  <c r="V12" i="22" s="1"/>
  <c r="T12" i="22"/>
  <c r="Q12" i="22"/>
  <c r="R12" i="22" s="1"/>
  <c r="O12" i="22"/>
  <c r="P12" i="22" s="1"/>
  <c r="M12" i="22"/>
  <c r="W11" i="22"/>
  <c r="Y11" i="22" s="1"/>
  <c r="Z11" i="22" s="1"/>
  <c r="U11" i="22"/>
  <c r="V11" i="22" s="1"/>
  <c r="T11" i="22"/>
  <c r="Q11" i="22"/>
  <c r="R11" i="22" s="1"/>
  <c r="O11" i="22"/>
  <c r="P11" i="22" s="1"/>
  <c r="M11" i="22"/>
  <c r="W10" i="22"/>
  <c r="Y10" i="22" s="1"/>
  <c r="Z10" i="22" s="1"/>
  <c r="U10" i="22"/>
  <c r="V10" i="22" s="1"/>
  <c r="T10" i="22"/>
  <c r="Q10" i="22"/>
  <c r="R10" i="22" s="1"/>
  <c r="O10" i="22"/>
  <c r="P10" i="22" s="1"/>
  <c r="M10" i="22"/>
  <c r="W9" i="22"/>
  <c r="Y9" i="22" s="1"/>
  <c r="Z9" i="22" s="1"/>
  <c r="U9" i="22"/>
  <c r="V9" i="22" s="1"/>
  <c r="T9" i="22"/>
  <c r="Q9" i="22"/>
  <c r="R9" i="22" s="1"/>
  <c r="O9" i="22"/>
  <c r="P9" i="22" s="1"/>
  <c r="M9" i="22"/>
  <c r="W8" i="22"/>
  <c r="Y8" i="22" s="1"/>
  <c r="Z8" i="22" s="1"/>
  <c r="U8" i="22"/>
  <c r="V8" i="22" s="1"/>
  <c r="T8" i="22"/>
  <c r="Q8" i="22"/>
  <c r="R8" i="22" s="1"/>
  <c r="O8" i="22"/>
  <c r="P8" i="22" s="1"/>
  <c r="M8" i="22"/>
  <c r="W7" i="22"/>
  <c r="Y7" i="22" s="1"/>
  <c r="Z7" i="22" s="1"/>
  <c r="U7" i="22"/>
  <c r="V7" i="22" s="1"/>
  <c r="T7" i="22"/>
  <c r="Q7" i="22"/>
  <c r="R7" i="22" s="1"/>
  <c r="O7" i="22"/>
  <c r="P7" i="22" s="1"/>
  <c r="M7" i="22"/>
  <c r="L113" i="21"/>
  <c r="W98" i="21"/>
  <c r="X98" i="21" s="1"/>
  <c r="U98" i="21"/>
  <c r="V98" i="21" s="1"/>
  <c r="T98" i="21"/>
  <c r="Q98" i="21"/>
  <c r="R98" i="21" s="1"/>
  <c r="O98" i="21"/>
  <c r="P98" i="21" s="1"/>
  <c r="M98" i="21"/>
  <c r="W97" i="21"/>
  <c r="U97" i="21"/>
  <c r="V97" i="21" s="1"/>
  <c r="T97" i="21"/>
  <c r="Q97" i="21"/>
  <c r="R97" i="21" s="1"/>
  <c r="O97" i="21"/>
  <c r="P97" i="21" s="1"/>
  <c r="M97" i="21"/>
  <c r="W96" i="21"/>
  <c r="U96" i="21"/>
  <c r="V96" i="21" s="1"/>
  <c r="T96" i="21"/>
  <c r="Q96" i="21"/>
  <c r="R96" i="21" s="1"/>
  <c r="O96" i="21"/>
  <c r="P96" i="21" s="1"/>
  <c r="M96" i="21"/>
  <c r="W95" i="21"/>
  <c r="U95" i="21"/>
  <c r="V95" i="21" s="1"/>
  <c r="T95" i="21"/>
  <c r="Q95" i="21"/>
  <c r="R95" i="21" s="1"/>
  <c r="O95" i="21"/>
  <c r="P95" i="21" s="1"/>
  <c r="M95" i="21"/>
  <c r="W94" i="21"/>
  <c r="X94" i="21" s="1"/>
  <c r="U94" i="21"/>
  <c r="V94" i="21" s="1"/>
  <c r="T94" i="21"/>
  <c r="Q94" i="21"/>
  <c r="R94" i="21" s="1"/>
  <c r="O94" i="21"/>
  <c r="P94" i="21" s="1"/>
  <c r="M94" i="21"/>
  <c r="W93" i="21"/>
  <c r="Y93" i="21" s="1"/>
  <c r="Z93" i="21" s="1"/>
  <c r="U93" i="21"/>
  <c r="V93" i="21" s="1"/>
  <c r="T93" i="21"/>
  <c r="Q93" i="21"/>
  <c r="R93" i="21" s="1"/>
  <c r="O93" i="21"/>
  <c r="P93" i="21" s="1"/>
  <c r="M93" i="21"/>
  <c r="Q84" i="21"/>
  <c r="R84" i="21" s="1"/>
  <c r="L84" i="21"/>
  <c r="Z82" i="21"/>
  <c r="X82" i="21"/>
  <c r="V82" i="21"/>
  <c r="T82" i="21"/>
  <c r="R82" i="21"/>
  <c r="P82" i="21"/>
  <c r="N82" i="21"/>
  <c r="W70" i="21"/>
  <c r="U70" i="21"/>
  <c r="V70" i="21" s="1"/>
  <c r="T70" i="21"/>
  <c r="Q70" i="21"/>
  <c r="R70" i="21" s="1"/>
  <c r="O70" i="21"/>
  <c r="P70" i="21" s="1"/>
  <c r="M70" i="21"/>
  <c r="W69" i="21"/>
  <c r="X69" i="21" s="1"/>
  <c r="U69" i="21"/>
  <c r="V69" i="21" s="1"/>
  <c r="T69" i="21"/>
  <c r="Q69" i="21"/>
  <c r="R69" i="21" s="1"/>
  <c r="O69" i="21"/>
  <c r="P69" i="21" s="1"/>
  <c r="M69" i="21"/>
  <c r="W68" i="21"/>
  <c r="X68" i="21" s="1"/>
  <c r="U68" i="21"/>
  <c r="V68" i="21" s="1"/>
  <c r="T68" i="21"/>
  <c r="Q68" i="21"/>
  <c r="R68" i="21" s="1"/>
  <c r="O68" i="21"/>
  <c r="P68" i="21" s="1"/>
  <c r="M68" i="21"/>
  <c r="W67" i="21"/>
  <c r="X67" i="21" s="1"/>
  <c r="U67" i="21"/>
  <c r="V67" i="21" s="1"/>
  <c r="T67" i="21"/>
  <c r="Q67" i="21"/>
  <c r="R67" i="21" s="1"/>
  <c r="O67" i="21"/>
  <c r="P67" i="21" s="1"/>
  <c r="M67" i="21"/>
  <c r="W66" i="21"/>
  <c r="X66" i="21" s="1"/>
  <c r="W84" i="21" s="1"/>
  <c r="X84" i="21" s="1"/>
  <c r="U66" i="21"/>
  <c r="V66" i="21" s="1"/>
  <c r="T66" i="21"/>
  <c r="Q66" i="21"/>
  <c r="R66" i="21" s="1"/>
  <c r="O66" i="21"/>
  <c r="P66" i="21" s="1"/>
  <c r="M66" i="21"/>
  <c r="W65" i="21"/>
  <c r="X65" i="21" s="1"/>
  <c r="U65" i="21"/>
  <c r="V65" i="21" s="1"/>
  <c r="T65" i="21"/>
  <c r="Q65" i="21"/>
  <c r="R65" i="21" s="1"/>
  <c r="O65" i="21"/>
  <c r="P65" i="21" s="1"/>
  <c r="M65" i="21"/>
  <c r="L56" i="21"/>
  <c r="Z54" i="21"/>
  <c r="X54" i="21"/>
  <c r="V54" i="21"/>
  <c r="T54" i="21"/>
  <c r="R54" i="21"/>
  <c r="P54" i="21"/>
  <c r="N54" i="21"/>
  <c r="W41" i="21"/>
  <c r="X41" i="21" s="1"/>
  <c r="U41" i="21"/>
  <c r="V41" i="21" s="1"/>
  <c r="T41" i="21"/>
  <c r="Q41" i="21"/>
  <c r="R41" i="21" s="1"/>
  <c r="O41" i="21"/>
  <c r="P41" i="21" s="1"/>
  <c r="M41" i="21"/>
  <c r="W40" i="21"/>
  <c r="U40" i="21"/>
  <c r="V40" i="21" s="1"/>
  <c r="T40" i="21"/>
  <c r="Q40" i="21"/>
  <c r="R40" i="21" s="1"/>
  <c r="O40" i="21"/>
  <c r="M40" i="21"/>
  <c r="W39" i="21"/>
  <c r="Y39" i="21" s="1"/>
  <c r="Z39" i="21" s="1"/>
  <c r="U39" i="21"/>
  <c r="V39" i="21" s="1"/>
  <c r="T39" i="21"/>
  <c r="Q39" i="21"/>
  <c r="R39" i="21" s="1"/>
  <c r="O39" i="21"/>
  <c r="P39" i="21" s="1"/>
  <c r="M39" i="21"/>
  <c r="W38" i="21"/>
  <c r="Y38" i="21" s="1"/>
  <c r="Z38" i="21" s="1"/>
  <c r="U38" i="21"/>
  <c r="V38" i="21" s="1"/>
  <c r="T38" i="21"/>
  <c r="Q38" i="21"/>
  <c r="R38" i="21" s="1"/>
  <c r="O38" i="21"/>
  <c r="P38" i="21" s="1"/>
  <c r="M38" i="21"/>
  <c r="W37" i="21"/>
  <c r="Y37" i="21" s="1"/>
  <c r="Z37" i="21" s="1"/>
  <c r="U37" i="21"/>
  <c r="V37" i="21" s="1"/>
  <c r="T37" i="21"/>
  <c r="Q37" i="21"/>
  <c r="R37" i="21" s="1"/>
  <c r="O37" i="21"/>
  <c r="P37" i="21" s="1"/>
  <c r="M37" i="21"/>
  <c r="W36" i="21"/>
  <c r="U36" i="21"/>
  <c r="V36" i="21" s="1"/>
  <c r="T36" i="21"/>
  <c r="Q36" i="21"/>
  <c r="R36" i="21" s="1"/>
  <c r="O36" i="21"/>
  <c r="P36" i="21" s="1"/>
  <c r="M36" i="21"/>
  <c r="L27" i="21"/>
  <c r="Z25" i="21"/>
  <c r="X25" i="21"/>
  <c r="V25" i="21"/>
  <c r="T25" i="21"/>
  <c r="R25" i="21"/>
  <c r="P25" i="21"/>
  <c r="N25" i="21"/>
  <c r="W12" i="21"/>
  <c r="Y12" i="21" s="1"/>
  <c r="Z12" i="21" s="1"/>
  <c r="V12" i="21"/>
  <c r="T12" i="21"/>
  <c r="Q12" i="21"/>
  <c r="R12" i="21" s="1"/>
  <c r="O12" i="21"/>
  <c r="P12" i="21" s="1"/>
  <c r="M12" i="21"/>
  <c r="W11" i="21"/>
  <c r="X11" i="21" s="1"/>
  <c r="V11" i="21"/>
  <c r="T11" i="21"/>
  <c r="Q11" i="21"/>
  <c r="R11" i="21" s="1"/>
  <c r="O11" i="21"/>
  <c r="P11" i="21" s="1"/>
  <c r="M11" i="21"/>
  <c r="W10" i="21"/>
  <c r="Y10" i="21" s="1"/>
  <c r="Z10" i="21" s="1"/>
  <c r="V10" i="21"/>
  <c r="T10" i="21"/>
  <c r="Q10" i="21"/>
  <c r="R10" i="21" s="1"/>
  <c r="O10" i="21"/>
  <c r="P10" i="21" s="1"/>
  <c r="M10" i="21"/>
  <c r="W9" i="21"/>
  <c r="Y9" i="21" s="1"/>
  <c r="Z9" i="21" s="1"/>
  <c r="V9" i="21"/>
  <c r="T9" i="21"/>
  <c r="Q9" i="21"/>
  <c r="R9" i="21" s="1"/>
  <c r="O9" i="21"/>
  <c r="P9" i="21" s="1"/>
  <c r="M9" i="21"/>
  <c r="W8" i="21"/>
  <c r="Y8" i="21" s="1"/>
  <c r="Z8" i="21" s="1"/>
  <c r="V8" i="21"/>
  <c r="T8" i="21"/>
  <c r="Q8" i="21"/>
  <c r="R8" i="21" s="1"/>
  <c r="O8" i="21"/>
  <c r="P8" i="21" s="1"/>
  <c r="M8" i="21"/>
  <c r="W7" i="21"/>
  <c r="X7" i="21" s="1"/>
  <c r="U7" i="21"/>
  <c r="V7" i="21" s="1"/>
  <c r="T7" i="21"/>
  <c r="Q7" i="21"/>
  <c r="R7" i="21" s="1"/>
  <c r="O7" i="21"/>
  <c r="P7" i="21" s="1"/>
  <c r="M7" i="21"/>
  <c r="Y113" i="20"/>
  <c r="Z113" i="20" s="1"/>
  <c r="W113" i="20"/>
  <c r="X113" i="20" s="1"/>
  <c r="U113" i="20"/>
  <c r="V113" i="20" s="1"/>
  <c r="S113" i="20"/>
  <c r="T113" i="20" s="1"/>
  <c r="Q113" i="20"/>
  <c r="R113" i="20" s="1"/>
  <c r="O113" i="20"/>
  <c r="P113" i="20" s="1"/>
  <c r="M113" i="20"/>
  <c r="N113" i="20" s="1"/>
  <c r="L113" i="20"/>
  <c r="V102" i="20"/>
  <c r="T102" i="20"/>
  <c r="V101" i="20"/>
  <c r="T101" i="20"/>
  <c r="V100" i="20"/>
  <c r="T100" i="20"/>
  <c r="W99" i="20"/>
  <c r="X99" i="20" s="1"/>
  <c r="V99" i="20"/>
  <c r="T99" i="20"/>
  <c r="Q99" i="20"/>
  <c r="R99" i="20" s="1"/>
  <c r="O99" i="20"/>
  <c r="P99" i="20" s="1"/>
  <c r="W98" i="20"/>
  <c r="V98" i="20"/>
  <c r="T98" i="20"/>
  <c r="Q98" i="20"/>
  <c r="R98" i="20" s="1"/>
  <c r="O98" i="20"/>
  <c r="P98" i="20" s="1"/>
  <c r="W97" i="20"/>
  <c r="V97" i="20"/>
  <c r="T97" i="20"/>
  <c r="Q97" i="20"/>
  <c r="R97" i="20" s="1"/>
  <c r="O97" i="20"/>
  <c r="P97" i="20" s="1"/>
  <c r="W96" i="20"/>
  <c r="X96" i="20" s="1"/>
  <c r="V96" i="20"/>
  <c r="T96" i="20"/>
  <c r="Q96" i="20"/>
  <c r="R96" i="20" s="1"/>
  <c r="O96" i="20"/>
  <c r="P96" i="20" s="1"/>
  <c r="W95" i="20"/>
  <c r="V95" i="20"/>
  <c r="T95" i="20"/>
  <c r="Q95" i="20"/>
  <c r="R95" i="20" s="1"/>
  <c r="O95" i="20"/>
  <c r="P95" i="20" s="1"/>
  <c r="W94" i="20"/>
  <c r="X94" i="20" s="1"/>
  <c r="V94" i="20"/>
  <c r="T94" i="20"/>
  <c r="Q94" i="20"/>
  <c r="R94" i="20" s="1"/>
  <c r="O94" i="20"/>
  <c r="P94" i="20" s="1"/>
  <c r="W93" i="20"/>
  <c r="U93" i="20"/>
  <c r="V93" i="20" s="1"/>
  <c r="T93" i="20"/>
  <c r="Q93" i="20"/>
  <c r="R93" i="20" s="1"/>
  <c r="O93" i="20"/>
  <c r="P93" i="20" s="1"/>
  <c r="M93" i="20"/>
  <c r="L84" i="20"/>
  <c r="Z82" i="20"/>
  <c r="X82" i="20"/>
  <c r="R82" i="20"/>
  <c r="P82" i="20"/>
  <c r="N82" i="20"/>
  <c r="V76" i="20"/>
  <c r="T76" i="20"/>
  <c r="V75" i="20"/>
  <c r="T75" i="20"/>
  <c r="V74" i="20"/>
  <c r="T74" i="20"/>
  <c r="V73" i="20"/>
  <c r="T73" i="20"/>
  <c r="V72" i="20"/>
  <c r="T72" i="20"/>
  <c r="V71" i="20"/>
  <c r="T71" i="20"/>
  <c r="W70" i="20"/>
  <c r="Y70" i="20" s="1"/>
  <c r="Z70" i="20" s="1"/>
  <c r="V70" i="20"/>
  <c r="T70" i="20"/>
  <c r="Q70" i="20"/>
  <c r="R70" i="20" s="1"/>
  <c r="O70" i="20"/>
  <c r="P70" i="20" s="1"/>
  <c r="M70" i="20"/>
  <c r="W69" i="20"/>
  <c r="Y69" i="20" s="1"/>
  <c r="Z69" i="20" s="1"/>
  <c r="U69" i="20"/>
  <c r="V69" i="20" s="1"/>
  <c r="T69" i="20"/>
  <c r="Q69" i="20"/>
  <c r="R69" i="20" s="1"/>
  <c r="O69" i="20"/>
  <c r="P69" i="20" s="1"/>
  <c r="M69" i="20"/>
  <c r="W68" i="20"/>
  <c r="X68" i="20" s="1"/>
  <c r="U68" i="20"/>
  <c r="V68" i="20" s="1"/>
  <c r="T68" i="20"/>
  <c r="Q68" i="20"/>
  <c r="R68" i="20" s="1"/>
  <c r="O68" i="20"/>
  <c r="P68" i="20" s="1"/>
  <c r="M68" i="20"/>
  <c r="W67" i="20"/>
  <c r="X67" i="20" s="1"/>
  <c r="U67" i="20"/>
  <c r="V67" i="20" s="1"/>
  <c r="T67" i="20"/>
  <c r="Q67" i="20"/>
  <c r="R67" i="20" s="1"/>
  <c r="O67" i="20"/>
  <c r="P67" i="20" s="1"/>
  <c r="M67" i="20"/>
  <c r="W66" i="20"/>
  <c r="X66" i="20" s="1"/>
  <c r="U66" i="20"/>
  <c r="V66" i="20" s="1"/>
  <c r="T66" i="20"/>
  <c r="Q66" i="20"/>
  <c r="R66" i="20" s="1"/>
  <c r="O66" i="20"/>
  <c r="P66" i="20" s="1"/>
  <c r="M66" i="20"/>
  <c r="W65" i="20"/>
  <c r="U65" i="20"/>
  <c r="V65" i="20" s="1"/>
  <c r="T65" i="20"/>
  <c r="Q65" i="20"/>
  <c r="R65" i="20" s="1"/>
  <c r="O65" i="20"/>
  <c r="P65" i="20" s="1"/>
  <c r="M65" i="20"/>
  <c r="L56" i="20"/>
  <c r="Z54" i="20"/>
  <c r="X54" i="20"/>
  <c r="V54" i="20"/>
  <c r="T54" i="20"/>
  <c r="R54" i="20"/>
  <c r="P54" i="20"/>
  <c r="N54" i="20"/>
  <c r="V47" i="20"/>
  <c r="T47" i="20"/>
  <c r="V46" i="20"/>
  <c r="T46" i="20"/>
  <c r="V45" i="20"/>
  <c r="T45" i="20"/>
  <c r="V44" i="20"/>
  <c r="T44" i="20"/>
  <c r="V43" i="20"/>
  <c r="T43" i="20"/>
  <c r="V42" i="20"/>
  <c r="T42" i="20"/>
  <c r="W41" i="20"/>
  <c r="Y41" i="20" s="1"/>
  <c r="Z41" i="20" s="1"/>
  <c r="U41" i="20"/>
  <c r="V41" i="20" s="1"/>
  <c r="T41" i="20"/>
  <c r="Q41" i="20"/>
  <c r="R41" i="20" s="1"/>
  <c r="O41" i="20"/>
  <c r="P41" i="20" s="1"/>
  <c r="M41" i="20"/>
  <c r="W40" i="20"/>
  <c r="X40" i="20" s="1"/>
  <c r="U40" i="20"/>
  <c r="V40" i="20" s="1"/>
  <c r="T40" i="20"/>
  <c r="Q40" i="20"/>
  <c r="R40" i="20" s="1"/>
  <c r="O40" i="20"/>
  <c r="P40" i="20" s="1"/>
  <c r="M40" i="20"/>
  <c r="W39" i="20"/>
  <c r="X39" i="20" s="1"/>
  <c r="U39" i="20"/>
  <c r="V39" i="20" s="1"/>
  <c r="T39" i="20"/>
  <c r="Q39" i="20"/>
  <c r="R39" i="20" s="1"/>
  <c r="O39" i="20"/>
  <c r="P39" i="20" s="1"/>
  <c r="M39" i="20"/>
  <c r="W38" i="20"/>
  <c r="U38" i="20"/>
  <c r="V38" i="20" s="1"/>
  <c r="T38" i="20"/>
  <c r="Q38" i="20"/>
  <c r="R38" i="20" s="1"/>
  <c r="O38" i="20"/>
  <c r="P38" i="20" s="1"/>
  <c r="M38" i="20"/>
  <c r="W37" i="20"/>
  <c r="X37" i="20" s="1"/>
  <c r="U37" i="20"/>
  <c r="V37" i="20" s="1"/>
  <c r="T37" i="20"/>
  <c r="Q37" i="20"/>
  <c r="R37" i="20" s="1"/>
  <c r="O37" i="20"/>
  <c r="P37" i="20" s="1"/>
  <c r="M37" i="20"/>
  <c r="W36" i="20"/>
  <c r="Y36" i="20" s="1"/>
  <c r="Z36" i="20" s="1"/>
  <c r="U36" i="20"/>
  <c r="V36" i="20" s="1"/>
  <c r="T36" i="20"/>
  <c r="Q36" i="20"/>
  <c r="R36" i="20" s="1"/>
  <c r="O36" i="20"/>
  <c r="P36" i="20" s="1"/>
  <c r="M36" i="20"/>
  <c r="L27" i="20"/>
  <c r="Z25" i="20"/>
  <c r="X25" i="20"/>
  <c r="V25" i="20"/>
  <c r="T25" i="20"/>
  <c r="R25" i="20"/>
  <c r="P25" i="20"/>
  <c r="N25" i="20"/>
  <c r="V18" i="20"/>
  <c r="T18" i="20"/>
  <c r="V17" i="20"/>
  <c r="T17" i="20"/>
  <c r="V16" i="20"/>
  <c r="T16" i="20"/>
  <c r="V15" i="20"/>
  <c r="T15" i="20"/>
  <c r="W14" i="20"/>
  <c r="V14" i="20"/>
  <c r="T14" i="20"/>
  <c r="Q14" i="20"/>
  <c r="R14" i="20" s="1"/>
  <c r="O14" i="20"/>
  <c r="P14" i="20" s="1"/>
  <c r="M14" i="20"/>
  <c r="W13" i="20"/>
  <c r="Y13" i="20" s="1"/>
  <c r="Z13" i="20" s="1"/>
  <c r="V13" i="20"/>
  <c r="T13" i="20"/>
  <c r="Q13" i="20"/>
  <c r="R13" i="20" s="1"/>
  <c r="O13" i="20"/>
  <c r="P13" i="20" s="1"/>
  <c r="M13" i="20"/>
  <c r="W12" i="20"/>
  <c r="Y12" i="20" s="1"/>
  <c r="Z12" i="20" s="1"/>
  <c r="V12" i="20"/>
  <c r="T12" i="20"/>
  <c r="Q12" i="20"/>
  <c r="R12" i="20" s="1"/>
  <c r="O12" i="20"/>
  <c r="P12" i="20" s="1"/>
  <c r="M12" i="20"/>
  <c r="W11" i="20"/>
  <c r="Y11" i="20" s="1"/>
  <c r="Z11" i="20" s="1"/>
  <c r="V11" i="20"/>
  <c r="T11" i="20"/>
  <c r="Q11" i="20"/>
  <c r="R11" i="20" s="1"/>
  <c r="O11" i="20"/>
  <c r="P11" i="20" s="1"/>
  <c r="M11" i="20"/>
  <c r="W10" i="20"/>
  <c r="X10" i="20" s="1"/>
  <c r="U10" i="20"/>
  <c r="V10" i="20" s="1"/>
  <c r="T10" i="20"/>
  <c r="Q10" i="20"/>
  <c r="R10" i="20" s="1"/>
  <c r="O10" i="20"/>
  <c r="P10" i="20" s="1"/>
  <c r="M10" i="20"/>
  <c r="W9" i="20"/>
  <c r="Y9" i="20" s="1"/>
  <c r="Z9" i="20" s="1"/>
  <c r="U9" i="20"/>
  <c r="V9" i="20" s="1"/>
  <c r="T9" i="20"/>
  <c r="Q9" i="20"/>
  <c r="R9" i="20" s="1"/>
  <c r="O9" i="20"/>
  <c r="P9" i="20" s="1"/>
  <c r="M9" i="20"/>
  <c r="W8" i="20"/>
  <c r="U8" i="20"/>
  <c r="V8" i="20" s="1"/>
  <c r="T8" i="20"/>
  <c r="Q8" i="20"/>
  <c r="R8" i="20" s="1"/>
  <c r="O8" i="20"/>
  <c r="P8" i="20" s="1"/>
  <c r="M8" i="20"/>
  <c r="W7" i="20"/>
  <c r="Y7" i="20" s="1"/>
  <c r="Z7" i="20" s="1"/>
  <c r="U7" i="20"/>
  <c r="V7" i="20" s="1"/>
  <c r="T7" i="20"/>
  <c r="Q7" i="20"/>
  <c r="R7" i="20" s="1"/>
  <c r="O7" i="20"/>
  <c r="P7" i="20" s="1"/>
  <c r="M7" i="20"/>
  <c r="Y113" i="19"/>
  <c r="Z113" i="19" s="1"/>
  <c r="W113" i="19"/>
  <c r="X113" i="19" s="1"/>
  <c r="U113" i="19"/>
  <c r="V113" i="19" s="1"/>
  <c r="S113" i="19"/>
  <c r="T113" i="19" s="1"/>
  <c r="Q113" i="19"/>
  <c r="R113" i="19" s="1"/>
  <c r="O113" i="19"/>
  <c r="P113" i="19" s="1"/>
  <c r="M113" i="19"/>
  <c r="N113" i="19" s="1"/>
  <c r="L113" i="19"/>
  <c r="W99" i="19"/>
  <c r="U99" i="19"/>
  <c r="V99" i="19" s="1"/>
  <c r="T99" i="19"/>
  <c r="Q99" i="19"/>
  <c r="R99" i="19" s="1"/>
  <c r="O99" i="19"/>
  <c r="P99" i="19" s="1"/>
  <c r="M99" i="19"/>
  <c r="W98" i="19"/>
  <c r="U98" i="19"/>
  <c r="V98" i="19" s="1"/>
  <c r="T98" i="19"/>
  <c r="Q98" i="19"/>
  <c r="R98" i="19" s="1"/>
  <c r="O98" i="19"/>
  <c r="P98" i="19" s="1"/>
  <c r="M98" i="19"/>
  <c r="W97" i="19"/>
  <c r="Y97" i="19" s="1"/>
  <c r="Z97" i="19" s="1"/>
  <c r="U97" i="19"/>
  <c r="V97" i="19" s="1"/>
  <c r="T97" i="19"/>
  <c r="Q97" i="19"/>
  <c r="R97" i="19" s="1"/>
  <c r="O97" i="19"/>
  <c r="P97" i="19" s="1"/>
  <c r="M97" i="19"/>
  <c r="W96" i="19"/>
  <c r="X96" i="19" s="1"/>
  <c r="U96" i="19"/>
  <c r="V96" i="19" s="1"/>
  <c r="T96" i="19"/>
  <c r="Q96" i="19"/>
  <c r="R96" i="19" s="1"/>
  <c r="O96" i="19"/>
  <c r="P96" i="19" s="1"/>
  <c r="M96" i="19"/>
  <c r="W95" i="19"/>
  <c r="U95" i="19"/>
  <c r="V95" i="19" s="1"/>
  <c r="T95" i="19"/>
  <c r="Q95" i="19"/>
  <c r="R95" i="19" s="1"/>
  <c r="O95" i="19"/>
  <c r="P95" i="19" s="1"/>
  <c r="M95" i="19"/>
  <c r="W94" i="19"/>
  <c r="Y94" i="19" s="1"/>
  <c r="Z94" i="19" s="1"/>
  <c r="U94" i="19"/>
  <c r="V94" i="19" s="1"/>
  <c r="T94" i="19"/>
  <c r="Q94" i="19"/>
  <c r="R94" i="19" s="1"/>
  <c r="O94" i="19"/>
  <c r="P94" i="19" s="1"/>
  <c r="M94" i="19"/>
  <c r="W93" i="19"/>
  <c r="Y93" i="19" s="1"/>
  <c r="Z93" i="19" s="1"/>
  <c r="U93" i="19"/>
  <c r="V93" i="19" s="1"/>
  <c r="T93" i="19"/>
  <c r="Q93" i="19"/>
  <c r="R93" i="19" s="1"/>
  <c r="O93" i="19"/>
  <c r="P93" i="19" s="1"/>
  <c r="M93" i="19"/>
  <c r="Y84" i="19"/>
  <c r="Z84" i="19" s="1"/>
  <c r="W84" i="19"/>
  <c r="X84" i="19" s="1"/>
  <c r="U84" i="19"/>
  <c r="V84" i="19" s="1"/>
  <c r="S84" i="19"/>
  <c r="T84" i="19" s="1"/>
  <c r="Q84" i="19"/>
  <c r="R84" i="19" s="1"/>
  <c r="O84" i="19"/>
  <c r="P84" i="19" s="1"/>
  <c r="M84" i="19"/>
  <c r="N84" i="19" s="1"/>
  <c r="L84" i="19"/>
  <c r="W70" i="19"/>
  <c r="X70" i="19" s="1"/>
  <c r="U70" i="19"/>
  <c r="V70" i="19" s="1"/>
  <c r="T70" i="19"/>
  <c r="Q70" i="19"/>
  <c r="R70" i="19" s="1"/>
  <c r="O70" i="19"/>
  <c r="P70" i="19" s="1"/>
  <c r="M70" i="19"/>
  <c r="W69" i="19"/>
  <c r="Y69" i="19" s="1"/>
  <c r="Z69" i="19" s="1"/>
  <c r="U69" i="19"/>
  <c r="V69" i="19" s="1"/>
  <c r="T69" i="19"/>
  <c r="Q69" i="19"/>
  <c r="R69" i="19" s="1"/>
  <c r="O69" i="19"/>
  <c r="P69" i="19" s="1"/>
  <c r="M69" i="19"/>
  <c r="W68" i="19"/>
  <c r="X68" i="19" s="1"/>
  <c r="U68" i="19"/>
  <c r="V68" i="19" s="1"/>
  <c r="T68" i="19"/>
  <c r="Q68" i="19"/>
  <c r="R68" i="19" s="1"/>
  <c r="O68" i="19"/>
  <c r="P68" i="19" s="1"/>
  <c r="M68" i="19"/>
  <c r="W67" i="19"/>
  <c r="Y67" i="19" s="1"/>
  <c r="Z67" i="19" s="1"/>
  <c r="U67" i="19"/>
  <c r="V67" i="19" s="1"/>
  <c r="T67" i="19"/>
  <c r="Q67" i="19"/>
  <c r="R67" i="19" s="1"/>
  <c r="O67" i="19"/>
  <c r="P67" i="19" s="1"/>
  <c r="M67" i="19"/>
  <c r="W66" i="19"/>
  <c r="Y66" i="19" s="1"/>
  <c r="Z66" i="19" s="1"/>
  <c r="U66" i="19"/>
  <c r="V66" i="19" s="1"/>
  <c r="T66" i="19"/>
  <c r="Q66" i="19"/>
  <c r="R66" i="19" s="1"/>
  <c r="O66" i="19"/>
  <c r="P66" i="19" s="1"/>
  <c r="M66" i="19"/>
  <c r="W65" i="19"/>
  <c r="X65" i="19" s="1"/>
  <c r="U65" i="19"/>
  <c r="V65" i="19" s="1"/>
  <c r="T65" i="19"/>
  <c r="Q65" i="19"/>
  <c r="R65" i="19" s="1"/>
  <c r="O65" i="19"/>
  <c r="P65" i="19" s="1"/>
  <c r="M65" i="19"/>
  <c r="L56" i="19"/>
  <c r="Z54" i="19"/>
  <c r="X54" i="19"/>
  <c r="V54" i="19"/>
  <c r="T54" i="19"/>
  <c r="R54" i="19"/>
  <c r="P54" i="19"/>
  <c r="N54" i="19"/>
  <c r="W41" i="19"/>
  <c r="X41" i="19" s="1"/>
  <c r="U41" i="19"/>
  <c r="V41" i="19" s="1"/>
  <c r="T41" i="19"/>
  <c r="Q41" i="19"/>
  <c r="R41" i="19" s="1"/>
  <c r="O41" i="19"/>
  <c r="P41" i="19" s="1"/>
  <c r="M41" i="19"/>
  <c r="W40" i="19"/>
  <c r="Y40" i="19" s="1"/>
  <c r="Z40" i="19" s="1"/>
  <c r="U40" i="19"/>
  <c r="V40" i="19" s="1"/>
  <c r="T40" i="19"/>
  <c r="Q40" i="19"/>
  <c r="R40" i="19" s="1"/>
  <c r="O40" i="19"/>
  <c r="P40" i="19" s="1"/>
  <c r="M40" i="19"/>
  <c r="W39" i="19"/>
  <c r="X39" i="19" s="1"/>
  <c r="U39" i="19"/>
  <c r="V39" i="19" s="1"/>
  <c r="T39" i="19"/>
  <c r="Q39" i="19"/>
  <c r="R39" i="19" s="1"/>
  <c r="O39" i="19"/>
  <c r="P39" i="19" s="1"/>
  <c r="M39" i="19"/>
  <c r="W38" i="19"/>
  <c r="Y38" i="19" s="1"/>
  <c r="Z38" i="19" s="1"/>
  <c r="U38" i="19"/>
  <c r="V38" i="19" s="1"/>
  <c r="T38" i="19"/>
  <c r="Q38" i="19"/>
  <c r="R38" i="19" s="1"/>
  <c r="O38" i="19"/>
  <c r="P38" i="19" s="1"/>
  <c r="M38" i="19"/>
  <c r="W37" i="19"/>
  <c r="Y37" i="19" s="1"/>
  <c r="Z37" i="19" s="1"/>
  <c r="U37" i="19"/>
  <c r="V37" i="19" s="1"/>
  <c r="T37" i="19"/>
  <c r="Q37" i="19"/>
  <c r="R37" i="19" s="1"/>
  <c r="O37" i="19"/>
  <c r="P37" i="19" s="1"/>
  <c r="M37" i="19"/>
  <c r="W36" i="19"/>
  <c r="Y36" i="19" s="1"/>
  <c r="Z36" i="19" s="1"/>
  <c r="U36" i="19"/>
  <c r="V36" i="19" s="1"/>
  <c r="T36" i="19"/>
  <c r="Q36" i="19"/>
  <c r="R36" i="19" s="1"/>
  <c r="O36" i="19"/>
  <c r="P36" i="19" s="1"/>
  <c r="M36" i="19"/>
  <c r="L27" i="19"/>
  <c r="Z25" i="19"/>
  <c r="X25" i="19"/>
  <c r="V25" i="19"/>
  <c r="T25" i="19"/>
  <c r="R25" i="19"/>
  <c r="P25" i="19"/>
  <c r="N25" i="19"/>
  <c r="W14" i="19"/>
  <c r="Y14" i="19" s="1"/>
  <c r="Z14" i="19" s="1"/>
  <c r="U14" i="19"/>
  <c r="V14" i="19" s="1"/>
  <c r="T14" i="19"/>
  <c r="Q14" i="19"/>
  <c r="R14" i="19" s="1"/>
  <c r="O14" i="19"/>
  <c r="M14" i="19"/>
  <c r="W13" i="19"/>
  <c r="Y13" i="19" s="1"/>
  <c r="Z13" i="19" s="1"/>
  <c r="U13" i="19"/>
  <c r="V13" i="19" s="1"/>
  <c r="T13" i="19"/>
  <c r="Q13" i="19"/>
  <c r="R13" i="19" s="1"/>
  <c r="O13" i="19"/>
  <c r="M13" i="19"/>
  <c r="W12" i="19"/>
  <c r="Y12" i="19" s="1"/>
  <c r="Z12" i="19" s="1"/>
  <c r="U12" i="19"/>
  <c r="V12" i="19" s="1"/>
  <c r="T12" i="19"/>
  <c r="Q12" i="19"/>
  <c r="R12" i="19" s="1"/>
  <c r="O12" i="19"/>
  <c r="P12" i="19" s="1"/>
  <c r="M12" i="19"/>
  <c r="W11" i="19"/>
  <c r="U11" i="19"/>
  <c r="V11" i="19" s="1"/>
  <c r="T11" i="19"/>
  <c r="Q11" i="19"/>
  <c r="R11" i="19" s="1"/>
  <c r="O11" i="19"/>
  <c r="P11" i="19" s="1"/>
  <c r="M11" i="19"/>
  <c r="W10" i="19"/>
  <c r="Y10" i="19" s="1"/>
  <c r="Z10" i="19" s="1"/>
  <c r="U10" i="19"/>
  <c r="V10" i="19" s="1"/>
  <c r="T10" i="19"/>
  <c r="Q10" i="19"/>
  <c r="R10" i="19" s="1"/>
  <c r="O10" i="19"/>
  <c r="M10" i="19"/>
  <c r="W9" i="19"/>
  <c r="Y9" i="19" s="1"/>
  <c r="Z9" i="19" s="1"/>
  <c r="U9" i="19"/>
  <c r="V9" i="19" s="1"/>
  <c r="T9" i="19"/>
  <c r="Q9" i="19"/>
  <c r="R9" i="19" s="1"/>
  <c r="O9" i="19"/>
  <c r="P9" i="19" s="1"/>
  <c r="M9" i="19"/>
  <c r="W8" i="19"/>
  <c r="Y8" i="19" s="1"/>
  <c r="Z8" i="19" s="1"/>
  <c r="U8" i="19"/>
  <c r="V8" i="19" s="1"/>
  <c r="T8" i="19"/>
  <c r="Q8" i="19"/>
  <c r="R8" i="19" s="1"/>
  <c r="O8" i="19"/>
  <c r="P8" i="19" s="1"/>
  <c r="M8" i="19"/>
  <c r="W7" i="19"/>
  <c r="Y7" i="19" s="1"/>
  <c r="Z7" i="19" s="1"/>
  <c r="U7" i="19"/>
  <c r="V7" i="19" s="1"/>
  <c r="T7" i="19"/>
  <c r="Q7" i="19"/>
  <c r="R7" i="19" s="1"/>
  <c r="O7" i="19"/>
  <c r="P7" i="19" s="1"/>
  <c r="M7" i="19"/>
  <c r="Y113" i="18"/>
  <c r="Z113" i="18" s="1"/>
  <c r="W113" i="18"/>
  <c r="X113" i="18" s="1"/>
  <c r="U113" i="18"/>
  <c r="V113" i="18" s="1"/>
  <c r="S113" i="18"/>
  <c r="T113" i="18" s="1"/>
  <c r="Q113" i="18"/>
  <c r="R113" i="18" s="1"/>
  <c r="O113" i="18"/>
  <c r="P113" i="18" s="1"/>
  <c r="M113" i="18"/>
  <c r="N113" i="18" s="1"/>
  <c r="L113" i="18"/>
  <c r="W98" i="18"/>
  <c r="Y98" i="18" s="1"/>
  <c r="Z98" i="18" s="1"/>
  <c r="U98" i="18"/>
  <c r="V98" i="18" s="1"/>
  <c r="T98" i="18"/>
  <c r="Q98" i="18"/>
  <c r="R98" i="18" s="1"/>
  <c r="O98" i="18"/>
  <c r="P98" i="18" s="1"/>
  <c r="M98" i="18"/>
  <c r="W97" i="18"/>
  <c r="X97" i="18" s="1"/>
  <c r="U97" i="18"/>
  <c r="V97" i="18" s="1"/>
  <c r="T97" i="18"/>
  <c r="Q97" i="18"/>
  <c r="R97" i="18" s="1"/>
  <c r="O97" i="18"/>
  <c r="P97" i="18" s="1"/>
  <c r="M97" i="18"/>
  <c r="W96" i="18"/>
  <c r="Y96" i="18" s="1"/>
  <c r="Z96" i="18" s="1"/>
  <c r="U96" i="18"/>
  <c r="V96" i="18" s="1"/>
  <c r="T96" i="18"/>
  <c r="Q96" i="18"/>
  <c r="R96" i="18" s="1"/>
  <c r="O96" i="18"/>
  <c r="P96" i="18" s="1"/>
  <c r="M96" i="18"/>
  <c r="W95" i="18"/>
  <c r="X95" i="18" s="1"/>
  <c r="U95" i="18"/>
  <c r="V95" i="18" s="1"/>
  <c r="T95" i="18"/>
  <c r="Q95" i="18"/>
  <c r="R95" i="18" s="1"/>
  <c r="O95" i="18"/>
  <c r="P95" i="18" s="1"/>
  <c r="M95" i="18"/>
  <c r="W94" i="18"/>
  <c r="Y94" i="18" s="1"/>
  <c r="Z94" i="18" s="1"/>
  <c r="U94" i="18"/>
  <c r="V94" i="18" s="1"/>
  <c r="T94" i="18"/>
  <c r="Q94" i="18"/>
  <c r="R94" i="18" s="1"/>
  <c r="O94" i="18"/>
  <c r="P94" i="18" s="1"/>
  <c r="M94" i="18"/>
  <c r="W93" i="18"/>
  <c r="Y93" i="18" s="1"/>
  <c r="Z93" i="18" s="1"/>
  <c r="U93" i="18"/>
  <c r="V93" i="18" s="1"/>
  <c r="T93" i="18"/>
  <c r="Q93" i="18"/>
  <c r="R93" i="18" s="1"/>
  <c r="O93" i="18"/>
  <c r="P93" i="18" s="1"/>
  <c r="M93" i="18"/>
  <c r="Y84" i="18"/>
  <c r="Z84" i="18" s="1"/>
  <c r="W84" i="18"/>
  <c r="X84" i="18" s="1"/>
  <c r="U84" i="18"/>
  <c r="V84" i="18" s="1"/>
  <c r="S84" i="18"/>
  <c r="T84" i="18" s="1"/>
  <c r="Q84" i="18"/>
  <c r="R84" i="18" s="1"/>
  <c r="O84" i="18"/>
  <c r="P84" i="18" s="1"/>
  <c r="M84" i="18"/>
  <c r="N84" i="18" s="1"/>
  <c r="L84" i="18"/>
  <c r="Z82" i="18"/>
  <c r="X82" i="18"/>
  <c r="V82" i="18"/>
  <c r="T82" i="18"/>
  <c r="R82" i="18"/>
  <c r="P82" i="18"/>
  <c r="N82" i="18"/>
  <c r="W70" i="18"/>
  <c r="X70" i="18" s="1"/>
  <c r="U70" i="18"/>
  <c r="V70" i="18" s="1"/>
  <c r="T70" i="18"/>
  <c r="Q70" i="18"/>
  <c r="R70" i="18" s="1"/>
  <c r="O70" i="18"/>
  <c r="P70" i="18" s="1"/>
  <c r="M70" i="18"/>
  <c r="W69" i="18"/>
  <c r="Y69" i="18" s="1"/>
  <c r="Z69" i="18" s="1"/>
  <c r="U69" i="18"/>
  <c r="V69" i="18" s="1"/>
  <c r="T69" i="18"/>
  <c r="Q69" i="18"/>
  <c r="R69" i="18" s="1"/>
  <c r="O69" i="18"/>
  <c r="P69" i="18" s="1"/>
  <c r="M69" i="18"/>
  <c r="W68" i="18"/>
  <c r="Y68" i="18" s="1"/>
  <c r="Z68" i="18" s="1"/>
  <c r="U68" i="18"/>
  <c r="V68" i="18" s="1"/>
  <c r="T68" i="18"/>
  <c r="Q68" i="18"/>
  <c r="R68" i="18" s="1"/>
  <c r="O68" i="18"/>
  <c r="P68" i="18" s="1"/>
  <c r="M68" i="18"/>
  <c r="W67" i="18"/>
  <c r="Y67" i="18" s="1"/>
  <c r="Z67" i="18" s="1"/>
  <c r="U67" i="18"/>
  <c r="V67" i="18" s="1"/>
  <c r="T67" i="18"/>
  <c r="Q67" i="18"/>
  <c r="R67" i="18" s="1"/>
  <c r="O67" i="18"/>
  <c r="P67" i="18" s="1"/>
  <c r="M67" i="18"/>
  <c r="W66" i="18"/>
  <c r="Y66" i="18" s="1"/>
  <c r="Z66" i="18" s="1"/>
  <c r="U66" i="18"/>
  <c r="V66" i="18" s="1"/>
  <c r="T66" i="18"/>
  <c r="Q66" i="18"/>
  <c r="R66" i="18" s="1"/>
  <c r="O66" i="18"/>
  <c r="P66" i="18" s="1"/>
  <c r="M66" i="18"/>
  <c r="Y65" i="18"/>
  <c r="Z65" i="18" s="1"/>
  <c r="L56" i="18"/>
  <c r="W41" i="18"/>
  <c r="X41" i="18" s="1"/>
  <c r="U41" i="18"/>
  <c r="V41" i="18" s="1"/>
  <c r="T41" i="18"/>
  <c r="Q41" i="18"/>
  <c r="R41" i="18" s="1"/>
  <c r="O41" i="18"/>
  <c r="P41" i="18" s="1"/>
  <c r="M41" i="18"/>
  <c r="W40" i="18"/>
  <c r="U40" i="18"/>
  <c r="V40" i="18" s="1"/>
  <c r="T40" i="18"/>
  <c r="Q40" i="18"/>
  <c r="R40" i="18" s="1"/>
  <c r="O40" i="18"/>
  <c r="P40" i="18" s="1"/>
  <c r="M40" i="18"/>
  <c r="W39" i="18"/>
  <c r="X39" i="18" s="1"/>
  <c r="U39" i="18"/>
  <c r="V39" i="18" s="1"/>
  <c r="T39" i="18"/>
  <c r="Q39" i="18"/>
  <c r="R39" i="18" s="1"/>
  <c r="O39" i="18"/>
  <c r="P39" i="18" s="1"/>
  <c r="M39" i="18"/>
  <c r="W38" i="18"/>
  <c r="X38" i="18" s="1"/>
  <c r="U38" i="18"/>
  <c r="V38" i="18" s="1"/>
  <c r="T38" i="18"/>
  <c r="Q38" i="18"/>
  <c r="R38" i="18" s="1"/>
  <c r="O38" i="18"/>
  <c r="P38" i="18" s="1"/>
  <c r="M38" i="18"/>
  <c r="W37" i="18"/>
  <c r="X37" i="18" s="1"/>
  <c r="U37" i="18"/>
  <c r="V37" i="18" s="1"/>
  <c r="T37" i="18"/>
  <c r="Q37" i="18"/>
  <c r="R37" i="18" s="1"/>
  <c r="O37" i="18"/>
  <c r="P37" i="18" s="1"/>
  <c r="M37" i="18"/>
  <c r="W36" i="18"/>
  <c r="X36" i="18" s="1"/>
  <c r="U36" i="18"/>
  <c r="V36" i="18" s="1"/>
  <c r="T36" i="18"/>
  <c r="Q36" i="18"/>
  <c r="R36" i="18" s="1"/>
  <c r="O36" i="18"/>
  <c r="P36" i="18" s="1"/>
  <c r="M36" i="18"/>
  <c r="L27" i="18"/>
  <c r="Z25" i="18"/>
  <c r="X25" i="18"/>
  <c r="V25" i="18"/>
  <c r="T25" i="18"/>
  <c r="R25" i="18"/>
  <c r="P25" i="18"/>
  <c r="N25" i="18"/>
  <c r="W12" i="18"/>
  <c r="Y12" i="18" s="1"/>
  <c r="Z12" i="18" s="1"/>
  <c r="U12" i="18"/>
  <c r="V12" i="18" s="1"/>
  <c r="T12" i="18"/>
  <c r="Q12" i="18"/>
  <c r="R12" i="18" s="1"/>
  <c r="O12" i="18"/>
  <c r="P12" i="18" s="1"/>
  <c r="M12" i="18"/>
  <c r="W11" i="18"/>
  <c r="U11" i="18"/>
  <c r="V11" i="18" s="1"/>
  <c r="T11" i="18"/>
  <c r="Q11" i="18"/>
  <c r="R11" i="18" s="1"/>
  <c r="O11" i="18"/>
  <c r="P11" i="18" s="1"/>
  <c r="M11" i="18"/>
  <c r="W10" i="18"/>
  <c r="Y10" i="18" s="1"/>
  <c r="Z10" i="18" s="1"/>
  <c r="U10" i="18"/>
  <c r="V10" i="18" s="1"/>
  <c r="T10" i="18"/>
  <c r="Q10" i="18"/>
  <c r="R10" i="18" s="1"/>
  <c r="O10" i="18"/>
  <c r="P10" i="18" s="1"/>
  <c r="M10" i="18"/>
  <c r="W9" i="18"/>
  <c r="Y9" i="18" s="1"/>
  <c r="Z9" i="18" s="1"/>
  <c r="U9" i="18"/>
  <c r="V9" i="18" s="1"/>
  <c r="T9" i="18"/>
  <c r="Q9" i="18"/>
  <c r="R9" i="18" s="1"/>
  <c r="O9" i="18"/>
  <c r="P9" i="18" s="1"/>
  <c r="M9" i="18"/>
  <c r="W8" i="18"/>
  <c r="X8" i="18" s="1"/>
  <c r="U8" i="18"/>
  <c r="V8" i="18" s="1"/>
  <c r="T8" i="18"/>
  <c r="Q8" i="18"/>
  <c r="R8" i="18" s="1"/>
  <c r="O8" i="18"/>
  <c r="P8" i="18" s="1"/>
  <c r="M8" i="18"/>
  <c r="W7" i="18"/>
  <c r="Y7" i="18" s="1"/>
  <c r="Z7" i="18" s="1"/>
  <c r="U7" i="18"/>
  <c r="V7" i="18" s="1"/>
  <c r="T7" i="18"/>
  <c r="Q7" i="18"/>
  <c r="R7" i="18" s="1"/>
  <c r="O7" i="18"/>
  <c r="P7" i="18" s="1"/>
  <c r="M7" i="18"/>
  <c r="Y113" i="17"/>
  <c r="Z113" i="17" s="1"/>
  <c r="W113" i="17"/>
  <c r="X113" i="17" s="1"/>
  <c r="U113" i="17"/>
  <c r="V113" i="17" s="1"/>
  <c r="S113" i="17"/>
  <c r="T113" i="17" s="1"/>
  <c r="Q113" i="17"/>
  <c r="R113" i="17" s="1"/>
  <c r="O113" i="17"/>
  <c r="P113" i="17" s="1"/>
  <c r="M113" i="17"/>
  <c r="N113" i="17" s="1"/>
  <c r="L113" i="17"/>
  <c r="W98" i="17"/>
  <c r="U98" i="17"/>
  <c r="V98" i="17" s="1"/>
  <c r="T98" i="17"/>
  <c r="Q98" i="17"/>
  <c r="R98" i="17" s="1"/>
  <c r="O98" i="17"/>
  <c r="P98" i="17" s="1"/>
  <c r="M98" i="17"/>
  <c r="W97" i="17"/>
  <c r="Y97" i="17" s="1"/>
  <c r="Z97" i="17" s="1"/>
  <c r="U97" i="17"/>
  <c r="V97" i="17" s="1"/>
  <c r="T97" i="17"/>
  <c r="Q97" i="17"/>
  <c r="R97" i="17" s="1"/>
  <c r="O97" i="17"/>
  <c r="P97" i="17" s="1"/>
  <c r="M97" i="17"/>
  <c r="W96" i="17"/>
  <c r="U96" i="17"/>
  <c r="V96" i="17" s="1"/>
  <c r="T96" i="17"/>
  <c r="Q96" i="17"/>
  <c r="R96" i="17" s="1"/>
  <c r="O96" i="17"/>
  <c r="P96" i="17" s="1"/>
  <c r="M96" i="17"/>
  <c r="W95" i="17"/>
  <c r="X95" i="17" s="1"/>
  <c r="U95" i="17"/>
  <c r="V95" i="17" s="1"/>
  <c r="T95" i="17"/>
  <c r="Q95" i="17"/>
  <c r="R95" i="17" s="1"/>
  <c r="O95" i="17"/>
  <c r="P95" i="17" s="1"/>
  <c r="M95" i="17"/>
  <c r="W94" i="17"/>
  <c r="U94" i="17"/>
  <c r="V94" i="17" s="1"/>
  <c r="T94" i="17"/>
  <c r="Q94" i="17"/>
  <c r="R94" i="17" s="1"/>
  <c r="O94" i="17"/>
  <c r="P94" i="17" s="1"/>
  <c r="M94" i="17"/>
  <c r="W93" i="17"/>
  <c r="U93" i="17"/>
  <c r="V93" i="17" s="1"/>
  <c r="T93" i="17"/>
  <c r="Q93" i="17"/>
  <c r="R93" i="17" s="1"/>
  <c r="O93" i="17"/>
  <c r="P93" i="17" s="1"/>
  <c r="M93" i="17"/>
  <c r="Y84" i="17"/>
  <c r="Z84" i="17" s="1"/>
  <c r="W84" i="17"/>
  <c r="X84" i="17" s="1"/>
  <c r="U84" i="17"/>
  <c r="V84" i="17" s="1"/>
  <c r="S84" i="17"/>
  <c r="T84" i="17" s="1"/>
  <c r="Q84" i="17"/>
  <c r="R84" i="17" s="1"/>
  <c r="O84" i="17"/>
  <c r="P84" i="17" s="1"/>
  <c r="M84" i="17"/>
  <c r="N84" i="17" s="1"/>
  <c r="L84" i="17"/>
  <c r="W70" i="17"/>
  <c r="U70" i="17"/>
  <c r="V70" i="17" s="1"/>
  <c r="T70" i="17"/>
  <c r="Q70" i="17"/>
  <c r="R70" i="17" s="1"/>
  <c r="O70" i="17"/>
  <c r="P70" i="17" s="1"/>
  <c r="M70" i="17"/>
  <c r="W69" i="17"/>
  <c r="X69" i="17" s="1"/>
  <c r="U69" i="17"/>
  <c r="V69" i="17" s="1"/>
  <c r="T69" i="17"/>
  <c r="Q69" i="17"/>
  <c r="R69" i="17" s="1"/>
  <c r="O69" i="17"/>
  <c r="M69" i="17"/>
  <c r="W68" i="17"/>
  <c r="Y68" i="17" s="1"/>
  <c r="Z68" i="17" s="1"/>
  <c r="U68" i="17"/>
  <c r="V68" i="17" s="1"/>
  <c r="T68" i="17"/>
  <c r="Q68" i="17"/>
  <c r="R68" i="17" s="1"/>
  <c r="O68" i="17"/>
  <c r="P68" i="17" s="1"/>
  <c r="M68" i="17"/>
  <c r="W67" i="17"/>
  <c r="X67" i="17" s="1"/>
  <c r="U67" i="17"/>
  <c r="V67" i="17" s="1"/>
  <c r="T67" i="17"/>
  <c r="Q67" i="17"/>
  <c r="R67" i="17" s="1"/>
  <c r="O67" i="17"/>
  <c r="M67" i="17"/>
  <c r="W66" i="17"/>
  <c r="Y66" i="17" s="1"/>
  <c r="Z66" i="17" s="1"/>
  <c r="U66" i="17"/>
  <c r="V66" i="17" s="1"/>
  <c r="T66" i="17"/>
  <c r="Q66" i="17"/>
  <c r="R66" i="17" s="1"/>
  <c r="O66" i="17"/>
  <c r="P66" i="17" s="1"/>
  <c r="M66" i="17"/>
  <c r="W65" i="17"/>
  <c r="Y65" i="17" s="1"/>
  <c r="Z65" i="17" s="1"/>
  <c r="U65" i="17"/>
  <c r="V65" i="17" s="1"/>
  <c r="T65" i="17"/>
  <c r="Q65" i="17"/>
  <c r="R65" i="17" s="1"/>
  <c r="O65" i="17"/>
  <c r="P65" i="17" s="1"/>
  <c r="M65" i="17"/>
  <c r="L56" i="17"/>
  <c r="Z54" i="17"/>
  <c r="X54" i="17"/>
  <c r="V54" i="17"/>
  <c r="T54" i="17"/>
  <c r="R54" i="17"/>
  <c r="P54" i="17"/>
  <c r="N54" i="17"/>
  <c r="W41" i="17"/>
  <c r="X41" i="17" s="1"/>
  <c r="U41" i="17"/>
  <c r="V41" i="17" s="1"/>
  <c r="T41" i="17"/>
  <c r="Q41" i="17"/>
  <c r="R41" i="17" s="1"/>
  <c r="O41" i="17"/>
  <c r="P41" i="17" s="1"/>
  <c r="M41" i="17"/>
  <c r="W40" i="17"/>
  <c r="Y40" i="17" s="1"/>
  <c r="Z40" i="17" s="1"/>
  <c r="U40" i="17"/>
  <c r="V40" i="17" s="1"/>
  <c r="T40" i="17"/>
  <c r="Q40" i="17"/>
  <c r="R40" i="17" s="1"/>
  <c r="O40" i="17"/>
  <c r="P40" i="17" s="1"/>
  <c r="M40" i="17"/>
  <c r="W39" i="17"/>
  <c r="Y39" i="17" s="1"/>
  <c r="Z39" i="17" s="1"/>
  <c r="U39" i="17"/>
  <c r="V39" i="17" s="1"/>
  <c r="T39" i="17"/>
  <c r="Q39" i="17"/>
  <c r="R39" i="17" s="1"/>
  <c r="O39" i="17"/>
  <c r="P39" i="17" s="1"/>
  <c r="M39" i="17"/>
  <c r="W38" i="17"/>
  <c r="Y38" i="17" s="1"/>
  <c r="Z38" i="17" s="1"/>
  <c r="U38" i="17"/>
  <c r="V38" i="17" s="1"/>
  <c r="T38" i="17"/>
  <c r="Q38" i="17"/>
  <c r="R38" i="17" s="1"/>
  <c r="O38" i="17"/>
  <c r="P38" i="17" s="1"/>
  <c r="M38" i="17"/>
  <c r="W37" i="17"/>
  <c r="Y37" i="17" s="1"/>
  <c r="Z37" i="17" s="1"/>
  <c r="U37" i="17"/>
  <c r="V37" i="17" s="1"/>
  <c r="T37" i="17"/>
  <c r="Q37" i="17"/>
  <c r="R37" i="17" s="1"/>
  <c r="O37" i="17"/>
  <c r="P37" i="17" s="1"/>
  <c r="M37" i="17"/>
  <c r="W36" i="17"/>
  <c r="X36" i="17" s="1"/>
  <c r="U36" i="17"/>
  <c r="V36" i="17" s="1"/>
  <c r="T36" i="17"/>
  <c r="Q36" i="17"/>
  <c r="R36" i="17" s="1"/>
  <c r="O36" i="17"/>
  <c r="P36" i="17" s="1"/>
  <c r="M36" i="17"/>
  <c r="L27" i="17"/>
  <c r="Z25" i="17"/>
  <c r="X25" i="17"/>
  <c r="V25" i="17"/>
  <c r="T25" i="17"/>
  <c r="R25" i="17"/>
  <c r="P25" i="17"/>
  <c r="N25" i="17"/>
  <c r="U12" i="17"/>
  <c r="V12" i="17" s="1"/>
  <c r="T12" i="17"/>
  <c r="W11" i="17"/>
  <c r="Y11" i="17" s="1"/>
  <c r="Z11" i="17" s="1"/>
  <c r="U11" i="17"/>
  <c r="V11" i="17" s="1"/>
  <c r="T11" i="17"/>
  <c r="Q11" i="17"/>
  <c r="R11" i="17" s="1"/>
  <c r="O11" i="17"/>
  <c r="P11" i="17" s="1"/>
  <c r="M11" i="17"/>
  <c r="W10" i="17"/>
  <c r="U10" i="17"/>
  <c r="V10" i="17" s="1"/>
  <c r="T10" i="17"/>
  <c r="Q10" i="17"/>
  <c r="R10" i="17" s="1"/>
  <c r="O10" i="17"/>
  <c r="P10" i="17" s="1"/>
  <c r="M10" i="17"/>
  <c r="W9" i="17"/>
  <c r="Y9" i="17" s="1"/>
  <c r="Z9" i="17" s="1"/>
  <c r="U9" i="17"/>
  <c r="V9" i="17" s="1"/>
  <c r="T9" i="17"/>
  <c r="Q9" i="17"/>
  <c r="R9" i="17" s="1"/>
  <c r="O9" i="17"/>
  <c r="P9" i="17" s="1"/>
  <c r="M9" i="17"/>
  <c r="W8" i="17"/>
  <c r="U8" i="17"/>
  <c r="V8" i="17" s="1"/>
  <c r="T8" i="17"/>
  <c r="Q8" i="17"/>
  <c r="R8" i="17" s="1"/>
  <c r="O8" i="17"/>
  <c r="P8" i="17" s="1"/>
  <c r="M8" i="17"/>
  <c r="W7" i="17"/>
  <c r="Y7" i="17" s="1"/>
  <c r="Z7" i="17" s="1"/>
  <c r="U7" i="17"/>
  <c r="V7" i="17" s="1"/>
  <c r="T7" i="17"/>
  <c r="Q7" i="17"/>
  <c r="R7" i="17" s="1"/>
  <c r="O7" i="17"/>
  <c r="P7" i="17" s="1"/>
  <c r="M7" i="17"/>
  <c r="L113" i="16"/>
  <c r="W98" i="16"/>
  <c r="U98" i="16"/>
  <c r="V98" i="16" s="1"/>
  <c r="T98" i="16"/>
  <c r="Q98" i="16"/>
  <c r="R98" i="16" s="1"/>
  <c r="O98" i="16"/>
  <c r="P98" i="16" s="1"/>
  <c r="M98" i="16"/>
  <c r="W97" i="16"/>
  <c r="Y97" i="16" s="1"/>
  <c r="Z97" i="16" s="1"/>
  <c r="U97" i="16"/>
  <c r="V97" i="16" s="1"/>
  <c r="T97" i="16"/>
  <c r="Q97" i="16"/>
  <c r="R97" i="16" s="1"/>
  <c r="O97" i="16"/>
  <c r="P97" i="16" s="1"/>
  <c r="M97" i="16"/>
  <c r="W96" i="16"/>
  <c r="U96" i="16"/>
  <c r="V96" i="16" s="1"/>
  <c r="T96" i="16"/>
  <c r="Q96" i="16"/>
  <c r="R96" i="16" s="1"/>
  <c r="O96" i="16"/>
  <c r="P96" i="16" s="1"/>
  <c r="M96" i="16"/>
  <c r="W95" i="16"/>
  <c r="Y95" i="16" s="1"/>
  <c r="Z95" i="16" s="1"/>
  <c r="U95" i="16"/>
  <c r="V95" i="16" s="1"/>
  <c r="T95" i="16"/>
  <c r="Q95" i="16"/>
  <c r="R95" i="16" s="1"/>
  <c r="O95" i="16"/>
  <c r="P95" i="16" s="1"/>
  <c r="M95" i="16"/>
  <c r="W94" i="16"/>
  <c r="U94" i="16"/>
  <c r="V94" i="16" s="1"/>
  <c r="T94" i="16"/>
  <c r="Q94" i="16"/>
  <c r="R94" i="16" s="1"/>
  <c r="O94" i="16"/>
  <c r="P94" i="16" s="1"/>
  <c r="M94" i="16"/>
  <c r="W93" i="16"/>
  <c r="X93" i="16" s="1"/>
  <c r="U93" i="16"/>
  <c r="V93" i="16" s="1"/>
  <c r="T93" i="16"/>
  <c r="Q93" i="16"/>
  <c r="R93" i="16" s="1"/>
  <c r="O93" i="16"/>
  <c r="P93" i="16" s="1"/>
  <c r="M93" i="16"/>
  <c r="Y84" i="16"/>
  <c r="Z84" i="16" s="1"/>
  <c r="W84" i="16"/>
  <c r="X84" i="16" s="1"/>
  <c r="U84" i="16"/>
  <c r="V84" i="16" s="1"/>
  <c r="S84" i="16"/>
  <c r="T84" i="16" s="1"/>
  <c r="Q84" i="16"/>
  <c r="R84" i="16" s="1"/>
  <c r="O84" i="16"/>
  <c r="P84" i="16" s="1"/>
  <c r="M84" i="16"/>
  <c r="N84" i="16" s="1"/>
  <c r="L84" i="16"/>
  <c r="W70" i="16"/>
  <c r="Y70" i="16" s="1"/>
  <c r="Z70" i="16" s="1"/>
  <c r="U70" i="16"/>
  <c r="V70" i="16" s="1"/>
  <c r="T70" i="16"/>
  <c r="Q70" i="16"/>
  <c r="R70" i="16" s="1"/>
  <c r="O70" i="16"/>
  <c r="P70" i="16" s="1"/>
  <c r="M70" i="16"/>
  <c r="W69" i="16"/>
  <c r="X69" i="16" s="1"/>
  <c r="U69" i="16"/>
  <c r="V69" i="16" s="1"/>
  <c r="T69" i="16"/>
  <c r="Q69" i="16"/>
  <c r="R69" i="16" s="1"/>
  <c r="O69" i="16"/>
  <c r="P69" i="16" s="1"/>
  <c r="M69" i="16"/>
  <c r="W68" i="16"/>
  <c r="Y68" i="16" s="1"/>
  <c r="Z68" i="16" s="1"/>
  <c r="U68" i="16"/>
  <c r="V68" i="16" s="1"/>
  <c r="T68" i="16"/>
  <c r="Q68" i="16"/>
  <c r="R68" i="16" s="1"/>
  <c r="O68" i="16"/>
  <c r="P68" i="16" s="1"/>
  <c r="M68" i="16"/>
  <c r="W67" i="16"/>
  <c r="Y67" i="16" s="1"/>
  <c r="Z67" i="16" s="1"/>
  <c r="U67" i="16"/>
  <c r="V67" i="16" s="1"/>
  <c r="T67" i="16"/>
  <c r="Q67" i="16"/>
  <c r="R67" i="16" s="1"/>
  <c r="O67" i="16"/>
  <c r="P67" i="16" s="1"/>
  <c r="M67" i="16"/>
  <c r="W66" i="16"/>
  <c r="U66" i="16"/>
  <c r="V66" i="16" s="1"/>
  <c r="T66" i="16"/>
  <c r="Q66" i="16"/>
  <c r="R66" i="16" s="1"/>
  <c r="O66" i="16"/>
  <c r="P66" i="16" s="1"/>
  <c r="M66" i="16"/>
  <c r="W65" i="16"/>
  <c r="U65" i="16"/>
  <c r="V65" i="16" s="1"/>
  <c r="T65" i="16"/>
  <c r="Q65" i="16"/>
  <c r="R65" i="16" s="1"/>
  <c r="O65" i="16"/>
  <c r="P65" i="16" s="1"/>
  <c r="M65" i="16"/>
  <c r="W41" i="16"/>
  <c r="Y41" i="16" s="1"/>
  <c r="Z41" i="16" s="1"/>
  <c r="U41" i="16"/>
  <c r="V41" i="16" s="1"/>
  <c r="T41" i="16"/>
  <c r="Q41" i="16"/>
  <c r="R41" i="16" s="1"/>
  <c r="O41" i="16"/>
  <c r="P41" i="16" s="1"/>
  <c r="M41" i="16"/>
  <c r="W40" i="16"/>
  <c r="Y40" i="16" s="1"/>
  <c r="Z40" i="16" s="1"/>
  <c r="U40" i="16"/>
  <c r="V40" i="16" s="1"/>
  <c r="T40" i="16"/>
  <c r="Q40" i="16"/>
  <c r="R40" i="16" s="1"/>
  <c r="O40" i="16"/>
  <c r="P40" i="16" s="1"/>
  <c r="M40" i="16"/>
  <c r="W39" i="16"/>
  <c r="U39" i="16"/>
  <c r="V39" i="16" s="1"/>
  <c r="T39" i="16"/>
  <c r="Q39" i="16"/>
  <c r="R39" i="16" s="1"/>
  <c r="O39" i="16"/>
  <c r="P39" i="16" s="1"/>
  <c r="M39" i="16"/>
  <c r="W38" i="16"/>
  <c r="Y38" i="16" s="1"/>
  <c r="Z38" i="16" s="1"/>
  <c r="U38" i="16"/>
  <c r="V38" i="16" s="1"/>
  <c r="T38" i="16"/>
  <c r="Q38" i="16"/>
  <c r="R38" i="16" s="1"/>
  <c r="O38" i="16"/>
  <c r="P38" i="16" s="1"/>
  <c r="M38" i="16"/>
  <c r="W37" i="16"/>
  <c r="U37" i="16"/>
  <c r="V37" i="16" s="1"/>
  <c r="T37" i="16"/>
  <c r="Q37" i="16"/>
  <c r="R37" i="16" s="1"/>
  <c r="O37" i="16"/>
  <c r="P37" i="16" s="1"/>
  <c r="M37" i="16"/>
  <c r="W36" i="16"/>
  <c r="Y36" i="16" s="1"/>
  <c r="Z36" i="16" s="1"/>
  <c r="U36" i="16"/>
  <c r="V36" i="16" s="1"/>
  <c r="T36" i="16"/>
  <c r="Q36" i="16"/>
  <c r="R36" i="16" s="1"/>
  <c r="O36" i="16"/>
  <c r="P36" i="16" s="1"/>
  <c r="M36" i="16"/>
  <c r="L27" i="16"/>
  <c r="Z25" i="16"/>
  <c r="X25" i="16"/>
  <c r="V25" i="16"/>
  <c r="T25" i="16"/>
  <c r="R25" i="16"/>
  <c r="P25" i="16"/>
  <c r="N25" i="16"/>
  <c r="W12" i="16"/>
  <c r="X12" i="16" s="1"/>
  <c r="U12" i="16"/>
  <c r="V12" i="16" s="1"/>
  <c r="T12" i="16"/>
  <c r="Q12" i="16"/>
  <c r="R12" i="16" s="1"/>
  <c r="O12" i="16"/>
  <c r="P12" i="16" s="1"/>
  <c r="M12" i="16"/>
  <c r="W11" i="16"/>
  <c r="X11" i="16" s="1"/>
  <c r="U11" i="16"/>
  <c r="V11" i="16" s="1"/>
  <c r="T11" i="16"/>
  <c r="Q11" i="16"/>
  <c r="R11" i="16" s="1"/>
  <c r="O11" i="16"/>
  <c r="P11" i="16" s="1"/>
  <c r="M11" i="16"/>
  <c r="W10" i="16"/>
  <c r="X10" i="16" s="1"/>
  <c r="U10" i="16"/>
  <c r="V10" i="16" s="1"/>
  <c r="T10" i="16"/>
  <c r="Q10" i="16"/>
  <c r="R10" i="16" s="1"/>
  <c r="O10" i="16"/>
  <c r="P10" i="16" s="1"/>
  <c r="M10" i="16"/>
  <c r="W9" i="16"/>
  <c r="X9" i="16" s="1"/>
  <c r="U9" i="16"/>
  <c r="V9" i="16" s="1"/>
  <c r="T9" i="16"/>
  <c r="Q9" i="16"/>
  <c r="R9" i="16" s="1"/>
  <c r="O9" i="16"/>
  <c r="P9" i="16" s="1"/>
  <c r="M9" i="16"/>
  <c r="W8" i="16"/>
  <c r="U8" i="16"/>
  <c r="V8" i="16" s="1"/>
  <c r="T8" i="16"/>
  <c r="Q8" i="16"/>
  <c r="R8" i="16" s="1"/>
  <c r="O8" i="16"/>
  <c r="P8" i="16" s="1"/>
  <c r="M8" i="16"/>
  <c r="W7" i="16"/>
  <c r="X7" i="16" s="1"/>
  <c r="U7" i="16"/>
  <c r="V7" i="16" s="1"/>
  <c r="T7" i="16"/>
  <c r="Q7" i="16"/>
  <c r="R7" i="16" s="1"/>
  <c r="O7" i="16"/>
  <c r="P7" i="16" s="1"/>
  <c r="M7" i="16"/>
  <c r="Y113" i="15"/>
  <c r="Z113" i="15" s="1"/>
  <c r="W113" i="15"/>
  <c r="X113" i="15" s="1"/>
  <c r="U113" i="15"/>
  <c r="V113" i="15" s="1"/>
  <c r="S113" i="15"/>
  <c r="T113" i="15" s="1"/>
  <c r="Q113" i="15"/>
  <c r="R113" i="15" s="1"/>
  <c r="O113" i="15"/>
  <c r="P113" i="15" s="1"/>
  <c r="M113" i="15"/>
  <c r="N113" i="15" s="1"/>
  <c r="L113" i="15"/>
  <c r="W99" i="15"/>
  <c r="X99" i="15" s="1"/>
  <c r="U99" i="15"/>
  <c r="V99" i="15" s="1"/>
  <c r="T99" i="15"/>
  <c r="Q99" i="15"/>
  <c r="R99" i="15" s="1"/>
  <c r="O99" i="15"/>
  <c r="P99" i="15" s="1"/>
  <c r="M99" i="15"/>
  <c r="W98" i="15"/>
  <c r="X98" i="15" s="1"/>
  <c r="U98" i="15"/>
  <c r="V98" i="15" s="1"/>
  <c r="T98" i="15"/>
  <c r="Q98" i="15"/>
  <c r="R98" i="15" s="1"/>
  <c r="O98" i="15"/>
  <c r="P98" i="15" s="1"/>
  <c r="M98" i="15"/>
  <c r="W97" i="15"/>
  <c r="X97" i="15" s="1"/>
  <c r="U97" i="15"/>
  <c r="V97" i="15" s="1"/>
  <c r="T97" i="15"/>
  <c r="Q97" i="15"/>
  <c r="R97" i="15" s="1"/>
  <c r="O97" i="15"/>
  <c r="P97" i="15" s="1"/>
  <c r="M97" i="15"/>
  <c r="W96" i="15"/>
  <c r="X96" i="15" s="1"/>
  <c r="U96" i="15"/>
  <c r="V96" i="15" s="1"/>
  <c r="T96" i="15"/>
  <c r="Q96" i="15"/>
  <c r="R96" i="15" s="1"/>
  <c r="O96" i="15"/>
  <c r="P96" i="15" s="1"/>
  <c r="M96" i="15"/>
  <c r="W95" i="15"/>
  <c r="X95" i="15" s="1"/>
  <c r="U95" i="15"/>
  <c r="V95" i="15" s="1"/>
  <c r="T95" i="15"/>
  <c r="Q95" i="15"/>
  <c r="R95" i="15" s="1"/>
  <c r="O95" i="15"/>
  <c r="P95" i="15" s="1"/>
  <c r="M95" i="15"/>
  <c r="W94" i="15"/>
  <c r="Y94" i="15" s="1"/>
  <c r="Z94" i="15" s="1"/>
  <c r="U94" i="15"/>
  <c r="V94" i="15" s="1"/>
  <c r="T94" i="15"/>
  <c r="Q94" i="15"/>
  <c r="R94" i="15" s="1"/>
  <c r="O94" i="15"/>
  <c r="P94" i="15" s="1"/>
  <c r="M94" i="15"/>
  <c r="W93" i="15"/>
  <c r="U93" i="15"/>
  <c r="V93" i="15" s="1"/>
  <c r="T93" i="15"/>
  <c r="Q93" i="15"/>
  <c r="R93" i="15" s="1"/>
  <c r="O93" i="15"/>
  <c r="M93" i="15"/>
  <c r="Y84" i="15"/>
  <c r="Z84" i="15" s="1"/>
  <c r="W84" i="15"/>
  <c r="X84" i="15" s="1"/>
  <c r="U84" i="15"/>
  <c r="V84" i="15" s="1"/>
  <c r="S84" i="15"/>
  <c r="T84" i="15" s="1"/>
  <c r="Q84" i="15"/>
  <c r="R84" i="15" s="1"/>
  <c r="O84" i="15"/>
  <c r="P84" i="15" s="1"/>
  <c r="M84" i="15"/>
  <c r="N84" i="15" s="1"/>
  <c r="L84" i="15"/>
  <c r="Z82" i="15"/>
  <c r="X82" i="15"/>
  <c r="V82" i="15"/>
  <c r="T82" i="15"/>
  <c r="R82" i="15"/>
  <c r="P82" i="15"/>
  <c r="N82" i="15"/>
  <c r="W70" i="15"/>
  <c r="X70" i="15" s="1"/>
  <c r="U70" i="15"/>
  <c r="V70" i="15" s="1"/>
  <c r="T70" i="15"/>
  <c r="Q70" i="15"/>
  <c r="R70" i="15" s="1"/>
  <c r="O70" i="15"/>
  <c r="M70" i="15"/>
  <c r="W69" i="15"/>
  <c r="X69" i="15" s="1"/>
  <c r="U69" i="15"/>
  <c r="V69" i="15" s="1"/>
  <c r="T69" i="15"/>
  <c r="Q69" i="15"/>
  <c r="R69" i="15" s="1"/>
  <c r="O69" i="15"/>
  <c r="P69" i="15" s="1"/>
  <c r="M69" i="15"/>
  <c r="W68" i="15"/>
  <c r="U68" i="15"/>
  <c r="V68" i="15" s="1"/>
  <c r="T68" i="15"/>
  <c r="Q68" i="15"/>
  <c r="R68" i="15" s="1"/>
  <c r="O68" i="15"/>
  <c r="P68" i="15" s="1"/>
  <c r="M68" i="15"/>
  <c r="W67" i="15"/>
  <c r="U67" i="15"/>
  <c r="V67" i="15" s="1"/>
  <c r="T67" i="15"/>
  <c r="Q67" i="15"/>
  <c r="R67" i="15" s="1"/>
  <c r="O67" i="15"/>
  <c r="P67" i="15" s="1"/>
  <c r="M67" i="15"/>
  <c r="W66" i="15"/>
  <c r="X66" i="15" s="1"/>
  <c r="U66" i="15"/>
  <c r="V66" i="15" s="1"/>
  <c r="T66" i="15"/>
  <c r="Q66" i="15"/>
  <c r="R66" i="15" s="1"/>
  <c r="O66" i="15"/>
  <c r="P66" i="15" s="1"/>
  <c r="M66" i="15"/>
  <c r="W65" i="15"/>
  <c r="U65" i="15"/>
  <c r="V65" i="15" s="1"/>
  <c r="T65" i="15"/>
  <c r="Q65" i="15"/>
  <c r="R65" i="15" s="1"/>
  <c r="O65" i="15"/>
  <c r="P65" i="15" s="1"/>
  <c r="M65" i="15"/>
  <c r="L56" i="15"/>
  <c r="Z54" i="15"/>
  <c r="X54" i="15"/>
  <c r="V54" i="15"/>
  <c r="T54" i="15"/>
  <c r="R54" i="15"/>
  <c r="P54" i="15"/>
  <c r="N54" i="15"/>
  <c r="W37" i="15"/>
  <c r="X37" i="15" s="1"/>
  <c r="U37" i="15"/>
  <c r="V37" i="15" s="1"/>
  <c r="T37" i="15"/>
  <c r="Q37" i="15"/>
  <c r="R37" i="15" s="1"/>
  <c r="O37" i="15"/>
  <c r="P37" i="15" s="1"/>
  <c r="M37" i="15"/>
  <c r="W36" i="15"/>
  <c r="X36" i="15" s="1"/>
  <c r="U36" i="15"/>
  <c r="V36" i="15" s="1"/>
  <c r="T36" i="15"/>
  <c r="Q36" i="15"/>
  <c r="R36" i="15" s="1"/>
  <c r="O36" i="15"/>
  <c r="P36" i="15" s="1"/>
  <c r="M36" i="15"/>
  <c r="L27" i="15"/>
  <c r="W18" i="15"/>
  <c r="U18" i="15"/>
  <c r="V18" i="15" s="1"/>
  <c r="T18" i="15"/>
  <c r="Q18" i="15"/>
  <c r="R18" i="15" s="1"/>
  <c r="W17" i="15"/>
  <c r="Y17" i="15" s="1"/>
  <c r="Z17" i="15" s="1"/>
  <c r="U17" i="15"/>
  <c r="V17" i="15" s="1"/>
  <c r="T17" i="15"/>
  <c r="Q17" i="15"/>
  <c r="R17" i="15" s="1"/>
  <c r="W16" i="15"/>
  <c r="Y16" i="15" s="1"/>
  <c r="Z16" i="15" s="1"/>
  <c r="U16" i="15"/>
  <c r="V16" i="15" s="1"/>
  <c r="T16" i="15"/>
  <c r="Q16" i="15"/>
  <c r="R16" i="15" s="1"/>
  <c r="W15" i="15"/>
  <c r="Y15" i="15" s="1"/>
  <c r="Z15" i="15" s="1"/>
  <c r="U15" i="15"/>
  <c r="V15" i="15" s="1"/>
  <c r="T15" i="15"/>
  <c r="Q15" i="15"/>
  <c r="R15" i="15" s="1"/>
  <c r="W14" i="15"/>
  <c r="X14" i="15" s="1"/>
  <c r="U14" i="15"/>
  <c r="V14" i="15" s="1"/>
  <c r="T14" i="15"/>
  <c r="Q14" i="15"/>
  <c r="R14" i="15" s="1"/>
  <c r="W13" i="15"/>
  <c r="Y13" i="15" s="1"/>
  <c r="Z13" i="15" s="1"/>
  <c r="U13" i="15"/>
  <c r="V13" i="15" s="1"/>
  <c r="T13" i="15"/>
  <c r="Q13" i="15"/>
  <c r="R13" i="15" s="1"/>
  <c r="O13" i="15"/>
  <c r="P13" i="15" s="1"/>
  <c r="M13" i="15"/>
  <c r="W12" i="15"/>
  <c r="X12" i="15" s="1"/>
  <c r="U12" i="15"/>
  <c r="V12" i="15" s="1"/>
  <c r="T12" i="15"/>
  <c r="Q12" i="15"/>
  <c r="R12" i="15" s="1"/>
  <c r="O12" i="15"/>
  <c r="P12" i="15" s="1"/>
  <c r="M12" i="15"/>
  <c r="W11" i="15"/>
  <c r="Y11" i="15" s="1"/>
  <c r="Z11" i="15" s="1"/>
  <c r="U11" i="15"/>
  <c r="V11" i="15" s="1"/>
  <c r="T11" i="15"/>
  <c r="Q11" i="15"/>
  <c r="R11" i="15" s="1"/>
  <c r="O11" i="15"/>
  <c r="P11" i="15" s="1"/>
  <c r="M11" i="15"/>
  <c r="W10" i="15"/>
  <c r="Y10" i="15" s="1"/>
  <c r="Z10" i="15" s="1"/>
  <c r="U10" i="15"/>
  <c r="V10" i="15" s="1"/>
  <c r="T10" i="15"/>
  <c r="Q10" i="15"/>
  <c r="R10" i="15" s="1"/>
  <c r="O10" i="15"/>
  <c r="P10" i="15" s="1"/>
  <c r="M10" i="15"/>
  <c r="W9" i="15"/>
  <c r="Y9" i="15" s="1"/>
  <c r="Z9" i="15" s="1"/>
  <c r="U9" i="15"/>
  <c r="V9" i="15" s="1"/>
  <c r="T9" i="15"/>
  <c r="Q9" i="15"/>
  <c r="R9" i="15" s="1"/>
  <c r="O9" i="15"/>
  <c r="P9" i="15" s="1"/>
  <c r="M9" i="15"/>
  <c r="W8" i="15"/>
  <c r="Y8" i="15" s="1"/>
  <c r="Z8" i="15" s="1"/>
  <c r="U8" i="15"/>
  <c r="V8" i="15" s="1"/>
  <c r="T8" i="15"/>
  <c r="Q8" i="15"/>
  <c r="R8" i="15" s="1"/>
  <c r="O8" i="15"/>
  <c r="P8" i="15" s="1"/>
  <c r="M8" i="15"/>
  <c r="W7" i="15"/>
  <c r="Y7" i="15" s="1"/>
  <c r="Z7" i="15" s="1"/>
  <c r="U7" i="15"/>
  <c r="V7" i="15" s="1"/>
  <c r="T7" i="15"/>
  <c r="Q7" i="15"/>
  <c r="R7" i="15" s="1"/>
  <c r="O7" i="15"/>
  <c r="P7" i="15" s="1"/>
  <c r="M7" i="15"/>
  <c r="L113" i="14"/>
  <c r="U104" i="14"/>
  <c r="V104" i="14" s="1"/>
  <c r="T104" i="14"/>
  <c r="U103" i="14"/>
  <c r="V103" i="14" s="1"/>
  <c r="T103" i="14"/>
  <c r="U102" i="14"/>
  <c r="V102" i="14" s="1"/>
  <c r="T102" i="14"/>
  <c r="U101" i="14"/>
  <c r="V101" i="14" s="1"/>
  <c r="T101" i="14"/>
  <c r="U100" i="14"/>
  <c r="V100" i="14" s="1"/>
  <c r="T100" i="14"/>
  <c r="U99" i="14"/>
  <c r="V99" i="14" s="1"/>
  <c r="T99" i="14"/>
  <c r="W98" i="14"/>
  <c r="Y98" i="14" s="1"/>
  <c r="Z98" i="14" s="1"/>
  <c r="U98" i="14"/>
  <c r="V98" i="14" s="1"/>
  <c r="T98" i="14"/>
  <c r="Q98" i="14"/>
  <c r="R98" i="14" s="1"/>
  <c r="Q113" i="14" s="1"/>
  <c r="R113" i="14" s="1"/>
  <c r="O98" i="14"/>
  <c r="P98" i="14" s="1"/>
  <c r="O113" i="14" s="1"/>
  <c r="P113" i="14" s="1"/>
  <c r="M98" i="14"/>
  <c r="W97" i="14"/>
  <c r="U97" i="14"/>
  <c r="V97" i="14" s="1"/>
  <c r="T97" i="14"/>
  <c r="Q97" i="14"/>
  <c r="R97" i="14" s="1"/>
  <c r="O97" i="14"/>
  <c r="P97" i="14" s="1"/>
  <c r="M97" i="14"/>
  <c r="W96" i="14"/>
  <c r="Y96" i="14" s="1"/>
  <c r="Z96" i="14" s="1"/>
  <c r="U96" i="14"/>
  <c r="V96" i="14" s="1"/>
  <c r="T96" i="14"/>
  <c r="Q96" i="14"/>
  <c r="R96" i="14" s="1"/>
  <c r="O96" i="14"/>
  <c r="P96" i="14" s="1"/>
  <c r="M96" i="14"/>
  <c r="W95" i="14"/>
  <c r="X95" i="14" s="1"/>
  <c r="U95" i="14"/>
  <c r="V95" i="14" s="1"/>
  <c r="T95" i="14"/>
  <c r="Q95" i="14"/>
  <c r="R95" i="14" s="1"/>
  <c r="O95" i="14"/>
  <c r="P95" i="14" s="1"/>
  <c r="M95" i="14"/>
  <c r="W94" i="14"/>
  <c r="U94" i="14"/>
  <c r="V94" i="14" s="1"/>
  <c r="T94" i="14"/>
  <c r="Q94" i="14"/>
  <c r="R94" i="14" s="1"/>
  <c r="O94" i="14"/>
  <c r="P94" i="14" s="1"/>
  <c r="M94" i="14"/>
  <c r="W93" i="14"/>
  <c r="Y93" i="14" s="1"/>
  <c r="Z93" i="14" s="1"/>
  <c r="U93" i="14"/>
  <c r="V93" i="14" s="1"/>
  <c r="T93" i="14"/>
  <c r="Q93" i="14"/>
  <c r="R93" i="14" s="1"/>
  <c r="O93" i="14"/>
  <c r="P93" i="14" s="1"/>
  <c r="M93" i="14"/>
  <c r="L84" i="14"/>
  <c r="Z82" i="14"/>
  <c r="X82" i="14"/>
  <c r="V82" i="14"/>
  <c r="T82" i="14"/>
  <c r="R82" i="14"/>
  <c r="P82" i="14"/>
  <c r="N82" i="14"/>
  <c r="U76" i="14"/>
  <c r="V76" i="14" s="1"/>
  <c r="T76" i="14"/>
  <c r="U75" i="14"/>
  <c r="V75" i="14" s="1"/>
  <c r="T75" i="14"/>
  <c r="U74" i="14"/>
  <c r="V74" i="14" s="1"/>
  <c r="T74" i="14"/>
  <c r="U73" i="14"/>
  <c r="V73" i="14" s="1"/>
  <c r="T73" i="14"/>
  <c r="U72" i="14"/>
  <c r="V72" i="14" s="1"/>
  <c r="T72" i="14"/>
  <c r="U71" i="14"/>
  <c r="V71" i="14" s="1"/>
  <c r="T71" i="14"/>
  <c r="W70" i="14"/>
  <c r="U70" i="14"/>
  <c r="V70" i="14" s="1"/>
  <c r="T70" i="14"/>
  <c r="Q70" i="14"/>
  <c r="R70" i="14" s="1"/>
  <c r="O70" i="14"/>
  <c r="P70" i="14" s="1"/>
  <c r="M70" i="14"/>
  <c r="W69" i="14"/>
  <c r="X69" i="14" s="1"/>
  <c r="U69" i="14"/>
  <c r="V69" i="14" s="1"/>
  <c r="T69" i="14"/>
  <c r="Q69" i="14"/>
  <c r="R69" i="14" s="1"/>
  <c r="O69" i="14"/>
  <c r="P69" i="14" s="1"/>
  <c r="M69" i="14"/>
  <c r="W68" i="14"/>
  <c r="U68" i="14"/>
  <c r="V68" i="14" s="1"/>
  <c r="T68" i="14"/>
  <c r="Q68" i="14"/>
  <c r="R68" i="14" s="1"/>
  <c r="O68" i="14"/>
  <c r="P68" i="14" s="1"/>
  <c r="M68" i="14"/>
  <c r="W67" i="14"/>
  <c r="X67" i="14" s="1"/>
  <c r="U67" i="14"/>
  <c r="V67" i="14" s="1"/>
  <c r="T67" i="14"/>
  <c r="Q67" i="14"/>
  <c r="R67" i="14" s="1"/>
  <c r="O67" i="14"/>
  <c r="P67" i="14" s="1"/>
  <c r="M67" i="14"/>
  <c r="W66" i="14"/>
  <c r="X66" i="14" s="1"/>
  <c r="U66" i="14"/>
  <c r="V66" i="14" s="1"/>
  <c r="T66" i="14"/>
  <c r="Q66" i="14"/>
  <c r="R66" i="14" s="1"/>
  <c r="O66" i="14"/>
  <c r="P66" i="14" s="1"/>
  <c r="M66" i="14"/>
  <c r="W65" i="14"/>
  <c r="U65" i="14"/>
  <c r="V65" i="14" s="1"/>
  <c r="T65" i="14"/>
  <c r="Q65" i="14"/>
  <c r="R65" i="14" s="1"/>
  <c r="O65" i="14"/>
  <c r="M65" i="14"/>
  <c r="L56" i="14"/>
  <c r="Z54" i="14"/>
  <c r="X54" i="14"/>
  <c r="V54" i="14"/>
  <c r="T54" i="14"/>
  <c r="R54" i="14"/>
  <c r="P54" i="14"/>
  <c r="N54" i="14"/>
  <c r="U47" i="14"/>
  <c r="V47" i="14" s="1"/>
  <c r="T47" i="14"/>
  <c r="U46" i="14"/>
  <c r="V46" i="14" s="1"/>
  <c r="T46" i="14"/>
  <c r="U45" i="14"/>
  <c r="V45" i="14" s="1"/>
  <c r="T45" i="14"/>
  <c r="U44" i="14"/>
  <c r="V44" i="14" s="1"/>
  <c r="T44" i="14"/>
  <c r="U43" i="14"/>
  <c r="V43" i="14" s="1"/>
  <c r="T43" i="14"/>
  <c r="U42" i="14"/>
  <c r="V42" i="14" s="1"/>
  <c r="T42" i="14"/>
  <c r="W41" i="14"/>
  <c r="U41" i="14"/>
  <c r="V41" i="14" s="1"/>
  <c r="T41" i="14"/>
  <c r="Q41" i="14"/>
  <c r="R41" i="14" s="1"/>
  <c r="O41" i="14"/>
  <c r="P41" i="14" s="1"/>
  <c r="M41" i="14"/>
  <c r="W40" i="14"/>
  <c r="Y40" i="14" s="1"/>
  <c r="Z40" i="14" s="1"/>
  <c r="U40" i="14"/>
  <c r="V40" i="14" s="1"/>
  <c r="T40" i="14"/>
  <c r="Q40" i="14"/>
  <c r="R40" i="14" s="1"/>
  <c r="O40" i="14"/>
  <c r="P40" i="14" s="1"/>
  <c r="M40" i="14"/>
  <c r="W39" i="14"/>
  <c r="Y39" i="14" s="1"/>
  <c r="Z39" i="14" s="1"/>
  <c r="U39" i="14"/>
  <c r="V39" i="14" s="1"/>
  <c r="T39" i="14"/>
  <c r="Q39" i="14"/>
  <c r="R39" i="14" s="1"/>
  <c r="O39" i="14"/>
  <c r="P39" i="14" s="1"/>
  <c r="M39" i="14"/>
  <c r="W38" i="14"/>
  <c r="U38" i="14"/>
  <c r="V38" i="14" s="1"/>
  <c r="T38" i="14"/>
  <c r="Q38" i="14"/>
  <c r="R38" i="14" s="1"/>
  <c r="O38" i="14"/>
  <c r="P38" i="14" s="1"/>
  <c r="M38" i="14"/>
  <c r="W37" i="14"/>
  <c r="Y37" i="14" s="1"/>
  <c r="Z37" i="14" s="1"/>
  <c r="U37" i="14"/>
  <c r="V37" i="14" s="1"/>
  <c r="T37" i="14"/>
  <c r="Q37" i="14"/>
  <c r="R37" i="14" s="1"/>
  <c r="O37" i="14"/>
  <c r="P37" i="14" s="1"/>
  <c r="M37" i="14"/>
  <c r="W36" i="14"/>
  <c r="Y36" i="14" s="1"/>
  <c r="Z36" i="14" s="1"/>
  <c r="U36" i="14"/>
  <c r="V36" i="14" s="1"/>
  <c r="T36" i="14"/>
  <c r="Q36" i="14"/>
  <c r="R36" i="14" s="1"/>
  <c r="O36" i="14"/>
  <c r="P36" i="14" s="1"/>
  <c r="M36" i="14"/>
  <c r="L27" i="14"/>
  <c r="Z25" i="14"/>
  <c r="X25" i="14"/>
  <c r="V25" i="14"/>
  <c r="T25" i="14"/>
  <c r="R25" i="14"/>
  <c r="P25" i="14"/>
  <c r="N25" i="14"/>
  <c r="U18" i="14"/>
  <c r="V18" i="14" s="1"/>
  <c r="T18" i="14"/>
  <c r="U17" i="14"/>
  <c r="V17" i="14" s="1"/>
  <c r="T17" i="14"/>
  <c r="U16" i="14"/>
  <c r="V16" i="14" s="1"/>
  <c r="T16" i="14"/>
  <c r="U15" i="14"/>
  <c r="V15" i="14" s="1"/>
  <c r="T15" i="14"/>
  <c r="U14" i="14"/>
  <c r="V14" i="14" s="1"/>
  <c r="T14" i="14"/>
  <c r="Q14" i="14"/>
  <c r="R14" i="14" s="1"/>
  <c r="O14" i="14"/>
  <c r="P14" i="14" s="1"/>
  <c r="M14" i="14"/>
  <c r="U13" i="14"/>
  <c r="V13" i="14" s="1"/>
  <c r="T13" i="14"/>
  <c r="Q13" i="14"/>
  <c r="R13" i="14" s="1"/>
  <c r="O13" i="14"/>
  <c r="P13" i="14" s="1"/>
  <c r="M13" i="14"/>
  <c r="W12" i="14"/>
  <c r="Y12" i="14" s="1"/>
  <c r="Z12" i="14" s="1"/>
  <c r="U12" i="14"/>
  <c r="V12" i="14" s="1"/>
  <c r="T12" i="14"/>
  <c r="Q12" i="14"/>
  <c r="R12" i="14" s="1"/>
  <c r="O12" i="14"/>
  <c r="P12" i="14" s="1"/>
  <c r="M12" i="14"/>
  <c r="W11" i="14"/>
  <c r="U11" i="14"/>
  <c r="V11" i="14" s="1"/>
  <c r="T11" i="14"/>
  <c r="Q11" i="14"/>
  <c r="R11" i="14" s="1"/>
  <c r="O11" i="14"/>
  <c r="P11" i="14" s="1"/>
  <c r="M11" i="14"/>
  <c r="W10" i="14"/>
  <c r="X10" i="14" s="1"/>
  <c r="U10" i="14"/>
  <c r="V10" i="14" s="1"/>
  <c r="T10" i="14"/>
  <c r="Q10" i="14"/>
  <c r="R10" i="14" s="1"/>
  <c r="O10" i="14"/>
  <c r="P10" i="14" s="1"/>
  <c r="M10" i="14"/>
  <c r="W9" i="14"/>
  <c r="Y9" i="14" s="1"/>
  <c r="Z9" i="14" s="1"/>
  <c r="U9" i="14"/>
  <c r="V9" i="14" s="1"/>
  <c r="T9" i="14"/>
  <c r="Q9" i="14"/>
  <c r="R9" i="14" s="1"/>
  <c r="O9" i="14"/>
  <c r="P9" i="14" s="1"/>
  <c r="M9" i="14"/>
  <c r="W8" i="14"/>
  <c r="Y8" i="14" s="1"/>
  <c r="Z8" i="14" s="1"/>
  <c r="U8" i="14"/>
  <c r="V8" i="14" s="1"/>
  <c r="T8" i="14"/>
  <c r="Q8" i="14"/>
  <c r="R8" i="14" s="1"/>
  <c r="O8" i="14"/>
  <c r="P8" i="14" s="1"/>
  <c r="M8" i="14"/>
  <c r="W7" i="14"/>
  <c r="X7" i="14" s="1"/>
  <c r="U7" i="14"/>
  <c r="V7" i="14" s="1"/>
  <c r="T7" i="14"/>
  <c r="Q7" i="14"/>
  <c r="R7" i="14" s="1"/>
  <c r="O7" i="14"/>
  <c r="P7" i="14" s="1"/>
  <c r="M7" i="14"/>
  <c r="L113" i="13"/>
  <c r="Z111" i="13"/>
  <c r="X111" i="13"/>
  <c r="V111" i="13"/>
  <c r="T111" i="13"/>
  <c r="R111" i="13"/>
  <c r="P111" i="13"/>
  <c r="N111" i="13"/>
  <c r="W98" i="13"/>
  <c r="X98" i="13" s="1"/>
  <c r="U98" i="13"/>
  <c r="V98" i="13" s="1"/>
  <c r="T98" i="13"/>
  <c r="Q98" i="13"/>
  <c r="R98" i="13" s="1"/>
  <c r="O98" i="13"/>
  <c r="P98" i="13" s="1"/>
  <c r="M98" i="13"/>
  <c r="W97" i="13"/>
  <c r="X97" i="13" s="1"/>
  <c r="U97" i="13"/>
  <c r="V97" i="13" s="1"/>
  <c r="T97" i="13"/>
  <c r="Q97" i="13"/>
  <c r="R97" i="13" s="1"/>
  <c r="O97" i="13"/>
  <c r="P97" i="13" s="1"/>
  <c r="M97" i="13"/>
  <c r="W96" i="13"/>
  <c r="X96" i="13" s="1"/>
  <c r="U96" i="13"/>
  <c r="V96" i="13" s="1"/>
  <c r="T96" i="13"/>
  <c r="Q96" i="13"/>
  <c r="R96" i="13" s="1"/>
  <c r="O96" i="13"/>
  <c r="P96" i="13" s="1"/>
  <c r="M96" i="13"/>
  <c r="W95" i="13"/>
  <c r="X95" i="13" s="1"/>
  <c r="U95" i="13"/>
  <c r="V95" i="13" s="1"/>
  <c r="T95" i="13"/>
  <c r="Q95" i="13"/>
  <c r="R95" i="13" s="1"/>
  <c r="O95" i="13"/>
  <c r="P95" i="13" s="1"/>
  <c r="M95" i="13"/>
  <c r="W94" i="13"/>
  <c r="Y94" i="13" s="1"/>
  <c r="Z94" i="13" s="1"/>
  <c r="U94" i="13"/>
  <c r="V94" i="13" s="1"/>
  <c r="T94" i="13"/>
  <c r="Q94" i="13"/>
  <c r="R94" i="13" s="1"/>
  <c r="O94" i="13"/>
  <c r="P94" i="13" s="1"/>
  <c r="M94" i="13"/>
  <c r="W93" i="13"/>
  <c r="Y93" i="13" s="1"/>
  <c r="Z93" i="13" s="1"/>
  <c r="U93" i="13"/>
  <c r="V93" i="13" s="1"/>
  <c r="T93" i="13"/>
  <c r="Q93" i="13"/>
  <c r="R93" i="13" s="1"/>
  <c r="O93" i="13"/>
  <c r="P93" i="13" s="1"/>
  <c r="M93" i="13"/>
  <c r="Y84" i="13"/>
  <c r="Z84" i="13" s="1"/>
  <c r="W84" i="13"/>
  <c r="X84" i="13" s="1"/>
  <c r="U84" i="13"/>
  <c r="V84" i="13" s="1"/>
  <c r="S84" i="13"/>
  <c r="T84" i="13" s="1"/>
  <c r="Q84" i="13"/>
  <c r="R84" i="13" s="1"/>
  <c r="O84" i="13"/>
  <c r="P84" i="13" s="1"/>
  <c r="M84" i="13"/>
  <c r="N84" i="13" s="1"/>
  <c r="L84" i="13"/>
  <c r="W70" i="13"/>
  <c r="X70" i="13" s="1"/>
  <c r="U70" i="13"/>
  <c r="V70" i="13" s="1"/>
  <c r="T70" i="13"/>
  <c r="Q70" i="13"/>
  <c r="R70" i="13" s="1"/>
  <c r="O70" i="13"/>
  <c r="P70" i="13" s="1"/>
  <c r="M70" i="13"/>
  <c r="W69" i="13"/>
  <c r="X69" i="13" s="1"/>
  <c r="U69" i="13"/>
  <c r="V69" i="13" s="1"/>
  <c r="T69" i="13"/>
  <c r="Q69" i="13"/>
  <c r="R69" i="13" s="1"/>
  <c r="O69" i="13"/>
  <c r="P69" i="13" s="1"/>
  <c r="M69" i="13"/>
  <c r="W68" i="13"/>
  <c r="X68" i="13" s="1"/>
  <c r="U68" i="13"/>
  <c r="V68" i="13" s="1"/>
  <c r="T68" i="13"/>
  <c r="Q68" i="13"/>
  <c r="R68" i="13" s="1"/>
  <c r="O68" i="13"/>
  <c r="P68" i="13" s="1"/>
  <c r="M68" i="13"/>
  <c r="W67" i="13"/>
  <c r="Y67" i="13" s="1"/>
  <c r="Z67" i="13" s="1"/>
  <c r="U67" i="13"/>
  <c r="V67" i="13" s="1"/>
  <c r="T67" i="13"/>
  <c r="Q67" i="13"/>
  <c r="R67" i="13" s="1"/>
  <c r="O67" i="13"/>
  <c r="P67" i="13" s="1"/>
  <c r="M67" i="13"/>
  <c r="W66" i="13"/>
  <c r="X66" i="13" s="1"/>
  <c r="U66" i="13"/>
  <c r="V66" i="13" s="1"/>
  <c r="T66" i="13"/>
  <c r="Q66" i="13"/>
  <c r="R66" i="13" s="1"/>
  <c r="O66" i="13"/>
  <c r="P66" i="13" s="1"/>
  <c r="M66" i="13"/>
  <c r="W65" i="13"/>
  <c r="Y65" i="13" s="1"/>
  <c r="Z65" i="13" s="1"/>
  <c r="U65" i="13"/>
  <c r="V65" i="13" s="1"/>
  <c r="T65" i="13"/>
  <c r="Q65" i="13"/>
  <c r="R65" i="13" s="1"/>
  <c r="O65" i="13"/>
  <c r="P65" i="13" s="1"/>
  <c r="M65" i="13"/>
  <c r="L56" i="13"/>
  <c r="Z54" i="13"/>
  <c r="X54" i="13"/>
  <c r="V54" i="13"/>
  <c r="T54" i="13"/>
  <c r="R54" i="13"/>
  <c r="P54" i="13"/>
  <c r="N54" i="13"/>
  <c r="W41" i="13"/>
  <c r="U41" i="13"/>
  <c r="V41" i="13" s="1"/>
  <c r="T41" i="13"/>
  <c r="Q41" i="13"/>
  <c r="R41" i="13" s="1"/>
  <c r="O41" i="13"/>
  <c r="P41" i="13" s="1"/>
  <c r="M41" i="13"/>
  <c r="W40" i="13"/>
  <c r="X40" i="13" s="1"/>
  <c r="U40" i="13"/>
  <c r="V40" i="13" s="1"/>
  <c r="T40" i="13"/>
  <c r="Q40" i="13"/>
  <c r="R40" i="13" s="1"/>
  <c r="O40" i="13"/>
  <c r="P40" i="13" s="1"/>
  <c r="M40" i="13"/>
  <c r="W39" i="13"/>
  <c r="Y39" i="13" s="1"/>
  <c r="Z39" i="13" s="1"/>
  <c r="U39" i="13"/>
  <c r="V39" i="13" s="1"/>
  <c r="T39" i="13"/>
  <c r="Q39" i="13"/>
  <c r="R39" i="13" s="1"/>
  <c r="O39" i="13"/>
  <c r="P39" i="13" s="1"/>
  <c r="M39" i="13"/>
  <c r="W38" i="13"/>
  <c r="Y38" i="13" s="1"/>
  <c r="Z38" i="13" s="1"/>
  <c r="U38" i="13"/>
  <c r="V38" i="13" s="1"/>
  <c r="T38" i="13"/>
  <c r="Q38" i="13"/>
  <c r="R38" i="13" s="1"/>
  <c r="O38" i="13"/>
  <c r="P38" i="13" s="1"/>
  <c r="M38" i="13"/>
  <c r="W37" i="13"/>
  <c r="Y37" i="13" s="1"/>
  <c r="Z37" i="13" s="1"/>
  <c r="U37" i="13"/>
  <c r="V37" i="13" s="1"/>
  <c r="T37" i="13"/>
  <c r="Q37" i="13"/>
  <c r="R37" i="13" s="1"/>
  <c r="O37" i="13"/>
  <c r="P37" i="13" s="1"/>
  <c r="M37" i="13"/>
  <c r="W36" i="13"/>
  <c r="Y36" i="13" s="1"/>
  <c r="Z36" i="13" s="1"/>
  <c r="U36" i="13"/>
  <c r="V36" i="13" s="1"/>
  <c r="T36" i="13"/>
  <c r="Q36" i="13"/>
  <c r="R36" i="13" s="1"/>
  <c r="O36" i="13"/>
  <c r="P36" i="13" s="1"/>
  <c r="M36" i="13"/>
  <c r="L27" i="13"/>
  <c r="Z25" i="13"/>
  <c r="X25" i="13"/>
  <c r="V25" i="13"/>
  <c r="T25" i="13"/>
  <c r="R25" i="13"/>
  <c r="P25" i="13"/>
  <c r="N25" i="13"/>
  <c r="W12" i="13"/>
  <c r="X12" i="13" s="1"/>
  <c r="U12" i="13"/>
  <c r="V12" i="13" s="1"/>
  <c r="T12" i="13"/>
  <c r="Q12" i="13"/>
  <c r="R12" i="13" s="1"/>
  <c r="O12" i="13"/>
  <c r="P12" i="13" s="1"/>
  <c r="M12" i="13"/>
  <c r="W11" i="13"/>
  <c r="X11" i="13" s="1"/>
  <c r="U11" i="13"/>
  <c r="V11" i="13" s="1"/>
  <c r="T11" i="13"/>
  <c r="Q11" i="13"/>
  <c r="R11" i="13" s="1"/>
  <c r="O11" i="13"/>
  <c r="P11" i="13" s="1"/>
  <c r="M11" i="13"/>
  <c r="W10" i="13"/>
  <c r="X10" i="13" s="1"/>
  <c r="U10" i="13"/>
  <c r="V10" i="13" s="1"/>
  <c r="T10" i="13"/>
  <c r="Q10" i="13"/>
  <c r="R10" i="13" s="1"/>
  <c r="O10" i="13"/>
  <c r="P10" i="13" s="1"/>
  <c r="M10" i="13"/>
  <c r="W9" i="13"/>
  <c r="X9" i="13" s="1"/>
  <c r="U9" i="13"/>
  <c r="V9" i="13" s="1"/>
  <c r="T9" i="13"/>
  <c r="Q9" i="13"/>
  <c r="R9" i="13" s="1"/>
  <c r="O9" i="13"/>
  <c r="P9" i="13" s="1"/>
  <c r="M9" i="13"/>
  <c r="W8" i="13"/>
  <c r="X8" i="13" s="1"/>
  <c r="U8" i="13"/>
  <c r="V8" i="13" s="1"/>
  <c r="T8" i="13"/>
  <c r="Q8" i="13"/>
  <c r="R8" i="13" s="1"/>
  <c r="O8" i="13"/>
  <c r="P8" i="13" s="1"/>
  <c r="M8" i="13"/>
  <c r="W7" i="13"/>
  <c r="U7" i="13"/>
  <c r="V7" i="13" s="1"/>
  <c r="T7" i="13"/>
  <c r="Q7" i="13"/>
  <c r="R7" i="13" s="1"/>
  <c r="O7" i="13"/>
  <c r="P7" i="13" s="1"/>
  <c r="M7" i="13"/>
  <c r="Y113" i="12"/>
  <c r="Z113" i="12" s="1"/>
  <c r="W113" i="12"/>
  <c r="X113" i="12" s="1"/>
  <c r="U113" i="12"/>
  <c r="V113" i="12" s="1"/>
  <c r="S113" i="12"/>
  <c r="T113" i="12" s="1"/>
  <c r="Q113" i="12"/>
  <c r="R113" i="12" s="1"/>
  <c r="O113" i="12"/>
  <c r="P113" i="12" s="1"/>
  <c r="M113" i="12"/>
  <c r="N113" i="12" s="1"/>
  <c r="L113" i="12"/>
  <c r="Z111" i="12"/>
  <c r="X111" i="12"/>
  <c r="V111" i="12"/>
  <c r="T111" i="12"/>
  <c r="R111" i="12"/>
  <c r="P111" i="12"/>
  <c r="N111" i="12"/>
  <c r="W98" i="12"/>
  <c r="U98" i="12"/>
  <c r="V98" i="12" s="1"/>
  <c r="T98" i="12"/>
  <c r="Q98" i="12"/>
  <c r="R98" i="12" s="1"/>
  <c r="O98" i="12"/>
  <c r="P98" i="12" s="1"/>
  <c r="M98" i="12"/>
  <c r="W97" i="12"/>
  <c r="U97" i="12"/>
  <c r="V97" i="12" s="1"/>
  <c r="T97" i="12"/>
  <c r="Q97" i="12"/>
  <c r="R97" i="12" s="1"/>
  <c r="O97" i="12"/>
  <c r="P97" i="12" s="1"/>
  <c r="M97" i="12"/>
  <c r="W96" i="12"/>
  <c r="X96" i="12" s="1"/>
  <c r="U96" i="12"/>
  <c r="V96" i="12" s="1"/>
  <c r="T96" i="12"/>
  <c r="Q96" i="12"/>
  <c r="R96" i="12" s="1"/>
  <c r="O96" i="12"/>
  <c r="P96" i="12" s="1"/>
  <c r="M96" i="12"/>
  <c r="W95" i="12"/>
  <c r="Y95" i="12" s="1"/>
  <c r="Z95" i="12" s="1"/>
  <c r="U95" i="12"/>
  <c r="V95" i="12" s="1"/>
  <c r="T95" i="12"/>
  <c r="Q95" i="12"/>
  <c r="R95" i="12" s="1"/>
  <c r="O95" i="12"/>
  <c r="P95" i="12" s="1"/>
  <c r="M95" i="12"/>
  <c r="W94" i="12"/>
  <c r="U94" i="12"/>
  <c r="V94" i="12" s="1"/>
  <c r="T94" i="12"/>
  <c r="Q94" i="12"/>
  <c r="R94" i="12" s="1"/>
  <c r="O94" i="12"/>
  <c r="P94" i="12" s="1"/>
  <c r="M94" i="12"/>
  <c r="W93" i="12"/>
  <c r="U93" i="12"/>
  <c r="V93" i="12" s="1"/>
  <c r="T93" i="12"/>
  <c r="Q93" i="12"/>
  <c r="R93" i="12" s="1"/>
  <c r="O93" i="12"/>
  <c r="P93" i="12" s="1"/>
  <c r="M93" i="12"/>
  <c r="L84" i="12"/>
  <c r="Z82" i="12"/>
  <c r="X82" i="12"/>
  <c r="V82" i="12"/>
  <c r="T82" i="12"/>
  <c r="R82" i="12"/>
  <c r="P82" i="12"/>
  <c r="N82" i="12"/>
  <c r="W70" i="12"/>
  <c r="Y70" i="12" s="1"/>
  <c r="Z70" i="12" s="1"/>
  <c r="U70" i="12"/>
  <c r="V70" i="12" s="1"/>
  <c r="T70" i="12"/>
  <c r="Q70" i="12"/>
  <c r="R70" i="12" s="1"/>
  <c r="O70" i="12"/>
  <c r="P70" i="12" s="1"/>
  <c r="M70" i="12"/>
  <c r="W69" i="12"/>
  <c r="Y69" i="12" s="1"/>
  <c r="Z69" i="12" s="1"/>
  <c r="U69" i="12"/>
  <c r="V69" i="12" s="1"/>
  <c r="T69" i="12"/>
  <c r="Q69" i="12"/>
  <c r="R69" i="12" s="1"/>
  <c r="O69" i="12"/>
  <c r="P69" i="12" s="1"/>
  <c r="M69" i="12"/>
  <c r="W68" i="12"/>
  <c r="U68" i="12"/>
  <c r="V68" i="12" s="1"/>
  <c r="T68" i="12"/>
  <c r="Q68" i="12"/>
  <c r="R68" i="12" s="1"/>
  <c r="O68" i="12"/>
  <c r="M68" i="12"/>
  <c r="W67" i="12"/>
  <c r="Y67" i="12" s="1"/>
  <c r="Z67" i="12" s="1"/>
  <c r="U67" i="12"/>
  <c r="V67" i="12" s="1"/>
  <c r="T67" i="12"/>
  <c r="Q67" i="12"/>
  <c r="R67" i="12" s="1"/>
  <c r="O67" i="12"/>
  <c r="P67" i="12" s="1"/>
  <c r="M67" i="12"/>
  <c r="W66" i="12"/>
  <c r="Y66" i="12" s="1"/>
  <c r="Z66" i="12" s="1"/>
  <c r="U66" i="12"/>
  <c r="V66" i="12" s="1"/>
  <c r="T66" i="12"/>
  <c r="Q66" i="12"/>
  <c r="R66" i="12" s="1"/>
  <c r="O66" i="12"/>
  <c r="P66" i="12" s="1"/>
  <c r="M66" i="12"/>
  <c r="W65" i="12"/>
  <c r="Y65" i="12" s="1"/>
  <c r="Z65" i="12" s="1"/>
  <c r="U65" i="12"/>
  <c r="V65" i="12" s="1"/>
  <c r="T65" i="12"/>
  <c r="L56" i="12"/>
  <c r="Z54" i="12"/>
  <c r="X54" i="12"/>
  <c r="V54" i="12"/>
  <c r="T54" i="12"/>
  <c r="R54" i="12"/>
  <c r="P54" i="12"/>
  <c r="N54" i="12"/>
  <c r="W41" i="12"/>
  <c r="U41" i="12"/>
  <c r="V41" i="12" s="1"/>
  <c r="T41" i="12"/>
  <c r="Q41" i="12"/>
  <c r="R41" i="12" s="1"/>
  <c r="O41" i="12"/>
  <c r="P41" i="12" s="1"/>
  <c r="M41" i="12"/>
  <c r="W40" i="12"/>
  <c r="X40" i="12" s="1"/>
  <c r="U40" i="12"/>
  <c r="V40" i="12" s="1"/>
  <c r="T40" i="12"/>
  <c r="Q40" i="12"/>
  <c r="R40" i="12" s="1"/>
  <c r="O40" i="12"/>
  <c r="P40" i="12" s="1"/>
  <c r="M40" i="12"/>
  <c r="W39" i="12"/>
  <c r="X39" i="12" s="1"/>
  <c r="U39" i="12"/>
  <c r="V39" i="12" s="1"/>
  <c r="T39" i="12"/>
  <c r="Q39" i="12"/>
  <c r="R39" i="12" s="1"/>
  <c r="O39" i="12"/>
  <c r="P39" i="12" s="1"/>
  <c r="M39" i="12"/>
  <c r="W38" i="12"/>
  <c r="U38" i="12"/>
  <c r="V38" i="12" s="1"/>
  <c r="T38" i="12"/>
  <c r="Q38" i="12"/>
  <c r="R38" i="12" s="1"/>
  <c r="O38" i="12"/>
  <c r="P38" i="12" s="1"/>
  <c r="M38" i="12"/>
  <c r="W37" i="12"/>
  <c r="X37" i="12" s="1"/>
  <c r="U37" i="12"/>
  <c r="V37" i="12" s="1"/>
  <c r="T37" i="12"/>
  <c r="Q37" i="12"/>
  <c r="R37" i="12" s="1"/>
  <c r="O37" i="12"/>
  <c r="P37" i="12" s="1"/>
  <c r="M37" i="12"/>
  <c r="W36" i="12"/>
  <c r="X36" i="12" s="1"/>
  <c r="U36" i="12"/>
  <c r="V36" i="12" s="1"/>
  <c r="T36" i="12"/>
  <c r="Q36" i="12"/>
  <c r="R36" i="12" s="1"/>
  <c r="O36" i="12"/>
  <c r="P36" i="12" s="1"/>
  <c r="M36" i="12"/>
  <c r="L27" i="12"/>
  <c r="Z25" i="12"/>
  <c r="X25" i="12"/>
  <c r="V25" i="12"/>
  <c r="T25" i="12"/>
  <c r="R25" i="12"/>
  <c r="P25" i="12"/>
  <c r="N25" i="12"/>
  <c r="W12" i="12"/>
  <c r="Y12" i="12" s="1"/>
  <c r="Z12" i="12" s="1"/>
  <c r="U12" i="12"/>
  <c r="V12" i="12" s="1"/>
  <c r="T12" i="12"/>
  <c r="Q12" i="12"/>
  <c r="R12" i="12" s="1"/>
  <c r="O12" i="12"/>
  <c r="P12" i="12" s="1"/>
  <c r="M12" i="12"/>
  <c r="W11" i="12"/>
  <c r="Y11" i="12" s="1"/>
  <c r="Z11" i="12" s="1"/>
  <c r="U11" i="12"/>
  <c r="V11" i="12" s="1"/>
  <c r="T11" i="12"/>
  <c r="Q11" i="12"/>
  <c r="R11" i="12" s="1"/>
  <c r="O11" i="12"/>
  <c r="P11" i="12" s="1"/>
  <c r="M11" i="12"/>
  <c r="W10" i="12"/>
  <c r="U10" i="12"/>
  <c r="V10" i="12" s="1"/>
  <c r="T10" i="12"/>
  <c r="Q10" i="12"/>
  <c r="R10" i="12" s="1"/>
  <c r="O10" i="12"/>
  <c r="P10" i="12" s="1"/>
  <c r="M10" i="12"/>
  <c r="W9" i="12"/>
  <c r="Y9" i="12" s="1"/>
  <c r="Z9" i="12" s="1"/>
  <c r="U9" i="12"/>
  <c r="V9" i="12" s="1"/>
  <c r="T9" i="12"/>
  <c r="Q9" i="12"/>
  <c r="R9" i="12" s="1"/>
  <c r="O9" i="12"/>
  <c r="M9" i="12"/>
  <c r="W8" i="12"/>
  <c r="Y8" i="12" s="1"/>
  <c r="Z8" i="12" s="1"/>
  <c r="U8" i="12"/>
  <c r="V8" i="12" s="1"/>
  <c r="T8" i="12"/>
  <c r="Q8" i="12"/>
  <c r="R8" i="12" s="1"/>
  <c r="O8" i="12"/>
  <c r="P8" i="12" s="1"/>
  <c r="M8" i="12"/>
  <c r="W7" i="12"/>
  <c r="Y7" i="12" s="1"/>
  <c r="Z7" i="12" s="1"/>
  <c r="U7" i="12"/>
  <c r="V7" i="12" s="1"/>
  <c r="T7" i="12"/>
  <c r="Q7" i="12"/>
  <c r="R7" i="12" s="1"/>
  <c r="O7" i="12"/>
  <c r="P7" i="12" s="1"/>
  <c r="M7" i="12"/>
  <c r="Y113" i="11"/>
  <c r="Z113" i="11" s="1"/>
  <c r="W113" i="11"/>
  <c r="X113" i="11" s="1"/>
  <c r="U113" i="11"/>
  <c r="V113" i="11" s="1"/>
  <c r="S113" i="11"/>
  <c r="T113" i="11" s="1"/>
  <c r="Q113" i="11"/>
  <c r="R113" i="11" s="1"/>
  <c r="O113" i="11"/>
  <c r="P113" i="11" s="1"/>
  <c r="M113" i="11"/>
  <c r="N113" i="11" s="1"/>
  <c r="L113" i="11"/>
  <c r="W104" i="11"/>
  <c r="Y104" i="11" s="1"/>
  <c r="U104" i="11"/>
  <c r="V104" i="11" s="1"/>
  <c r="T104" i="11"/>
  <c r="Q104" i="11"/>
  <c r="R104" i="11" s="1"/>
  <c r="O104" i="11"/>
  <c r="P104" i="11" s="1"/>
  <c r="M104" i="11"/>
  <c r="W103" i="11"/>
  <c r="U103" i="11"/>
  <c r="V103" i="11" s="1"/>
  <c r="T103" i="11"/>
  <c r="Q103" i="11"/>
  <c r="R103" i="11" s="1"/>
  <c r="O103" i="11"/>
  <c r="P103" i="11" s="1"/>
  <c r="M103" i="11"/>
  <c r="W102" i="11"/>
  <c r="U102" i="11"/>
  <c r="V102" i="11" s="1"/>
  <c r="T102" i="11"/>
  <c r="Q102" i="11"/>
  <c r="R102" i="11" s="1"/>
  <c r="O102" i="11"/>
  <c r="P102" i="11" s="1"/>
  <c r="M102" i="11"/>
  <c r="W101" i="11"/>
  <c r="U101" i="11"/>
  <c r="V101" i="11" s="1"/>
  <c r="T101" i="11"/>
  <c r="Q101" i="11"/>
  <c r="R101" i="11" s="1"/>
  <c r="O101" i="11"/>
  <c r="P101" i="11" s="1"/>
  <c r="M101" i="11"/>
  <c r="W100" i="11"/>
  <c r="U100" i="11"/>
  <c r="V100" i="11" s="1"/>
  <c r="T100" i="11"/>
  <c r="Q100" i="11"/>
  <c r="R100" i="11" s="1"/>
  <c r="O100" i="11"/>
  <c r="P100" i="11" s="1"/>
  <c r="M100" i="11"/>
  <c r="W99" i="11"/>
  <c r="Y99" i="11" s="1"/>
  <c r="Z99" i="11" s="1"/>
  <c r="U99" i="11"/>
  <c r="V99" i="11" s="1"/>
  <c r="T99" i="11"/>
  <c r="Q99" i="11"/>
  <c r="R99" i="11" s="1"/>
  <c r="O99" i="11"/>
  <c r="P99" i="11" s="1"/>
  <c r="M99" i="11"/>
  <c r="W98" i="11"/>
  <c r="U98" i="11"/>
  <c r="V98" i="11" s="1"/>
  <c r="T98" i="11"/>
  <c r="Q98" i="11"/>
  <c r="R98" i="11" s="1"/>
  <c r="O98" i="11"/>
  <c r="P98" i="11" s="1"/>
  <c r="M98" i="11"/>
  <c r="W97" i="11"/>
  <c r="Y97" i="11" s="1"/>
  <c r="Z97" i="11" s="1"/>
  <c r="U97" i="11"/>
  <c r="V97" i="11" s="1"/>
  <c r="T97" i="11"/>
  <c r="Q97" i="11"/>
  <c r="R97" i="11" s="1"/>
  <c r="O97" i="11"/>
  <c r="P97" i="11" s="1"/>
  <c r="M97" i="11"/>
  <c r="W96" i="11"/>
  <c r="Y96" i="11" s="1"/>
  <c r="Z96" i="11" s="1"/>
  <c r="U96" i="11"/>
  <c r="V96" i="11" s="1"/>
  <c r="T96" i="11"/>
  <c r="Q96" i="11"/>
  <c r="R96" i="11" s="1"/>
  <c r="O96" i="11"/>
  <c r="P96" i="11" s="1"/>
  <c r="M96" i="11"/>
  <c r="W95" i="11"/>
  <c r="X95" i="11" s="1"/>
  <c r="U95" i="11"/>
  <c r="V95" i="11" s="1"/>
  <c r="T95" i="11"/>
  <c r="Q95" i="11"/>
  <c r="R95" i="11" s="1"/>
  <c r="O95" i="11"/>
  <c r="P95" i="11" s="1"/>
  <c r="M95" i="11"/>
  <c r="W94" i="11"/>
  <c r="U94" i="11"/>
  <c r="V94" i="11" s="1"/>
  <c r="T94" i="11"/>
  <c r="Q94" i="11"/>
  <c r="R94" i="11" s="1"/>
  <c r="O94" i="11"/>
  <c r="P94" i="11" s="1"/>
  <c r="M94" i="11"/>
  <c r="W93" i="11"/>
  <c r="U93" i="11"/>
  <c r="V93" i="11" s="1"/>
  <c r="T93" i="11"/>
  <c r="Q93" i="11"/>
  <c r="R93" i="11" s="1"/>
  <c r="O93" i="11"/>
  <c r="P93" i="11" s="1"/>
  <c r="M93" i="11"/>
  <c r="L84" i="11"/>
  <c r="Z82" i="11"/>
  <c r="X82" i="11"/>
  <c r="V82" i="11"/>
  <c r="T82" i="11"/>
  <c r="R82" i="11"/>
  <c r="P82" i="11"/>
  <c r="N82" i="11"/>
  <c r="W76" i="11"/>
  <c r="Y76" i="11" s="1"/>
  <c r="Z76" i="11" s="1"/>
  <c r="U76" i="11"/>
  <c r="V76" i="11" s="1"/>
  <c r="T76" i="11"/>
  <c r="Q76" i="11"/>
  <c r="R76" i="11" s="1"/>
  <c r="O76" i="11"/>
  <c r="P76" i="11" s="1"/>
  <c r="M76" i="11"/>
  <c r="W75" i="11"/>
  <c r="Y75" i="11" s="1"/>
  <c r="Z75" i="11" s="1"/>
  <c r="U75" i="11"/>
  <c r="V75" i="11" s="1"/>
  <c r="T75" i="11"/>
  <c r="Q75" i="11"/>
  <c r="R75" i="11" s="1"/>
  <c r="O75" i="11"/>
  <c r="P75" i="11" s="1"/>
  <c r="M75" i="11"/>
  <c r="W74" i="11"/>
  <c r="Y74" i="11" s="1"/>
  <c r="Z74" i="11" s="1"/>
  <c r="U74" i="11"/>
  <c r="V74" i="11" s="1"/>
  <c r="T74" i="11"/>
  <c r="Q74" i="11"/>
  <c r="R74" i="11" s="1"/>
  <c r="O74" i="11"/>
  <c r="P74" i="11" s="1"/>
  <c r="M74" i="11"/>
  <c r="W73" i="11"/>
  <c r="Y73" i="11" s="1"/>
  <c r="Z73" i="11" s="1"/>
  <c r="U73" i="11"/>
  <c r="V73" i="11" s="1"/>
  <c r="T73" i="11"/>
  <c r="Q73" i="11"/>
  <c r="R73" i="11" s="1"/>
  <c r="O73" i="11"/>
  <c r="P73" i="11" s="1"/>
  <c r="M73" i="11"/>
  <c r="W72" i="11"/>
  <c r="Y72" i="11" s="1"/>
  <c r="Z72" i="11" s="1"/>
  <c r="U72" i="11"/>
  <c r="V72" i="11" s="1"/>
  <c r="T72" i="11"/>
  <c r="Q72" i="11"/>
  <c r="R72" i="11" s="1"/>
  <c r="O72" i="11"/>
  <c r="P72" i="11" s="1"/>
  <c r="M72" i="11"/>
  <c r="W71" i="11"/>
  <c r="U71" i="11"/>
  <c r="V71" i="11" s="1"/>
  <c r="T71" i="11"/>
  <c r="Q71" i="11"/>
  <c r="R71" i="11" s="1"/>
  <c r="O71" i="11"/>
  <c r="P71" i="11" s="1"/>
  <c r="M71" i="11"/>
  <c r="W70" i="11"/>
  <c r="X70" i="11" s="1"/>
  <c r="U70" i="11"/>
  <c r="V70" i="11" s="1"/>
  <c r="T70" i="11"/>
  <c r="Q70" i="11"/>
  <c r="R70" i="11" s="1"/>
  <c r="O70" i="11"/>
  <c r="P70" i="11" s="1"/>
  <c r="M70" i="11"/>
  <c r="W69" i="11"/>
  <c r="Y69" i="11" s="1"/>
  <c r="Z69" i="11" s="1"/>
  <c r="U69" i="11"/>
  <c r="V69" i="11" s="1"/>
  <c r="T69" i="11"/>
  <c r="Q69" i="11"/>
  <c r="R69" i="11" s="1"/>
  <c r="O69" i="11"/>
  <c r="P69" i="11" s="1"/>
  <c r="M69" i="11"/>
  <c r="W68" i="11"/>
  <c r="U68" i="11"/>
  <c r="V68" i="11" s="1"/>
  <c r="T68" i="11"/>
  <c r="Q68" i="11"/>
  <c r="R68" i="11" s="1"/>
  <c r="O68" i="11"/>
  <c r="P68" i="11" s="1"/>
  <c r="M68" i="11"/>
  <c r="W67" i="11"/>
  <c r="U67" i="11"/>
  <c r="V67" i="11" s="1"/>
  <c r="T67" i="11"/>
  <c r="Q67" i="11"/>
  <c r="R67" i="11" s="1"/>
  <c r="O67" i="11"/>
  <c r="P67" i="11" s="1"/>
  <c r="M67" i="11"/>
  <c r="W66" i="11"/>
  <c r="U66" i="11"/>
  <c r="V66" i="11" s="1"/>
  <c r="T66" i="11"/>
  <c r="Q66" i="11"/>
  <c r="R66" i="11" s="1"/>
  <c r="O66" i="11"/>
  <c r="P66" i="11" s="1"/>
  <c r="M66" i="11"/>
  <c r="W65" i="11"/>
  <c r="Y65" i="11" s="1"/>
  <c r="Z65" i="11" s="1"/>
  <c r="U65" i="11"/>
  <c r="V65" i="11" s="1"/>
  <c r="T65" i="11"/>
  <c r="Q65" i="11"/>
  <c r="R65" i="11" s="1"/>
  <c r="O65" i="11"/>
  <c r="P65" i="11" s="1"/>
  <c r="M65" i="11"/>
  <c r="Y56" i="11"/>
  <c r="Z56" i="11" s="1"/>
  <c r="W56" i="11"/>
  <c r="X56" i="11" s="1"/>
  <c r="U56" i="11"/>
  <c r="V56" i="11" s="1"/>
  <c r="S56" i="11"/>
  <c r="T56" i="11" s="1"/>
  <c r="Q56" i="11"/>
  <c r="R56" i="11" s="1"/>
  <c r="O56" i="11"/>
  <c r="P56" i="11" s="1"/>
  <c r="M56" i="11"/>
  <c r="N56" i="11" s="1"/>
  <c r="L56" i="11"/>
  <c r="Z54" i="11"/>
  <c r="X54" i="11"/>
  <c r="V54" i="11"/>
  <c r="T54" i="11"/>
  <c r="R54" i="11"/>
  <c r="P54" i="11"/>
  <c r="N54" i="11"/>
  <c r="W47" i="11"/>
  <c r="Y47" i="11" s="1"/>
  <c r="Z47" i="11" s="1"/>
  <c r="U47" i="11"/>
  <c r="V47" i="11" s="1"/>
  <c r="T47" i="11"/>
  <c r="Q47" i="11"/>
  <c r="R47" i="11" s="1"/>
  <c r="O47" i="11"/>
  <c r="M47" i="11"/>
  <c r="W46" i="11"/>
  <c r="Y46" i="11" s="1"/>
  <c r="Z46" i="11" s="1"/>
  <c r="U46" i="11"/>
  <c r="V46" i="11" s="1"/>
  <c r="T46" i="11"/>
  <c r="Q46" i="11"/>
  <c r="R46" i="11" s="1"/>
  <c r="O46" i="11"/>
  <c r="P46" i="11" s="1"/>
  <c r="M46" i="11"/>
  <c r="W45" i="11"/>
  <c r="U45" i="11"/>
  <c r="V45" i="11" s="1"/>
  <c r="T45" i="11"/>
  <c r="Q45" i="11"/>
  <c r="R45" i="11" s="1"/>
  <c r="O45" i="11"/>
  <c r="P45" i="11" s="1"/>
  <c r="M45" i="11"/>
  <c r="W44" i="11"/>
  <c r="Y44" i="11" s="1"/>
  <c r="Z44" i="11" s="1"/>
  <c r="U44" i="11"/>
  <c r="V44" i="11" s="1"/>
  <c r="T44" i="11"/>
  <c r="Q44" i="11"/>
  <c r="R44" i="11" s="1"/>
  <c r="O44" i="11"/>
  <c r="M44" i="11"/>
  <c r="W43" i="11"/>
  <c r="U43" i="11"/>
  <c r="V43" i="11" s="1"/>
  <c r="T43" i="11"/>
  <c r="Q43" i="11"/>
  <c r="R43" i="11" s="1"/>
  <c r="O43" i="11"/>
  <c r="P43" i="11" s="1"/>
  <c r="M43" i="11"/>
  <c r="W42" i="11"/>
  <c r="Y42" i="11" s="1"/>
  <c r="Z42" i="11" s="1"/>
  <c r="U42" i="11"/>
  <c r="V42" i="11" s="1"/>
  <c r="T42" i="11"/>
  <c r="Q42" i="11"/>
  <c r="R42" i="11" s="1"/>
  <c r="O42" i="11"/>
  <c r="P42" i="11" s="1"/>
  <c r="M42" i="11"/>
  <c r="W41" i="11"/>
  <c r="Y41" i="11" s="1"/>
  <c r="Z41" i="11" s="1"/>
  <c r="U41" i="11"/>
  <c r="V41" i="11" s="1"/>
  <c r="T41" i="11"/>
  <c r="Q41" i="11"/>
  <c r="R41" i="11" s="1"/>
  <c r="O41" i="11"/>
  <c r="P41" i="11" s="1"/>
  <c r="M41" i="11"/>
  <c r="W40" i="11"/>
  <c r="Y40" i="11" s="1"/>
  <c r="Z40" i="11" s="1"/>
  <c r="U40" i="11"/>
  <c r="V40" i="11" s="1"/>
  <c r="T40" i="11"/>
  <c r="Q40" i="11"/>
  <c r="R40" i="11" s="1"/>
  <c r="O40" i="11"/>
  <c r="M40" i="11"/>
  <c r="W39" i="11"/>
  <c r="U39" i="11"/>
  <c r="V39" i="11" s="1"/>
  <c r="T39" i="11"/>
  <c r="Q39" i="11"/>
  <c r="R39" i="11" s="1"/>
  <c r="O39" i="11"/>
  <c r="P39" i="11" s="1"/>
  <c r="M39" i="11"/>
  <c r="W38" i="11"/>
  <c r="Y38" i="11" s="1"/>
  <c r="Z38" i="11" s="1"/>
  <c r="U38" i="11"/>
  <c r="V38" i="11" s="1"/>
  <c r="T38" i="11"/>
  <c r="Q38" i="11"/>
  <c r="R38" i="11" s="1"/>
  <c r="O38" i="11"/>
  <c r="P38" i="11" s="1"/>
  <c r="M38" i="11"/>
  <c r="W37" i="11"/>
  <c r="Y37" i="11" s="1"/>
  <c r="Z37" i="11" s="1"/>
  <c r="U37" i="11"/>
  <c r="V37" i="11" s="1"/>
  <c r="T37" i="11"/>
  <c r="Q37" i="11"/>
  <c r="R37" i="11" s="1"/>
  <c r="O37" i="11"/>
  <c r="P37" i="11" s="1"/>
  <c r="M37" i="11"/>
  <c r="W36" i="11"/>
  <c r="Y36" i="11" s="1"/>
  <c r="Z36" i="11" s="1"/>
  <c r="U36" i="11"/>
  <c r="V36" i="11" s="1"/>
  <c r="T36" i="11"/>
  <c r="Q36" i="11"/>
  <c r="R36" i="11" s="1"/>
  <c r="O36" i="11"/>
  <c r="M36" i="11"/>
  <c r="L27" i="11"/>
  <c r="W18" i="11"/>
  <c r="X18" i="11" s="1"/>
  <c r="U18" i="11"/>
  <c r="V18" i="11" s="1"/>
  <c r="T18" i="11"/>
  <c r="Q18" i="11"/>
  <c r="R18" i="11" s="1"/>
  <c r="O18" i="11"/>
  <c r="P18" i="11" s="1"/>
  <c r="M18" i="11"/>
  <c r="W17" i="11"/>
  <c r="X17" i="11" s="1"/>
  <c r="U17" i="11"/>
  <c r="V17" i="11" s="1"/>
  <c r="T17" i="11"/>
  <c r="Q17" i="11"/>
  <c r="R17" i="11" s="1"/>
  <c r="O17" i="11"/>
  <c r="P17" i="11" s="1"/>
  <c r="M17" i="11"/>
  <c r="W16" i="11"/>
  <c r="X16" i="11" s="1"/>
  <c r="U16" i="11"/>
  <c r="V16" i="11" s="1"/>
  <c r="T16" i="11"/>
  <c r="Q16" i="11"/>
  <c r="R16" i="11" s="1"/>
  <c r="O16" i="11"/>
  <c r="P16" i="11" s="1"/>
  <c r="M16" i="11"/>
  <c r="W15" i="11"/>
  <c r="X15" i="11" s="1"/>
  <c r="U15" i="11"/>
  <c r="V15" i="11" s="1"/>
  <c r="T15" i="11"/>
  <c r="Q15" i="11"/>
  <c r="R15" i="11" s="1"/>
  <c r="O15" i="11"/>
  <c r="P15" i="11" s="1"/>
  <c r="M15" i="11"/>
  <c r="W14" i="11"/>
  <c r="U14" i="11"/>
  <c r="V14" i="11" s="1"/>
  <c r="T14" i="11"/>
  <c r="Q14" i="11"/>
  <c r="R14" i="11" s="1"/>
  <c r="O14" i="11"/>
  <c r="P14" i="11" s="1"/>
  <c r="M14" i="11"/>
  <c r="W13" i="11"/>
  <c r="Y13" i="11" s="1"/>
  <c r="Z13" i="11" s="1"/>
  <c r="U13" i="11"/>
  <c r="V13" i="11" s="1"/>
  <c r="T13" i="11"/>
  <c r="Q13" i="11"/>
  <c r="R13" i="11" s="1"/>
  <c r="O13" i="11"/>
  <c r="P13" i="11" s="1"/>
  <c r="M13" i="11"/>
  <c r="W12" i="11"/>
  <c r="Y12" i="11" s="1"/>
  <c r="Z12" i="11" s="1"/>
  <c r="U12" i="11"/>
  <c r="V12" i="11" s="1"/>
  <c r="T12" i="11"/>
  <c r="Q12" i="11"/>
  <c r="R12" i="11" s="1"/>
  <c r="O12" i="11"/>
  <c r="P12" i="11" s="1"/>
  <c r="M12" i="11"/>
  <c r="W11" i="11"/>
  <c r="Y11" i="11" s="1"/>
  <c r="Z11" i="11" s="1"/>
  <c r="U11" i="11"/>
  <c r="V11" i="11" s="1"/>
  <c r="T11" i="11"/>
  <c r="Q11" i="11"/>
  <c r="R11" i="11" s="1"/>
  <c r="O11" i="11"/>
  <c r="P11" i="11" s="1"/>
  <c r="M11" i="11"/>
  <c r="W10" i="11"/>
  <c r="Y10" i="11" s="1"/>
  <c r="Z10" i="11" s="1"/>
  <c r="U10" i="11"/>
  <c r="V10" i="11" s="1"/>
  <c r="T10" i="11"/>
  <c r="Q10" i="11"/>
  <c r="R10" i="11" s="1"/>
  <c r="O10" i="11"/>
  <c r="P10" i="11" s="1"/>
  <c r="M10" i="11"/>
  <c r="W9" i="11"/>
  <c r="Y9" i="11" s="1"/>
  <c r="Z9" i="11" s="1"/>
  <c r="U9" i="11"/>
  <c r="V9" i="11" s="1"/>
  <c r="T9" i="11"/>
  <c r="Q9" i="11"/>
  <c r="R9" i="11" s="1"/>
  <c r="O9" i="11"/>
  <c r="P9" i="11" s="1"/>
  <c r="M9" i="11"/>
  <c r="W8" i="11"/>
  <c r="Y8" i="11" s="1"/>
  <c r="Z8" i="11" s="1"/>
  <c r="U8" i="11"/>
  <c r="V8" i="11" s="1"/>
  <c r="T8" i="11"/>
  <c r="Q8" i="11"/>
  <c r="R8" i="11" s="1"/>
  <c r="O8" i="11"/>
  <c r="M8" i="11"/>
  <c r="W7" i="11"/>
  <c r="Y7" i="11" s="1"/>
  <c r="Z7" i="11" s="1"/>
  <c r="U7" i="11"/>
  <c r="V7" i="11" s="1"/>
  <c r="T7" i="11"/>
  <c r="Q7" i="11"/>
  <c r="R7" i="11" s="1"/>
  <c r="O7" i="11"/>
  <c r="P7" i="11" s="1"/>
  <c r="M7" i="11"/>
  <c r="Y113" i="10"/>
  <c r="Z113" i="10" s="1"/>
  <c r="W113" i="10"/>
  <c r="X113" i="10" s="1"/>
  <c r="U113" i="10"/>
  <c r="V113" i="10" s="1"/>
  <c r="S113" i="10"/>
  <c r="T113" i="10" s="1"/>
  <c r="Q113" i="10"/>
  <c r="R113" i="10" s="1"/>
  <c r="O113" i="10"/>
  <c r="P113" i="10" s="1"/>
  <c r="M113" i="10"/>
  <c r="N113" i="10" s="1"/>
  <c r="L113" i="10"/>
  <c r="Z111" i="10"/>
  <c r="X111" i="10"/>
  <c r="V111" i="10"/>
  <c r="T111" i="10"/>
  <c r="R111" i="10"/>
  <c r="P111" i="10"/>
  <c r="N111" i="10"/>
  <c r="W98" i="10"/>
  <c r="Y98" i="10" s="1"/>
  <c r="Z98" i="10" s="1"/>
  <c r="U98" i="10"/>
  <c r="V98" i="10" s="1"/>
  <c r="T98" i="10"/>
  <c r="Q98" i="10"/>
  <c r="R98" i="10" s="1"/>
  <c r="O98" i="10"/>
  <c r="P98" i="10" s="1"/>
  <c r="M98" i="10"/>
  <c r="W97" i="10"/>
  <c r="X97" i="10" s="1"/>
  <c r="U97" i="10"/>
  <c r="V97" i="10" s="1"/>
  <c r="T97" i="10"/>
  <c r="Q97" i="10"/>
  <c r="R97" i="10" s="1"/>
  <c r="O97" i="10"/>
  <c r="P97" i="10" s="1"/>
  <c r="M97" i="10"/>
  <c r="W96" i="10"/>
  <c r="Y96" i="10" s="1"/>
  <c r="Z96" i="10" s="1"/>
  <c r="U96" i="10"/>
  <c r="V96" i="10" s="1"/>
  <c r="T96" i="10"/>
  <c r="Q96" i="10"/>
  <c r="R96" i="10" s="1"/>
  <c r="O96" i="10"/>
  <c r="P96" i="10" s="1"/>
  <c r="M96" i="10"/>
  <c r="W95" i="10"/>
  <c r="U95" i="10"/>
  <c r="V95" i="10" s="1"/>
  <c r="T95" i="10"/>
  <c r="Q95" i="10"/>
  <c r="R95" i="10" s="1"/>
  <c r="O95" i="10"/>
  <c r="P95" i="10" s="1"/>
  <c r="M95" i="10"/>
  <c r="W94" i="10"/>
  <c r="Y94" i="10" s="1"/>
  <c r="Z94" i="10" s="1"/>
  <c r="U94" i="10"/>
  <c r="V94" i="10" s="1"/>
  <c r="T94" i="10"/>
  <c r="Q94" i="10"/>
  <c r="R94" i="10" s="1"/>
  <c r="O94" i="10"/>
  <c r="P94" i="10" s="1"/>
  <c r="M94" i="10"/>
  <c r="Y93" i="10"/>
  <c r="Z93" i="10" s="1"/>
  <c r="L84" i="10"/>
  <c r="T82" i="10"/>
  <c r="P82" i="10"/>
  <c r="U76" i="10"/>
  <c r="V76" i="10" s="1"/>
  <c r="V82" i="10" s="1"/>
  <c r="T76" i="10"/>
  <c r="U75" i="10"/>
  <c r="V75" i="10" s="1"/>
  <c r="T75" i="10"/>
  <c r="U74" i="10"/>
  <c r="V74" i="10" s="1"/>
  <c r="T74" i="10"/>
  <c r="U73" i="10"/>
  <c r="V73" i="10" s="1"/>
  <c r="T73" i="10"/>
  <c r="U72" i="10"/>
  <c r="V72" i="10" s="1"/>
  <c r="T72" i="10"/>
  <c r="U71" i="10"/>
  <c r="V71" i="10" s="1"/>
  <c r="T71" i="10"/>
  <c r="W70" i="10"/>
  <c r="U70" i="10"/>
  <c r="V70" i="10" s="1"/>
  <c r="T70" i="10"/>
  <c r="Q70" i="10"/>
  <c r="R70" i="10" s="1"/>
  <c r="Q84" i="10" s="1"/>
  <c r="R84" i="10" s="1"/>
  <c r="O70" i="10"/>
  <c r="P70" i="10" s="1"/>
  <c r="O84" i="10" s="1"/>
  <c r="P84" i="10" s="1"/>
  <c r="M70" i="10"/>
  <c r="W69" i="10"/>
  <c r="X69" i="10" s="1"/>
  <c r="U69" i="10"/>
  <c r="V69" i="10" s="1"/>
  <c r="T69" i="10"/>
  <c r="Q69" i="10"/>
  <c r="R69" i="10" s="1"/>
  <c r="R82" i="10" s="1"/>
  <c r="O69" i="10"/>
  <c r="P69" i="10" s="1"/>
  <c r="M69" i="10"/>
  <c r="W68" i="10"/>
  <c r="Y68" i="10" s="1"/>
  <c r="Z68" i="10" s="1"/>
  <c r="U68" i="10"/>
  <c r="V68" i="10" s="1"/>
  <c r="T68" i="10"/>
  <c r="Q68" i="10"/>
  <c r="R68" i="10" s="1"/>
  <c r="O68" i="10"/>
  <c r="P68" i="10" s="1"/>
  <c r="M68" i="10"/>
  <c r="W67" i="10"/>
  <c r="Y67" i="10" s="1"/>
  <c r="Z67" i="10" s="1"/>
  <c r="U67" i="10"/>
  <c r="V67" i="10" s="1"/>
  <c r="T67" i="10"/>
  <c r="Q67" i="10"/>
  <c r="R67" i="10" s="1"/>
  <c r="O67" i="10"/>
  <c r="P67" i="10" s="1"/>
  <c r="M67" i="10"/>
  <c r="W66" i="10"/>
  <c r="Y66" i="10" s="1"/>
  <c r="Z66" i="10" s="1"/>
  <c r="U66" i="10"/>
  <c r="V66" i="10" s="1"/>
  <c r="T66" i="10"/>
  <c r="Q66" i="10"/>
  <c r="R66" i="10" s="1"/>
  <c r="O66" i="10"/>
  <c r="P66" i="10" s="1"/>
  <c r="M66" i="10"/>
  <c r="W65" i="10"/>
  <c r="Y65" i="10" s="1"/>
  <c r="Z65" i="10" s="1"/>
  <c r="U65" i="10"/>
  <c r="V65" i="10" s="1"/>
  <c r="T65" i="10"/>
  <c r="Q65" i="10"/>
  <c r="R65" i="10" s="1"/>
  <c r="O65" i="10"/>
  <c r="P65" i="10" s="1"/>
  <c r="M65" i="10"/>
  <c r="L56" i="10"/>
  <c r="Z54" i="10"/>
  <c r="X54" i="10"/>
  <c r="V54" i="10"/>
  <c r="T54" i="10"/>
  <c r="R54" i="10"/>
  <c r="P54" i="10"/>
  <c r="N54" i="10"/>
  <c r="U47" i="10"/>
  <c r="V47" i="10" s="1"/>
  <c r="T47" i="10"/>
  <c r="U46" i="10"/>
  <c r="V46" i="10" s="1"/>
  <c r="T46" i="10"/>
  <c r="U45" i="10"/>
  <c r="V45" i="10" s="1"/>
  <c r="T45" i="10"/>
  <c r="U44" i="10"/>
  <c r="V44" i="10" s="1"/>
  <c r="T44" i="10"/>
  <c r="U43" i="10"/>
  <c r="V43" i="10" s="1"/>
  <c r="T43" i="10"/>
  <c r="U42" i="10"/>
  <c r="V42" i="10" s="1"/>
  <c r="T42" i="10"/>
  <c r="W41" i="10"/>
  <c r="Y41" i="10" s="1"/>
  <c r="Z41" i="10" s="1"/>
  <c r="U41" i="10"/>
  <c r="V41" i="10" s="1"/>
  <c r="T41" i="10"/>
  <c r="Q41" i="10"/>
  <c r="R41" i="10" s="1"/>
  <c r="O41" i="10"/>
  <c r="P41" i="10" s="1"/>
  <c r="M41" i="10"/>
  <c r="W40" i="10"/>
  <c r="X40" i="10" s="1"/>
  <c r="U40" i="10"/>
  <c r="V40" i="10" s="1"/>
  <c r="T40" i="10"/>
  <c r="Q40" i="10"/>
  <c r="R40" i="10" s="1"/>
  <c r="O40" i="10"/>
  <c r="P40" i="10" s="1"/>
  <c r="M40" i="10"/>
  <c r="W39" i="10"/>
  <c r="U39" i="10"/>
  <c r="V39" i="10" s="1"/>
  <c r="T39" i="10"/>
  <c r="Q39" i="10"/>
  <c r="R39" i="10" s="1"/>
  <c r="O39" i="10"/>
  <c r="P39" i="10" s="1"/>
  <c r="M39" i="10"/>
  <c r="W38" i="10"/>
  <c r="X38" i="10" s="1"/>
  <c r="U38" i="10"/>
  <c r="V38" i="10" s="1"/>
  <c r="T38" i="10"/>
  <c r="Q38" i="10"/>
  <c r="R38" i="10" s="1"/>
  <c r="O38" i="10"/>
  <c r="P38" i="10" s="1"/>
  <c r="M38" i="10"/>
  <c r="W37" i="10"/>
  <c r="Y37" i="10" s="1"/>
  <c r="Z37" i="10" s="1"/>
  <c r="U37" i="10"/>
  <c r="V37" i="10" s="1"/>
  <c r="T37" i="10"/>
  <c r="Q37" i="10"/>
  <c r="R37" i="10" s="1"/>
  <c r="O37" i="10"/>
  <c r="P37" i="10" s="1"/>
  <c r="M37" i="10"/>
  <c r="W36" i="10"/>
  <c r="Y36" i="10" s="1"/>
  <c r="Z36" i="10" s="1"/>
  <c r="U36" i="10"/>
  <c r="V36" i="10" s="1"/>
  <c r="T36" i="10"/>
  <c r="Q36" i="10"/>
  <c r="R36" i="10" s="1"/>
  <c r="O36" i="10"/>
  <c r="P36" i="10" s="1"/>
  <c r="M36" i="10"/>
  <c r="L27" i="10"/>
  <c r="T18" i="10"/>
  <c r="T17" i="10"/>
  <c r="T16" i="10"/>
  <c r="T15" i="10"/>
  <c r="T14" i="10"/>
  <c r="Q14" i="10"/>
  <c r="R14" i="10" s="1"/>
  <c r="O14" i="10"/>
  <c r="P14" i="10" s="1"/>
  <c r="M14" i="10"/>
  <c r="W13" i="10"/>
  <c r="X13" i="10" s="1"/>
  <c r="X25" i="10" s="1"/>
  <c r="U13" i="10"/>
  <c r="V13" i="10" s="1"/>
  <c r="V25" i="10" s="1"/>
  <c r="T13" i="10"/>
  <c r="Q13" i="10"/>
  <c r="R13" i="10" s="1"/>
  <c r="O13" i="10"/>
  <c r="P13" i="10" s="1"/>
  <c r="M13" i="10"/>
  <c r="W12" i="10"/>
  <c r="X12" i="10" s="1"/>
  <c r="U12" i="10"/>
  <c r="V12" i="10" s="1"/>
  <c r="T12" i="10"/>
  <c r="Q12" i="10"/>
  <c r="R12" i="10" s="1"/>
  <c r="O12" i="10"/>
  <c r="P12" i="10" s="1"/>
  <c r="M12" i="10"/>
  <c r="W11" i="10"/>
  <c r="X11" i="10" s="1"/>
  <c r="U11" i="10"/>
  <c r="V11" i="10" s="1"/>
  <c r="T11" i="10"/>
  <c r="Q11" i="10"/>
  <c r="R11" i="10" s="1"/>
  <c r="O11" i="10"/>
  <c r="P11" i="10" s="1"/>
  <c r="M11" i="10"/>
  <c r="W10" i="10"/>
  <c r="X10" i="10" s="1"/>
  <c r="U10" i="10"/>
  <c r="V10" i="10" s="1"/>
  <c r="T10" i="10"/>
  <c r="Q10" i="10"/>
  <c r="R10" i="10" s="1"/>
  <c r="O10" i="10"/>
  <c r="P10" i="10" s="1"/>
  <c r="M10" i="10"/>
  <c r="W9" i="10"/>
  <c r="X9" i="10" s="1"/>
  <c r="U9" i="10"/>
  <c r="V9" i="10" s="1"/>
  <c r="T9" i="10"/>
  <c r="Q9" i="10"/>
  <c r="R9" i="10" s="1"/>
  <c r="O9" i="10"/>
  <c r="P9" i="10" s="1"/>
  <c r="M9" i="10"/>
  <c r="W8" i="10"/>
  <c r="X8" i="10" s="1"/>
  <c r="U8" i="10"/>
  <c r="V8" i="10" s="1"/>
  <c r="T8" i="10"/>
  <c r="Q8" i="10"/>
  <c r="R8" i="10" s="1"/>
  <c r="O8" i="10"/>
  <c r="P8" i="10" s="1"/>
  <c r="M8" i="10"/>
  <c r="W7" i="10"/>
  <c r="X7" i="10" s="1"/>
  <c r="U7" i="10"/>
  <c r="V7" i="10" s="1"/>
  <c r="T7" i="10"/>
  <c r="Q7" i="10"/>
  <c r="R7" i="10" s="1"/>
  <c r="O7" i="10"/>
  <c r="P7" i="10" s="1"/>
  <c r="M7" i="10"/>
  <c r="Y113" i="9"/>
  <c r="Z113" i="9" s="1"/>
  <c r="U113" i="9"/>
  <c r="V113" i="9" s="1"/>
  <c r="S113" i="9"/>
  <c r="T113" i="9" s="1"/>
  <c r="O113" i="9"/>
  <c r="P113" i="9" s="1"/>
  <c r="L113" i="9"/>
  <c r="W104" i="9"/>
  <c r="U104" i="9"/>
  <c r="V104" i="9" s="1"/>
  <c r="T104" i="9"/>
  <c r="Q104" i="9"/>
  <c r="R104" i="9" s="1"/>
  <c r="O104" i="9"/>
  <c r="P104" i="9" s="1"/>
  <c r="M104" i="9"/>
  <c r="W103" i="9"/>
  <c r="Y103" i="9" s="1"/>
  <c r="Z103" i="9" s="1"/>
  <c r="U103" i="9"/>
  <c r="V103" i="9" s="1"/>
  <c r="T103" i="9"/>
  <c r="Q103" i="9"/>
  <c r="R103" i="9" s="1"/>
  <c r="O103" i="9"/>
  <c r="P103" i="9" s="1"/>
  <c r="M103" i="9"/>
  <c r="W102" i="9"/>
  <c r="Y102" i="9" s="1"/>
  <c r="Z102" i="9" s="1"/>
  <c r="U102" i="9"/>
  <c r="V102" i="9" s="1"/>
  <c r="T102" i="9"/>
  <c r="Q102" i="9"/>
  <c r="R102" i="9" s="1"/>
  <c r="O102" i="9"/>
  <c r="P102" i="9" s="1"/>
  <c r="M102" i="9"/>
  <c r="W101" i="9"/>
  <c r="Y101" i="9" s="1"/>
  <c r="Z101" i="9" s="1"/>
  <c r="U101" i="9"/>
  <c r="V101" i="9" s="1"/>
  <c r="T101" i="9"/>
  <c r="Q101" i="9"/>
  <c r="R101" i="9" s="1"/>
  <c r="O101" i="9"/>
  <c r="P101" i="9" s="1"/>
  <c r="M101" i="9"/>
  <c r="W100" i="9"/>
  <c r="Y100" i="9" s="1"/>
  <c r="Z100" i="9" s="1"/>
  <c r="U100" i="9"/>
  <c r="V100" i="9" s="1"/>
  <c r="T100" i="9"/>
  <c r="Q100" i="9"/>
  <c r="R100" i="9" s="1"/>
  <c r="O100" i="9"/>
  <c r="P100" i="9" s="1"/>
  <c r="M100" i="9"/>
  <c r="W99" i="9"/>
  <c r="Y99" i="9" s="1"/>
  <c r="Z99" i="9" s="1"/>
  <c r="U99" i="9"/>
  <c r="V99" i="9" s="1"/>
  <c r="T99" i="9"/>
  <c r="Q99" i="9"/>
  <c r="R99" i="9" s="1"/>
  <c r="O99" i="9"/>
  <c r="P99" i="9" s="1"/>
  <c r="M99" i="9"/>
  <c r="W98" i="9"/>
  <c r="Y98" i="9" s="1"/>
  <c r="Z98" i="9" s="1"/>
  <c r="U98" i="9"/>
  <c r="V98" i="9" s="1"/>
  <c r="T98" i="9"/>
  <c r="Q98" i="9"/>
  <c r="R98" i="9" s="1"/>
  <c r="O98" i="9"/>
  <c r="P98" i="9" s="1"/>
  <c r="M98" i="9"/>
  <c r="W97" i="9"/>
  <c r="Y97" i="9" s="1"/>
  <c r="Z97" i="9" s="1"/>
  <c r="U97" i="9"/>
  <c r="V97" i="9" s="1"/>
  <c r="T97" i="9"/>
  <c r="Q97" i="9"/>
  <c r="R97" i="9" s="1"/>
  <c r="Q113" i="9" s="1"/>
  <c r="R113" i="9" s="1"/>
  <c r="O97" i="9"/>
  <c r="P97" i="9" s="1"/>
  <c r="M97" i="9"/>
  <c r="W96" i="9"/>
  <c r="Y96" i="9" s="1"/>
  <c r="Z96" i="9" s="1"/>
  <c r="U96" i="9"/>
  <c r="V96" i="9" s="1"/>
  <c r="T96" i="9"/>
  <c r="Q96" i="9"/>
  <c r="R96" i="9" s="1"/>
  <c r="O96" i="9"/>
  <c r="P96" i="9" s="1"/>
  <c r="M96" i="9"/>
  <c r="W95" i="9"/>
  <c r="Y95" i="9" s="1"/>
  <c r="Z95" i="9" s="1"/>
  <c r="U95" i="9"/>
  <c r="V95" i="9" s="1"/>
  <c r="T95" i="9"/>
  <c r="Q95" i="9"/>
  <c r="R95" i="9" s="1"/>
  <c r="O95" i="9"/>
  <c r="P95" i="9" s="1"/>
  <c r="M95" i="9"/>
  <c r="W94" i="9"/>
  <c r="Y94" i="9" s="1"/>
  <c r="Z94" i="9" s="1"/>
  <c r="U94" i="9"/>
  <c r="V94" i="9" s="1"/>
  <c r="T94" i="9"/>
  <c r="Q94" i="9"/>
  <c r="R94" i="9" s="1"/>
  <c r="O94" i="9"/>
  <c r="P94" i="9" s="1"/>
  <c r="M94" i="9"/>
  <c r="W93" i="9"/>
  <c r="Y93" i="9" s="1"/>
  <c r="Z93" i="9" s="1"/>
  <c r="U93" i="9"/>
  <c r="V93" i="9" s="1"/>
  <c r="T93" i="9"/>
  <c r="Q93" i="9"/>
  <c r="R93" i="9" s="1"/>
  <c r="O93" i="9"/>
  <c r="P93" i="9" s="1"/>
  <c r="M93" i="9"/>
  <c r="L84" i="9"/>
  <c r="Z82" i="9"/>
  <c r="X82" i="9"/>
  <c r="V82" i="9"/>
  <c r="T82" i="9"/>
  <c r="R82" i="9"/>
  <c r="P82" i="9"/>
  <c r="N82" i="9"/>
  <c r="W76" i="9"/>
  <c r="Y76" i="9" s="1"/>
  <c r="Z76" i="9" s="1"/>
  <c r="U76" i="9"/>
  <c r="V76" i="9" s="1"/>
  <c r="T76" i="9"/>
  <c r="Q76" i="9"/>
  <c r="R76" i="9" s="1"/>
  <c r="O76" i="9"/>
  <c r="P76" i="9" s="1"/>
  <c r="M76" i="9"/>
  <c r="N76" i="9" s="1"/>
  <c r="W75" i="9"/>
  <c r="Y75" i="9" s="1"/>
  <c r="Z75" i="9" s="1"/>
  <c r="U75" i="9"/>
  <c r="V75" i="9" s="1"/>
  <c r="T75" i="9"/>
  <c r="Q75" i="9"/>
  <c r="R75" i="9" s="1"/>
  <c r="O75" i="9"/>
  <c r="P75" i="9" s="1"/>
  <c r="M75" i="9"/>
  <c r="W74" i="9"/>
  <c r="Y74" i="9" s="1"/>
  <c r="Z74" i="9" s="1"/>
  <c r="U74" i="9"/>
  <c r="V74" i="9" s="1"/>
  <c r="T74" i="9"/>
  <c r="Q74" i="9"/>
  <c r="R74" i="9" s="1"/>
  <c r="O74" i="9"/>
  <c r="P74" i="9" s="1"/>
  <c r="M74" i="9"/>
  <c r="W73" i="9"/>
  <c r="U73" i="9"/>
  <c r="V73" i="9" s="1"/>
  <c r="T73" i="9"/>
  <c r="Q73" i="9"/>
  <c r="R73" i="9" s="1"/>
  <c r="O73" i="9"/>
  <c r="P73" i="9" s="1"/>
  <c r="M73" i="9"/>
  <c r="W72" i="9"/>
  <c r="U72" i="9"/>
  <c r="V72" i="9" s="1"/>
  <c r="T72" i="9"/>
  <c r="Q72" i="9"/>
  <c r="R72" i="9" s="1"/>
  <c r="O72" i="9"/>
  <c r="P72" i="9" s="1"/>
  <c r="M72" i="9"/>
  <c r="W71" i="9"/>
  <c r="U71" i="9"/>
  <c r="V71" i="9" s="1"/>
  <c r="T71" i="9"/>
  <c r="Q71" i="9"/>
  <c r="R71" i="9" s="1"/>
  <c r="O71" i="9"/>
  <c r="P71" i="9" s="1"/>
  <c r="M71" i="9"/>
  <c r="W70" i="9"/>
  <c r="Y70" i="9" s="1"/>
  <c r="Z70" i="9" s="1"/>
  <c r="U70" i="9"/>
  <c r="V70" i="9" s="1"/>
  <c r="T70" i="9"/>
  <c r="Q70" i="9"/>
  <c r="R70" i="9" s="1"/>
  <c r="O70" i="9"/>
  <c r="P70" i="9" s="1"/>
  <c r="M70" i="9"/>
  <c r="W69" i="9"/>
  <c r="Y69" i="9" s="1"/>
  <c r="Z69" i="9" s="1"/>
  <c r="U69" i="9"/>
  <c r="V69" i="9" s="1"/>
  <c r="T69" i="9"/>
  <c r="Q69" i="9"/>
  <c r="R69" i="9" s="1"/>
  <c r="O69" i="9"/>
  <c r="P69" i="9" s="1"/>
  <c r="M69" i="9"/>
  <c r="W68" i="9"/>
  <c r="Y68" i="9" s="1"/>
  <c r="Z68" i="9" s="1"/>
  <c r="U68" i="9"/>
  <c r="V68" i="9" s="1"/>
  <c r="T68" i="9"/>
  <c r="Q68" i="9"/>
  <c r="R68" i="9" s="1"/>
  <c r="O68" i="9"/>
  <c r="P68" i="9" s="1"/>
  <c r="M68" i="9"/>
  <c r="W67" i="9"/>
  <c r="U67" i="9"/>
  <c r="V67" i="9" s="1"/>
  <c r="T67" i="9"/>
  <c r="Q67" i="9"/>
  <c r="R67" i="9" s="1"/>
  <c r="O67" i="9"/>
  <c r="P67" i="9" s="1"/>
  <c r="M67" i="9"/>
  <c r="W66" i="9"/>
  <c r="U66" i="9"/>
  <c r="V66" i="9" s="1"/>
  <c r="T66" i="9"/>
  <c r="Q66" i="9"/>
  <c r="R66" i="9" s="1"/>
  <c r="O66" i="9"/>
  <c r="P66" i="9" s="1"/>
  <c r="M66" i="9"/>
  <c r="W65" i="9"/>
  <c r="X65" i="9" s="1"/>
  <c r="U65" i="9"/>
  <c r="V65" i="9" s="1"/>
  <c r="T65" i="9"/>
  <c r="Q65" i="9"/>
  <c r="R65" i="9" s="1"/>
  <c r="O65" i="9"/>
  <c r="P65" i="9" s="1"/>
  <c r="M65" i="9"/>
  <c r="L56" i="9"/>
  <c r="W47" i="9"/>
  <c r="Y47" i="9" s="1"/>
  <c r="Z47" i="9" s="1"/>
  <c r="U47" i="9"/>
  <c r="V47" i="9" s="1"/>
  <c r="T47" i="9"/>
  <c r="Q47" i="9"/>
  <c r="R47" i="9" s="1"/>
  <c r="O47" i="9"/>
  <c r="P47" i="9" s="1"/>
  <c r="M47" i="9"/>
  <c r="W46" i="9"/>
  <c r="Y46" i="9" s="1"/>
  <c r="Z46" i="9" s="1"/>
  <c r="U46" i="9"/>
  <c r="V46" i="9" s="1"/>
  <c r="T46" i="9"/>
  <c r="Q46" i="9"/>
  <c r="R46" i="9" s="1"/>
  <c r="O46" i="9"/>
  <c r="P46" i="9" s="1"/>
  <c r="M46" i="9"/>
  <c r="W45" i="9"/>
  <c r="Y45" i="9" s="1"/>
  <c r="Z45" i="9" s="1"/>
  <c r="U45" i="9"/>
  <c r="V45" i="9" s="1"/>
  <c r="T45" i="9"/>
  <c r="Q45" i="9"/>
  <c r="R45" i="9" s="1"/>
  <c r="O45" i="9"/>
  <c r="P45" i="9" s="1"/>
  <c r="M45" i="9"/>
  <c r="W44" i="9"/>
  <c r="Y44" i="9" s="1"/>
  <c r="Z44" i="9" s="1"/>
  <c r="U44" i="9"/>
  <c r="V44" i="9" s="1"/>
  <c r="T44" i="9"/>
  <c r="Q44" i="9"/>
  <c r="R44" i="9" s="1"/>
  <c r="O44" i="9"/>
  <c r="P44" i="9" s="1"/>
  <c r="M44" i="9"/>
  <c r="W43" i="9"/>
  <c r="Y43" i="9" s="1"/>
  <c r="Z43" i="9" s="1"/>
  <c r="U43" i="9"/>
  <c r="V43" i="9" s="1"/>
  <c r="T43" i="9"/>
  <c r="Q43" i="9"/>
  <c r="R43" i="9" s="1"/>
  <c r="O43" i="9"/>
  <c r="P43" i="9" s="1"/>
  <c r="M43" i="9"/>
  <c r="W42" i="9"/>
  <c r="Y42" i="9" s="1"/>
  <c r="Z42" i="9" s="1"/>
  <c r="U42" i="9"/>
  <c r="V42" i="9" s="1"/>
  <c r="T42" i="9"/>
  <c r="Q42" i="9"/>
  <c r="R42" i="9" s="1"/>
  <c r="O42" i="9"/>
  <c r="P42" i="9" s="1"/>
  <c r="M42" i="9"/>
  <c r="W41" i="9"/>
  <c r="U41" i="9"/>
  <c r="V41" i="9" s="1"/>
  <c r="T41" i="9"/>
  <c r="Q41" i="9"/>
  <c r="R41" i="9" s="1"/>
  <c r="O41" i="9"/>
  <c r="P41" i="9" s="1"/>
  <c r="M41" i="9"/>
  <c r="W40" i="9"/>
  <c r="X40" i="9" s="1"/>
  <c r="U40" i="9"/>
  <c r="V40" i="9" s="1"/>
  <c r="T40" i="9"/>
  <c r="Q40" i="9"/>
  <c r="R40" i="9" s="1"/>
  <c r="O40" i="9"/>
  <c r="P40" i="9" s="1"/>
  <c r="M40" i="9"/>
  <c r="W39" i="9"/>
  <c r="X39" i="9" s="1"/>
  <c r="U39" i="9"/>
  <c r="V39" i="9" s="1"/>
  <c r="T39" i="9"/>
  <c r="Q39" i="9"/>
  <c r="R39" i="9" s="1"/>
  <c r="O39" i="9"/>
  <c r="P39" i="9" s="1"/>
  <c r="M39" i="9"/>
  <c r="W38" i="9"/>
  <c r="X38" i="9" s="1"/>
  <c r="U38" i="9"/>
  <c r="V38" i="9" s="1"/>
  <c r="T38" i="9"/>
  <c r="Q38" i="9"/>
  <c r="R38" i="9" s="1"/>
  <c r="O38" i="9"/>
  <c r="P38" i="9" s="1"/>
  <c r="M38" i="9"/>
  <c r="W37" i="9"/>
  <c r="U37" i="9"/>
  <c r="V37" i="9" s="1"/>
  <c r="T37" i="9"/>
  <c r="Q37" i="9"/>
  <c r="R37" i="9" s="1"/>
  <c r="O37" i="9"/>
  <c r="P37" i="9" s="1"/>
  <c r="M37" i="9"/>
  <c r="W36" i="9"/>
  <c r="X36" i="9" s="1"/>
  <c r="U36" i="9"/>
  <c r="V36" i="9" s="1"/>
  <c r="T36" i="9"/>
  <c r="Q36" i="9"/>
  <c r="R36" i="9" s="1"/>
  <c r="O36" i="9"/>
  <c r="P36" i="9" s="1"/>
  <c r="M36" i="9"/>
  <c r="L27" i="9"/>
  <c r="W18" i="9"/>
  <c r="Y18" i="9" s="1"/>
  <c r="Z18" i="9" s="1"/>
  <c r="U18" i="9"/>
  <c r="V18" i="9" s="1"/>
  <c r="T18" i="9"/>
  <c r="Q18" i="9"/>
  <c r="R18" i="9" s="1"/>
  <c r="O18" i="9"/>
  <c r="M18" i="9"/>
  <c r="W17" i="9"/>
  <c r="Y17" i="9" s="1"/>
  <c r="Z17" i="9" s="1"/>
  <c r="U17" i="9"/>
  <c r="V17" i="9" s="1"/>
  <c r="T17" i="9"/>
  <c r="Q17" i="9"/>
  <c r="R17" i="9" s="1"/>
  <c r="O17" i="9"/>
  <c r="P17" i="9" s="1"/>
  <c r="M17" i="9"/>
  <c r="W16" i="9"/>
  <c r="Y16" i="9" s="1"/>
  <c r="Z16" i="9" s="1"/>
  <c r="U16" i="9"/>
  <c r="V16" i="9" s="1"/>
  <c r="T16" i="9"/>
  <c r="Q16" i="9"/>
  <c r="R16" i="9" s="1"/>
  <c r="O16" i="9"/>
  <c r="P16" i="9" s="1"/>
  <c r="M16" i="9"/>
  <c r="W15" i="9"/>
  <c r="Y15" i="9" s="1"/>
  <c r="Z15" i="9" s="1"/>
  <c r="U15" i="9"/>
  <c r="V15" i="9" s="1"/>
  <c r="T15" i="9"/>
  <c r="Q15" i="9"/>
  <c r="R15" i="9" s="1"/>
  <c r="O15" i="9"/>
  <c r="P15" i="9" s="1"/>
  <c r="M15" i="9"/>
  <c r="W14" i="9"/>
  <c r="U14" i="9"/>
  <c r="V14" i="9" s="1"/>
  <c r="T14" i="9"/>
  <c r="Q14" i="9"/>
  <c r="R14" i="9" s="1"/>
  <c r="O14" i="9"/>
  <c r="P14" i="9" s="1"/>
  <c r="M14" i="9"/>
  <c r="W13" i="9"/>
  <c r="U13" i="9"/>
  <c r="V13" i="9" s="1"/>
  <c r="T13" i="9"/>
  <c r="Q13" i="9"/>
  <c r="R13" i="9" s="1"/>
  <c r="O13" i="9"/>
  <c r="P13" i="9" s="1"/>
  <c r="M13" i="9"/>
  <c r="W12" i="9"/>
  <c r="U12" i="9"/>
  <c r="V12" i="9" s="1"/>
  <c r="T12" i="9"/>
  <c r="Q12" i="9"/>
  <c r="R12" i="9" s="1"/>
  <c r="O12" i="9"/>
  <c r="P12" i="9" s="1"/>
  <c r="M12" i="9"/>
  <c r="W11" i="9"/>
  <c r="U11" i="9"/>
  <c r="V11" i="9" s="1"/>
  <c r="T11" i="9"/>
  <c r="Q11" i="9"/>
  <c r="R11" i="9" s="1"/>
  <c r="O11" i="9"/>
  <c r="P11" i="9" s="1"/>
  <c r="M11" i="9"/>
  <c r="W10" i="9"/>
  <c r="Y10" i="9" s="1"/>
  <c r="Z10" i="9" s="1"/>
  <c r="U10" i="9"/>
  <c r="V10" i="9" s="1"/>
  <c r="T10" i="9"/>
  <c r="Q10" i="9"/>
  <c r="R10" i="9" s="1"/>
  <c r="O10" i="9"/>
  <c r="P10" i="9" s="1"/>
  <c r="M10" i="9"/>
  <c r="W9" i="9"/>
  <c r="Y9" i="9" s="1"/>
  <c r="Z9" i="9" s="1"/>
  <c r="U9" i="9"/>
  <c r="V9" i="9" s="1"/>
  <c r="T9" i="9"/>
  <c r="Q9" i="9"/>
  <c r="R9" i="9" s="1"/>
  <c r="O9" i="9"/>
  <c r="P9" i="9" s="1"/>
  <c r="M9" i="9"/>
  <c r="W8" i="9"/>
  <c r="Y8" i="9" s="1"/>
  <c r="Z8" i="9" s="1"/>
  <c r="U8" i="9"/>
  <c r="V8" i="9" s="1"/>
  <c r="T8" i="9"/>
  <c r="Q8" i="9"/>
  <c r="R8" i="9" s="1"/>
  <c r="O8" i="9"/>
  <c r="P8" i="9" s="1"/>
  <c r="M8" i="9"/>
  <c r="W7" i="9"/>
  <c r="Y7" i="9" s="1"/>
  <c r="Z7" i="9" s="1"/>
  <c r="U7" i="9"/>
  <c r="V7" i="9" s="1"/>
  <c r="T7" i="9"/>
  <c r="Q7" i="9"/>
  <c r="R7" i="9" s="1"/>
  <c r="O7" i="9"/>
  <c r="P7" i="9" s="1"/>
  <c r="M7" i="9"/>
  <c r="Y113" i="8"/>
  <c r="Z113" i="8" s="1"/>
  <c r="W113" i="8"/>
  <c r="X113" i="8" s="1"/>
  <c r="U113" i="8"/>
  <c r="V113" i="8" s="1"/>
  <c r="S113" i="8"/>
  <c r="T113" i="8" s="1"/>
  <c r="Q113" i="8"/>
  <c r="R113" i="8" s="1"/>
  <c r="O113" i="8"/>
  <c r="P113" i="8" s="1"/>
  <c r="M113" i="8"/>
  <c r="N113" i="8" s="1"/>
  <c r="L113" i="8"/>
  <c r="W98" i="8"/>
  <c r="Y98" i="8" s="1"/>
  <c r="Z98" i="8" s="1"/>
  <c r="U98" i="8"/>
  <c r="V98" i="8" s="1"/>
  <c r="T98" i="8"/>
  <c r="Q98" i="8"/>
  <c r="R98" i="8" s="1"/>
  <c r="O98" i="8"/>
  <c r="P98" i="8" s="1"/>
  <c r="M98" i="8"/>
  <c r="W97" i="8"/>
  <c r="U97" i="8"/>
  <c r="V97" i="8" s="1"/>
  <c r="T97" i="8"/>
  <c r="Q97" i="8"/>
  <c r="R97" i="8" s="1"/>
  <c r="O97" i="8"/>
  <c r="P97" i="8" s="1"/>
  <c r="M97" i="8"/>
  <c r="W96" i="8"/>
  <c r="Y96" i="8" s="1"/>
  <c r="Z96" i="8" s="1"/>
  <c r="U96" i="8"/>
  <c r="V96" i="8" s="1"/>
  <c r="T96" i="8"/>
  <c r="Q96" i="8"/>
  <c r="R96" i="8" s="1"/>
  <c r="O96" i="8"/>
  <c r="P96" i="8" s="1"/>
  <c r="M96" i="8"/>
  <c r="W95" i="8"/>
  <c r="U95" i="8"/>
  <c r="V95" i="8" s="1"/>
  <c r="T95" i="8"/>
  <c r="Q95" i="8"/>
  <c r="R95" i="8" s="1"/>
  <c r="O95" i="8"/>
  <c r="P95" i="8" s="1"/>
  <c r="M95" i="8"/>
  <c r="W94" i="8"/>
  <c r="Y94" i="8" s="1"/>
  <c r="Z94" i="8" s="1"/>
  <c r="U94" i="8"/>
  <c r="V94" i="8" s="1"/>
  <c r="T94" i="8"/>
  <c r="Q94" i="8"/>
  <c r="R94" i="8" s="1"/>
  <c r="O94" i="8"/>
  <c r="P94" i="8" s="1"/>
  <c r="M94" i="8"/>
  <c r="W93" i="8"/>
  <c r="Y93" i="8" s="1"/>
  <c r="Z93" i="8" s="1"/>
  <c r="U93" i="8"/>
  <c r="V93" i="8" s="1"/>
  <c r="T93" i="8"/>
  <c r="Q93" i="8"/>
  <c r="R93" i="8" s="1"/>
  <c r="O93" i="8"/>
  <c r="P93" i="8" s="1"/>
  <c r="M93" i="8"/>
  <c r="L84" i="8"/>
  <c r="Z82" i="8"/>
  <c r="X82" i="8"/>
  <c r="V82" i="8"/>
  <c r="T82" i="8"/>
  <c r="R82" i="8"/>
  <c r="P82" i="8"/>
  <c r="N82" i="8"/>
  <c r="W70" i="8"/>
  <c r="U70" i="8"/>
  <c r="V70" i="8" s="1"/>
  <c r="T70" i="8"/>
  <c r="Q70" i="8"/>
  <c r="R70" i="8" s="1"/>
  <c r="O70" i="8"/>
  <c r="P70" i="8" s="1"/>
  <c r="M70" i="8"/>
  <c r="W69" i="8"/>
  <c r="U69" i="8"/>
  <c r="V69" i="8" s="1"/>
  <c r="T69" i="8"/>
  <c r="Q69" i="8"/>
  <c r="R69" i="8" s="1"/>
  <c r="O69" i="8"/>
  <c r="P69" i="8" s="1"/>
  <c r="M69" i="8"/>
  <c r="W68" i="8"/>
  <c r="U68" i="8"/>
  <c r="V68" i="8" s="1"/>
  <c r="T68" i="8"/>
  <c r="Q68" i="8"/>
  <c r="R68" i="8" s="1"/>
  <c r="O68" i="8"/>
  <c r="M68" i="8"/>
  <c r="W67" i="8"/>
  <c r="Y67" i="8" s="1"/>
  <c r="Z67" i="8" s="1"/>
  <c r="U67" i="8"/>
  <c r="V67" i="8" s="1"/>
  <c r="T67" i="8"/>
  <c r="Q67" i="8"/>
  <c r="R67" i="8" s="1"/>
  <c r="O67" i="8"/>
  <c r="P67" i="8" s="1"/>
  <c r="M67" i="8"/>
  <c r="W66" i="8"/>
  <c r="Y66" i="8" s="1"/>
  <c r="Z66" i="8" s="1"/>
  <c r="U66" i="8"/>
  <c r="V66" i="8" s="1"/>
  <c r="T66" i="8"/>
  <c r="Q66" i="8"/>
  <c r="R66" i="8" s="1"/>
  <c r="O66" i="8"/>
  <c r="P66" i="8" s="1"/>
  <c r="M66" i="8"/>
  <c r="W65" i="8"/>
  <c r="Y65" i="8" s="1"/>
  <c r="Z65" i="8" s="1"/>
  <c r="U65" i="8"/>
  <c r="V65" i="8" s="1"/>
  <c r="T65" i="8"/>
  <c r="Q65" i="8"/>
  <c r="R65" i="8" s="1"/>
  <c r="O65" i="8"/>
  <c r="P65" i="8" s="1"/>
  <c r="M65" i="8"/>
  <c r="L56" i="8"/>
  <c r="Z54" i="8"/>
  <c r="X54" i="8"/>
  <c r="V54" i="8"/>
  <c r="T54" i="8"/>
  <c r="R54" i="8"/>
  <c r="P54" i="8"/>
  <c r="N54" i="8"/>
  <c r="W41" i="8"/>
  <c r="X41" i="8" s="1"/>
  <c r="U41" i="8"/>
  <c r="V41" i="8" s="1"/>
  <c r="T41" i="8"/>
  <c r="Q41" i="8"/>
  <c r="R41" i="8" s="1"/>
  <c r="O41" i="8"/>
  <c r="P41" i="8" s="1"/>
  <c r="M41" i="8"/>
  <c r="W40" i="8"/>
  <c r="X40" i="8" s="1"/>
  <c r="U40" i="8"/>
  <c r="V40" i="8" s="1"/>
  <c r="T40" i="8"/>
  <c r="Q40" i="8"/>
  <c r="R40" i="8" s="1"/>
  <c r="O40" i="8"/>
  <c r="P40" i="8" s="1"/>
  <c r="M40" i="8"/>
  <c r="W39" i="8"/>
  <c r="X39" i="8" s="1"/>
  <c r="U39" i="8"/>
  <c r="V39" i="8" s="1"/>
  <c r="T39" i="8"/>
  <c r="Q39" i="8"/>
  <c r="R39" i="8" s="1"/>
  <c r="O39" i="8"/>
  <c r="M39" i="8"/>
  <c r="W38" i="8"/>
  <c r="X38" i="8" s="1"/>
  <c r="U38" i="8"/>
  <c r="V38" i="8" s="1"/>
  <c r="T38" i="8"/>
  <c r="Q38" i="8"/>
  <c r="R38" i="8" s="1"/>
  <c r="O38" i="8"/>
  <c r="P38" i="8" s="1"/>
  <c r="M38" i="8"/>
  <c r="W37" i="8"/>
  <c r="U37" i="8"/>
  <c r="V37" i="8" s="1"/>
  <c r="T37" i="8"/>
  <c r="Q37" i="8"/>
  <c r="R37" i="8" s="1"/>
  <c r="O37" i="8"/>
  <c r="P37" i="8" s="1"/>
  <c r="M37" i="8"/>
  <c r="W36" i="8"/>
  <c r="X36" i="8" s="1"/>
  <c r="U36" i="8"/>
  <c r="V36" i="8" s="1"/>
  <c r="T36" i="8"/>
  <c r="Q36" i="8"/>
  <c r="R36" i="8" s="1"/>
  <c r="O36" i="8"/>
  <c r="P36" i="8" s="1"/>
  <c r="M36" i="8"/>
  <c r="L27" i="8"/>
  <c r="W12" i="8"/>
  <c r="U12" i="8"/>
  <c r="V12" i="8" s="1"/>
  <c r="T12" i="8"/>
  <c r="Q12" i="8"/>
  <c r="R12" i="8" s="1"/>
  <c r="O12" i="8"/>
  <c r="M12" i="8"/>
  <c r="W11" i="8"/>
  <c r="X11" i="8" s="1"/>
  <c r="U11" i="8"/>
  <c r="V11" i="8" s="1"/>
  <c r="T11" i="8"/>
  <c r="Q11" i="8"/>
  <c r="R11" i="8" s="1"/>
  <c r="O11" i="8"/>
  <c r="P11" i="8" s="1"/>
  <c r="M11" i="8"/>
  <c r="W10" i="8"/>
  <c r="Y10" i="8" s="1"/>
  <c r="Z10" i="8" s="1"/>
  <c r="U10" i="8"/>
  <c r="V10" i="8" s="1"/>
  <c r="T10" i="8"/>
  <c r="Q10" i="8"/>
  <c r="R10" i="8" s="1"/>
  <c r="O10" i="8"/>
  <c r="P10" i="8" s="1"/>
  <c r="M10" i="8"/>
  <c r="W9" i="8"/>
  <c r="Y9" i="8" s="1"/>
  <c r="Z9" i="8" s="1"/>
  <c r="U9" i="8"/>
  <c r="V9" i="8" s="1"/>
  <c r="T9" i="8"/>
  <c r="Q9" i="8"/>
  <c r="R9" i="8" s="1"/>
  <c r="O9" i="8"/>
  <c r="P9" i="8" s="1"/>
  <c r="M9" i="8"/>
  <c r="W8" i="8"/>
  <c r="Y8" i="8" s="1"/>
  <c r="Z8" i="8" s="1"/>
  <c r="U8" i="8"/>
  <c r="V8" i="8" s="1"/>
  <c r="T8" i="8"/>
  <c r="Q8" i="8"/>
  <c r="R8" i="8" s="1"/>
  <c r="O8" i="8"/>
  <c r="P8" i="8" s="1"/>
  <c r="M8" i="8"/>
  <c r="W7" i="8"/>
  <c r="Y7" i="8" s="1"/>
  <c r="Z7" i="8" s="1"/>
  <c r="U7" i="8"/>
  <c r="V7" i="8" s="1"/>
  <c r="T7" i="8"/>
  <c r="Q7" i="8"/>
  <c r="R7" i="8" s="1"/>
  <c r="O7" i="8"/>
  <c r="P7" i="8" s="1"/>
  <c r="M7" i="8"/>
  <c r="Y113" i="7"/>
  <c r="Z113" i="7" s="1"/>
  <c r="W113" i="7"/>
  <c r="X113" i="7" s="1"/>
  <c r="U113" i="7"/>
  <c r="V113" i="7" s="1"/>
  <c r="S113" i="7"/>
  <c r="T113" i="7" s="1"/>
  <c r="Q113" i="7"/>
  <c r="R113" i="7" s="1"/>
  <c r="O113" i="7"/>
  <c r="P113" i="7" s="1"/>
  <c r="M113" i="7"/>
  <c r="N113" i="7" s="1"/>
  <c r="L113" i="7"/>
  <c r="Z111" i="7"/>
  <c r="X111" i="7"/>
  <c r="V111" i="7"/>
  <c r="T111" i="7"/>
  <c r="R111" i="7"/>
  <c r="P111" i="7"/>
  <c r="N111" i="7"/>
  <c r="W104" i="7"/>
  <c r="X104" i="7" s="1"/>
  <c r="U104" i="7"/>
  <c r="V104" i="7" s="1"/>
  <c r="T104" i="7"/>
  <c r="Q104" i="7"/>
  <c r="R104" i="7" s="1"/>
  <c r="O104" i="7"/>
  <c r="P104" i="7" s="1"/>
  <c r="M104" i="7"/>
  <c r="W103" i="7"/>
  <c r="X103" i="7" s="1"/>
  <c r="U103" i="7"/>
  <c r="V103" i="7" s="1"/>
  <c r="T103" i="7"/>
  <c r="Q103" i="7"/>
  <c r="R103" i="7" s="1"/>
  <c r="O103" i="7"/>
  <c r="P103" i="7" s="1"/>
  <c r="M103" i="7"/>
  <c r="W102" i="7"/>
  <c r="X102" i="7" s="1"/>
  <c r="U102" i="7"/>
  <c r="V102" i="7" s="1"/>
  <c r="T102" i="7"/>
  <c r="Q102" i="7"/>
  <c r="R102" i="7" s="1"/>
  <c r="O102" i="7"/>
  <c r="P102" i="7" s="1"/>
  <c r="M102" i="7"/>
  <c r="W101" i="7"/>
  <c r="X101" i="7" s="1"/>
  <c r="U101" i="7"/>
  <c r="V101" i="7" s="1"/>
  <c r="T101" i="7"/>
  <c r="Q101" i="7"/>
  <c r="R101" i="7" s="1"/>
  <c r="O101" i="7"/>
  <c r="P101" i="7" s="1"/>
  <c r="M101" i="7"/>
  <c r="W100" i="7"/>
  <c r="X100" i="7" s="1"/>
  <c r="U100" i="7"/>
  <c r="V100" i="7" s="1"/>
  <c r="T100" i="7"/>
  <c r="Q100" i="7"/>
  <c r="R100" i="7" s="1"/>
  <c r="O100" i="7"/>
  <c r="P100" i="7" s="1"/>
  <c r="M100" i="7"/>
  <c r="W99" i="7"/>
  <c r="U99" i="7"/>
  <c r="V99" i="7" s="1"/>
  <c r="T99" i="7"/>
  <c r="Q99" i="7"/>
  <c r="R99" i="7" s="1"/>
  <c r="O99" i="7"/>
  <c r="P99" i="7" s="1"/>
  <c r="M99" i="7"/>
  <c r="W98" i="7"/>
  <c r="X98" i="7" s="1"/>
  <c r="U98" i="7"/>
  <c r="V98" i="7" s="1"/>
  <c r="T98" i="7"/>
  <c r="Q98" i="7"/>
  <c r="R98" i="7" s="1"/>
  <c r="O98" i="7"/>
  <c r="P98" i="7" s="1"/>
  <c r="M98" i="7"/>
  <c r="W97" i="7"/>
  <c r="X97" i="7" s="1"/>
  <c r="U97" i="7"/>
  <c r="V97" i="7" s="1"/>
  <c r="T97" i="7"/>
  <c r="Q97" i="7"/>
  <c r="R97" i="7" s="1"/>
  <c r="O97" i="7"/>
  <c r="P97" i="7" s="1"/>
  <c r="M97" i="7"/>
  <c r="W96" i="7"/>
  <c r="U96" i="7"/>
  <c r="V96" i="7" s="1"/>
  <c r="T96" i="7"/>
  <c r="Q96" i="7"/>
  <c r="R96" i="7" s="1"/>
  <c r="O96" i="7"/>
  <c r="P96" i="7" s="1"/>
  <c r="M96" i="7"/>
  <c r="W95" i="7"/>
  <c r="Y95" i="7" s="1"/>
  <c r="Z95" i="7" s="1"/>
  <c r="U95" i="7"/>
  <c r="V95" i="7" s="1"/>
  <c r="T95" i="7"/>
  <c r="Q95" i="7"/>
  <c r="R95" i="7" s="1"/>
  <c r="O95" i="7"/>
  <c r="P95" i="7" s="1"/>
  <c r="M95" i="7"/>
  <c r="W94" i="7"/>
  <c r="U94" i="7"/>
  <c r="V94" i="7" s="1"/>
  <c r="T94" i="7"/>
  <c r="Q94" i="7"/>
  <c r="R94" i="7" s="1"/>
  <c r="O94" i="7"/>
  <c r="P94" i="7" s="1"/>
  <c r="M94" i="7"/>
  <c r="W93" i="7"/>
  <c r="U93" i="7"/>
  <c r="V93" i="7" s="1"/>
  <c r="T93" i="7"/>
  <c r="Q93" i="7"/>
  <c r="R93" i="7" s="1"/>
  <c r="O93" i="7"/>
  <c r="M93" i="7"/>
  <c r="L84" i="7"/>
  <c r="W76" i="7"/>
  <c r="Y76" i="7" s="1"/>
  <c r="Z76" i="7" s="1"/>
  <c r="U76" i="7"/>
  <c r="V76" i="7" s="1"/>
  <c r="T76" i="7"/>
  <c r="Q76" i="7"/>
  <c r="R76" i="7" s="1"/>
  <c r="O76" i="7"/>
  <c r="P76" i="7" s="1"/>
  <c r="M76" i="7"/>
  <c r="W75" i="7"/>
  <c r="Y75" i="7" s="1"/>
  <c r="Z75" i="7" s="1"/>
  <c r="U75" i="7"/>
  <c r="V75" i="7" s="1"/>
  <c r="T75" i="7"/>
  <c r="Q75" i="7"/>
  <c r="R75" i="7" s="1"/>
  <c r="O75" i="7"/>
  <c r="M75" i="7"/>
  <c r="W74" i="7"/>
  <c r="X74" i="7" s="1"/>
  <c r="U74" i="7"/>
  <c r="V74" i="7" s="1"/>
  <c r="T74" i="7"/>
  <c r="Q74" i="7"/>
  <c r="R74" i="7" s="1"/>
  <c r="O74" i="7"/>
  <c r="P74" i="7" s="1"/>
  <c r="M74" i="7"/>
  <c r="W73" i="7"/>
  <c r="X73" i="7" s="1"/>
  <c r="U73" i="7"/>
  <c r="V73" i="7" s="1"/>
  <c r="T73" i="7"/>
  <c r="Q73" i="7"/>
  <c r="R73" i="7" s="1"/>
  <c r="O73" i="7"/>
  <c r="P73" i="7" s="1"/>
  <c r="M73" i="7"/>
  <c r="W72" i="7"/>
  <c r="U72" i="7"/>
  <c r="V72" i="7" s="1"/>
  <c r="T72" i="7"/>
  <c r="Q72" i="7"/>
  <c r="R72" i="7" s="1"/>
  <c r="O72" i="7"/>
  <c r="P72" i="7" s="1"/>
  <c r="M72" i="7"/>
  <c r="W71" i="7"/>
  <c r="X71" i="7" s="1"/>
  <c r="U71" i="7"/>
  <c r="V71" i="7" s="1"/>
  <c r="T71" i="7"/>
  <c r="Q71" i="7"/>
  <c r="R71" i="7" s="1"/>
  <c r="O71" i="7"/>
  <c r="P71" i="7" s="1"/>
  <c r="M71" i="7"/>
  <c r="W70" i="7"/>
  <c r="X70" i="7" s="1"/>
  <c r="U70" i="7"/>
  <c r="V70" i="7" s="1"/>
  <c r="T70" i="7"/>
  <c r="Q70" i="7"/>
  <c r="R70" i="7" s="1"/>
  <c r="O70" i="7"/>
  <c r="M70" i="7"/>
  <c r="W69" i="7"/>
  <c r="X69" i="7" s="1"/>
  <c r="U69" i="7"/>
  <c r="V69" i="7" s="1"/>
  <c r="T69" i="7"/>
  <c r="Q69" i="7"/>
  <c r="R69" i="7" s="1"/>
  <c r="O69" i="7"/>
  <c r="P69" i="7" s="1"/>
  <c r="M69" i="7"/>
  <c r="W68" i="7"/>
  <c r="U68" i="7"/>
  <c r="V68" i="7" s="1"/>
  <c r="T68" i="7"/>
  <c r="Q68" i="7"/>
  <c r="R68" i="7" s="1"/>
  <c r="O68" i="7"/>
  <c r="P68" i="7" s="1"/>
  <c r="M68" i="7"/>
  <c r="W67" i="7"/>
  <c r="U67" i="7"/>
  <c r="V67" i="7" s="1"/>
  <c r="T67" i="7"/>
  <c r="Q67" i="7"/>
  <c r="R67" i="7" s="1"/>
  <c r="O67" i="7"/>
  <c r="P67" i="7" s="1"/>
  <c r="M67" i="7"/>
  <c r="W66" i="7"/>
  <c r="X66" i="7" s="1"/>
  <c r="U66" i="7"/>
  <c r="V66" i="7" s="1"/>
  <c r="T66" i="7"/>
  <c r="Q66" i="7"/>
  <c r="R66" i="7" s="1"/>
  <c r="O66" i="7"/>
  <c r="M66" i="7"/>
  <c r="W65" i="7"/>
  <c r="U65" i="7"/>
  <c r="V65" i="7" s="1"/>
  <c r="T65" i="7"/>
  <c r="Q65" i="7"/>
  <c r="R65" i="7" s="1"/>
  <c r="O65" i="7"/>
  <c r="P65" i="7" s="1"/>
  <c r="M65" i="7"/>
  <c r="L56" i="7"/>
  <c r="W47" i="7"/>
  <c r="X47" i="7" s="1"/>
  <c r="U47" i="7"/>
  <c r="V47" i="7" s="1"/>
  <c r="T47" i="7"/>
  <c r="Q47" i="7"/>
  <c r="R47" i="7" s="1"/>
  <c r="O47" i="7"/>
  <c r="M47" i="7"/>
  <c r="W46" i="7"/>
  <c r="X46" i="7" s="1"/>
  <c r="U46" i="7"/>
  <c r="V46" i="7" s="1"/>
  <c r="T46" i="7"/>
  <c r="Q46" i="7"/>
  <c r="R46" i="7" s="1"/>
  <c r="O46" i="7"/>
  <c r="P46" i="7" s="1"/>
  <c r="M46" i="7"/>
  <c r="W45" i="7"/>
  <c r="X45" i="7" s="1"/>
  <c r="U45" i="7"/>
  <c r="V45" i="7" s="1"/>
  <c r="T45" i="7"/>
  <c r="Q45" i="7"/>
  <c r="R45" i="7" s="1"/>
  <c r="O45" i="7"/>
  <c r="P45" i="7" s="1"/>
  <c r="M45" i="7"/>
  <c r="W44" i="7"/>
  <c r="Y44" i="7" s="1"/>
  <c r="Z44" i="7" s="1"/>
  <c r="U44" i="7"/>
  <c r="V44" i="7" s="1"/>
  <c r="T44" i="7"/>
  <c r="Q44" i="7"/>
  <c r="R44" i="7" s="1"/>
  <c r="O44" i="7"/>
  <c r="P44" i="7" s="1"/>
  <c r="M44" i="7"/>
  <c r="W43" i="7"/>
  <c r="X43" i="7" s="1"/>
  <c r="U43" i="7"/>
  <c r="V43" i="7" s="1"/>
  <c r="T43" i="7"/>
  <c r="Q43" i="7"/>
  <c r="R43" i="7" s="1"/>
  <c r="O43" i="7"/>
  <c r="P43" i="7" s="1"/>
  <c r="M43" i="7"/>
  <c r="W42" i="7"/>
  <c r="U42" i="7"/>
  <c r="V42" i="7" s="1"/>
  <c r="T42" i="7"/>
  <c r="Q42" i="7"/>
  <c r="R42" i="7" s="1"/>
  <c r="O42" i="7"/>
  <c r="P42" i="7" s="1"/>
  <c r="M42" i="7"/>
  <c r="W41" i="7"/>
  <c r="U41" i="7"/>
  <c r="V41" i="7" s="1"/>
  <c r="T41" i="7"/>
  <c r="Q41" i="7"/>
  <c r="R41" i="7" s="1"/>
  <c r="O41" i="7"/>
  <c r="P41" i="7" s="1"/>
  <c r="M41" i="7"/>
  <c r="W40" i="7"/>
  <c r="Y40" i="7" s="1"/>
  <c r="Z40" i="7" s="1"/>
  <c r="U40" i="7"/>
  <c r="V40" i="7" s="1"/>
  <c r="T40" i="7"/>
  <c r="Q40" i="7"/>
  <c r="R40" i="7" s="1"/>
  <c r="O40" i="7"/>
  <c r="P40" i="7" s="1"/>
  <c r="M40" i="7"/>
  <c r="W39" i="7"/>
  <c r="X39" i="7" s="1"/>
  <c r="U39" i="7"/>
  <c r="V39" i="7" s="1"/>
  <c r="T39" i="7"/>
  <c r="Q39" i="7"/>
  <c r="R39" i="7" s="1"/>
  <c r="O39" i="7"/>
  <c r="P39" i="7" s="1"/>
  <c r="M39" i="7"/>
  <c r="W38" i="7"/>
  <c r="X38" i="7" s="1"/>
  <c r="U38" i="7"/>
  <c r="V38" i="7" s="1"/>
  <c r="T38" i="7"/>
  <c r="Q38" i="7"/>
  <c r="R38" i="7" s="1"/>
  <c r="O38" i="7"/>
  <c r="P38" i="7" s="1"/>
  <c r="M38" i="7"/>
  <c r="W37" i="7"/>
  <c r="X37" i="7" s="1"/>
  <c r="U37" i="7"/>
  <c r="V37" i="7" s="1"/>
  <c r="T37" i="7"/>
  <c r="Q37" i="7"/>
  <c r="R37" i="7" s="1"/>
  <c r="O37" i="7"/>
  <c r="P37" i="7" s="1"/>
  <c r="M37" i="7"/>
  <c r="W36" i="7"/>
  <c r="U36" i="7"/>
  <c r="V36" i="7" s="1"/>
  <c r="T36" i="7"/>
  <c r="Q36" i="7"/>
  <c r="R36" i="7" s="1"/>
  <c r="O36" i="7"/>
  <c r="P36" i="7" s="1"/>
  <c r="M36" i="7"/>
  <c r="L27" i="7"/>
  <c r="W18" i="7"/>
  <c r="Y18" i="7" s="1"/>
  <c r="Z18" i="7" s="1"/>
  <c r="U18" i="7"/>
  <c r="V18" i="7" s="1"/>
  <c r="T18" i="7"/>
  <c r="Q18" i="7"/>
  <c r="R18" i="7" s="1"/>
  <c r="O18" i="7"/>
  <c r="P18" i="7" s="1"/>
  <c r="M18" i="7"/>
  <c r="W17" i="7"/>
  <c r="Y17" i="7" s="1"/>
  <c r="Z17" i="7" s="1"/>
  <c r="U17" i="7"/>
  <c r="V17" i="7" s="1"/>
  <c r="T17" i="7"/>
  <c r="Q17" i="7"/>
  <c r="R17" i="7" s="1"/>
  <c r="O17" i="7"/>
  <c r="P17" i="7" s="1"/>
  <c r="M17" i="7"/>
  <c r="W16" i="7"/>
  <c r="Y16" i="7" s="1"/>
  <c r="Z16" i="7" s="1"/>
  <c r="U16" i="7"/>
  <c r="V16" i="7" s="1"/>
  <c r="T16" i="7"/>
  <c r="Q16" i="7"/>
  <c r="R16" i="7" s="1"/>
  <c r="O16" i="7"/>
  <c r="P16" i="7" s="1"/>
  <c r="M16" i="7"/>
  <c r="W15" i="7"/>
  <c r="Y15" i="7" s="1"/>
  <c r="Z15" i="7" s="1"/>
  <c r="U15" i="7"/>
  <c r="V15" i="7" s="1"/>
  <c r="T15" i="7"/>
  <c r="Q15" i="7"/>
  <c r="R15" i="7" s="1"/>
  <c r="O15" i="7"/>
  <c r="P15" i="7" s="1"/>
  <c r="M15" i="7"/>
  <c r="W14" i="7"/>
  <c r="X14" i="7" s="1"/>
  <c r="U14" i="7"/>
  <c r="V14" i="7" s="1"/>
  <c r="T14" i="7"/>
  <c r="Q14" i="7"/>
  <c r="R14" i="7" s="1"/>
  <c r="O14" i="7"/>
  <c r="P14" i="7" s="1"/>
  <c r="M14" i="7"/>
  <c r="W13" i="7"/>
  <c r="Y13" i="7" s="1"/>
  <c r="Z13" i="7" s="1"/>
  <c r="U13" i="7"/>
  <c r="V13" i="7" s="1"/>
  <c r="T13" i="7"/>
  <c r="Q13" i="7"/>
  <c r="R13" i="7" s="1"/>
  <c r="O13" i="7"/>
  <c r="P13" i="7" s="1"/>
  <c r="M13" i="7"/>
  <c r="W12" i="7"/>
  <c r="Y12" i="7" s="1"/>
  <c r="Z12" i="7" s="1"/>
  <c r="U12" i="7"/>
  <c r="V12" i="7" s="1"/>
  <c r="T12" i="7"/>
  <c r="Q12" i="7"/>
  <c r="R12" i="7" s="1"/>
  <c r="O12" i="7"/>
  <c r="P12" i="7" s="1"/>
  <c r="M12" i="7"/>
  <c r="W11" i="7"/>
  <c r="Y11" i="7" s="1"/>
  <c r="Z11" i="7" s="1"/>
  <c r="U11" i="7"/>
  <c r="V11" i="7" s="1"/>
  <c r="T11" i="7"/>
  <c r="Q11" i="7"/>
  <c r="R11" i="7" s="1"/>
  <c r="O11" i="7"/>
  <c r="P11" i="7" s="1"/>
  <c r="M11" i="7"/>
  <c r="W10" i="7"/>
  <c r="Y10" i="7" s="1"/>
  <c r="Z10" i="7" s="1"/>
  <c r="U10" i="7"/>
  <c r="V10" i="7" s="1"/>
  <c r="T10" i="7"/>
  <c r="Q10" i="7"/>
  <c r="R10" i="7" s="1"/>
  <c r="O10" i="7"/>
  <c r="P10" i="7" s="1"/>
  <c r="M10" i="7"/>
  <c r="W9" i="7"/>
  <c r="Y9" i="7" s="1"/>
  <c r="Z9" i="7" s="1"/>
  <c r="U9" i="7"/>
  <c r="V9" i="7" s="1"/>
  <c r="T9" i="7"/>
  <c r="Q9" i="7"/>
  <c r="R9" i="7" s="1"/>
  <c r="O9" i="7"/>
  <c r="P9" i="7" s="1"/>
  <c r="M9" i="7"/>
  <c r="W8" i="7"/>
  <c r="Y8" i="7" s="1"/>
  <c r="Z8" i="7" s="1"/>
  <c r="U8" i="7"/>
  <c r="V8" i="7" s="1"/>
  <c r="T8" i="7"/>
  <c r="Q8" i="7"/>
  <c r="R8" i="7" s="1"/>
  <c r="O8" i="7"/>
  <c r="P8" i="7" s="1"/>
  <c r="M8" i="7"/>
  <c r="W7" i="7"/>
  <c r="Y7" i="7" s="1"/>
  <c r="Z7" i="7" s="1"/>
  <c r="U7" i="7"/>
  <c r="V7" i="7" s="1"/>
  <c r="T7" i="7"/>
  <c r="Q7" i="7"/>
  <c r="R7" i="7" s="1"/>
  <c r="O7" i="7"/>
  <c r="P7" i="7" s="1"/>
  <c r="M7" i="7"/>
  <c r="Y113" i="6"/>
  <c r="Z113" i="6" s="1"/>
  <c r="W113" i="6"/>
  <c r="X113" i="6" s="1"/>
  <c r="U113" i="6"/>
  <c r="V113" i="6" s="1"/>
  <c r="S113" i="6"/>
  <c r="T113" i="6" s="1"/>
  <c r="Q113" i="6"/>
  <c r="R113" i="6" s="1"/>
  <c r="O113" i="6"/>
  <c r="P113" i="6" s="1"/>
  <c r="M113" i="6"/>
  <c r="N113" i="6" s="1"/>
  <c r="L113" i="6"/>
  <c r="U104" i="6"/>
  <c r="V104" i="6" s="1"/>
  <c r="T104" i="6"/>
  <c r="U103" i="6"/>
  <c r="V103" i="6" s="1"/>
  <c r="T103" i="6"/>
  <c r="U102" i="6"/>
  <c r="V102" i="6" s="1"/>
  <c r="T102" i="6"/>
  <c r="U101" i="6"/>
  <c r="V101" i="6" s="1"/>
  <c r="T101" i="6"/>
  <c r="U100" i="6"/>
  <c r="V100" i="6" s="1"/>
  <c r="T100" i="6"/>
  <c r="U99" i="6"/>
  <c r="V99" i="6" s="1"/>
  <c r="T99" i="6"/>
  <c r="W98" i="6"/>
  <c r="U98" i="6"/>
  <c r="V98" i="6" s="1"/>
  <c r="T98" i="6"/>
  <c r="Q98" i="6"/>
  <c r="R98" i="6" s="1"/>
  <c r="O98" i="6"/>
  <c r="P98" i="6" s="1"/>
  <c r="M98" i="6"/>
  <c r="W97" i="6"/>
  <c r="Y97" i="6" s="1"/>
  <c r="Z97" i="6" s="1"/>
  <c r="U97" i="6"/>
  <c r="V97" i="6" s="1"/>
  <c r="T97" i="6"/>
  <c r="Q97" i="6"/>
  <c r="R97" i="6" s="1"/>
  <c r="O97" i="6"/>
  <c r="P97" i="6" s="1"/>
  <c r="M97" i="6"/>
  <c r="W96" i="6"/>
  <c r="U96" i="6"/>
  <c r="V96" i="6" s="1"/>
  <c r="T96" i="6"/>
  <c r="Q96" i="6"/>
  <c r="R96" i="6" s="1"/>
  <c r="O96" i="6"/>
  <c r="P96" i="6" s="1"/>
  <c r="M96" i="6"/>
  <c r="W95" i="6"/>
  <c r="Y95" i="6" s="1"/>
  <c r="Z95" i="6" s="1"/>
  <c r="U95" i="6"/>
  <c r="V95" i="6" s="1"/>
  <c r="T95" i="6"/>
  <c r="Q95" i="6"/>
  <c r="R95" i="6" s="1"/>
  <c r="O95" i="6"/>
  <c r="P95" i="6" s="1"/>
  <c r="M95" i="6"/>
  <c r="W94" i="6"/>
  <c r="U94" i="6"/>
  <c r="V94" i="6" s="1"/>
  <c r="T94" i="6"/>
  <c r="Q94" i="6"/>
  <c r="R94" i="6" s="1"/>
  <c r="O94" i="6"/>
  <c r="P94" i="6" s="1"/>
  <c r="M94" i="6"/>
  <c r="W93" i="6"/>
  <c r="U93" i="6"/>
  <c r="V93" i="6" s="1"/>
  <c r="T93" i="6"/>
  <c r="Q93" i="6"/>
  <c r="R93" i="6" s="1"/>
  <c r="O93" i="6"/>
  <c r="P93" i="6" s="1"/>
  <c r="M93" i="6"/>
  <c r="Y84" i="6"/>
  <c r="Z84" i="6" s="1"/>
  <c r="W84" i="6"/>
  <c r="X84" i="6" s="1"/>
  <c r="U84" i="6"/>
  <c r="V84" i="6" s="1"/>
  <c r="S84" i="6"/>
  <c r="T84" i="6" s="1"/>
  <c r="Q84" i="6"/>
  <c r="R84" i="6" s="1"/>
  <c r="O84" i="6"/>
  <c r="P84" i="6" s="1"/>
  <c r="M84" i="6"/>
  <c r="N84" i="6" s="1"/>
  <c r="L84" i="6"/>
  <c r="W70" i="6"/>
  <c r="Y70" i="6" s="1"/>
  <c r="Z70" i="6" s="1"/>
  <c r="U70" i="6"/>
  <c r="V70" i="6" s="1"/>
  <c r="T70" i="6"/>
  <c r="Q70" i="6"/>
  <c r="R70" i="6" s="1"/>
  <c r="O70" i="6"/>
  <c r="P70" i="6" s="1"/>
  <c r="M70" i="6"/>
  <c r="W69" i="6"/>
  <c r="U69" i="6"/>
  <c r="V69" i="6" s="1"/>
  <c r="T69" i="6"/>
  <c r="Q69" i="6"/>
  <c r="R69" i="6" s="1"/>
  <c r="O69" i="6"/>
  <c r="M69" i="6"/>
  <c r="W68" i="6"/>
  <c r="Y68" i="6" s="1"/>
  <c r="Z68" i="6" s="1"/>
  <c r="U68" i="6"/>
  <c r="V68" i="6" s="1"/>
  <c r="T68" i="6"/>
  <c r="Q68" i="6"/>
  <c r="R68" i="6" s="1"/>
  <c r="O68" i="6"/>
  <c r="P68" i="6" s="1"/>
  <c r="M68" i="6"/>
  <c r="W67" i="6"/>
  <c r="Y67" i="6" s="1"/>
  <c r="Z67" i="6" s="1"/>
  <c r="U67" i="6"/>
  <c r="V67" i="6" s="1"/>
  <c r="T67" i="6"/>
  <c r="Q67" i="6"/>
  <c r="R67" i="6" s="1"/>
  <c r="O67" i="6"/>
  <c r="P67" i="6" s="1"/>
  <c r="M67" i="6"/>
  <c r="W66" i="6"/>
  <c r="Y66" i="6" s="1"/>
  <c r="Z66" i="6" s="1"/>
  <c r="U66" i="6"/>
  <c r="V66" i="6" s="1"/>
  <c r="T66" i="6"/>
  <c r="Q66" i="6"/>
  <c r="R66" i="6" s="1"/>
  <c r="O66" i="6"/>
  <c r="P66" i="6" s="1"/>
  <c r="M66" i="6"/>
  <c r="W65" i="6"/>
  <c r="U65" i="6"/>
  <c r="V65" i="6" s="1"/>
  <c r="T65" i="6"/>
  <c r="Q65" i="6"/>
  <c r="R65" i="6" s="1"/>
  <c r="O65" i="6"/>
  <c r="M65" i="6"/>
  <c r="L56" i="6"/>
  <c r="T47" i="6"/>
  <c r="T46" i="6"/>
  <c r="T45" i="6"/>
  <c r="T44" i="6"/>
  <c r="T43" i="6"/>
  <c r="T42" i="6"/>
  <c r="W41" i="6"/>
  <c r="U41" i="6"/>
  <c r="V41" i="6" s="1"/>
  <c r="T41" i="6"/>
  <c r="Q41" i="6"/>
  <c r="R41" i="6" s="1"/>
  <c r="O41" i="6"/>
  <c r="P41" i="6" s="1"/>
  <c r="M41" i="6"/>
  <c r="W40" i="6"/>
  <c r="U40" i="6"/>
  <c r="V40" i="6" s="1"/>
  <c r="T40" i="6"/>
  <c r="Q40" i="6"/>
  <c r="R40" i="6" s="1"/>
  <c r="O40" i="6"/>
  <c r="P40" i="6" s="1"/>
  <c r="M40" i="6"/>
  <c r="W39" i="6"/>
  <c r="X39" i="6" s="1"/>
  <c r="U39" i="6"/>
  <c r="V39" i="6" s="1"/>
  <c r="T39" i="6"/>
  <c r="Q39" i="6"/>
  <c r="R39" i="6" s="1"/>
  <c r="O39" i="6"/>
  <c r="P39" i="6" s="1"/>
  <c r="M39" i="6"/>
  <c r="W38" i="6"/>
  <c r="X38" i="6" s="1"/>
  <c r="U38" i="6"/>
  <c r="V38" i="6" s="1"/>
  <c r="T38" i="6"/>
  <c r="Q38" i="6"/>
  <c r="R38" i="6" s="1"/>
  <c r="O38" i="6"/>
  <c r="P38" i="6" s="1"/>
  <c r="M38" i="6"/>
  <c r="W37" i="6"/>
  <c r="X37" i="6" s="1"/>
  <c r="U37" i="6"/>
  <c r="V37" i="6" s="1"/>
  <c r="T37" i="6"/>
  <c r="Q37" i="6"/>
  <c r="R37" i="6" s="1"/>
  <c r="O37" i="6"/>
  <c r="P37" i="6" s="1"/>
  <c r="M37" i="6"/>
  <c r="W36" i="6"/>
  <c r="U36" i="6"/>
  <c r="V36" i="6" s="1"/>
  <c r="T36" i="6"/>
  <c r="Q36" i="6"/>
  <c r="R36" i="6" s="1"/>
  <c r="O36" i="6"/>
  <c r="P36" i="6" s="1"/>
  <c r="M36" i="6"/>
  <c r="L27" i="6"/>
  <c r="Z25" i="6"/>
  <c r="X25" i="6"/>
  <c r="V25" i="6"/>
  <c r="T25" i="6"/>
  <c r="R25" i="6"/>
  <c r="P25" i="6"/>
  <c r="N25" i="6"/>
  <c r="L113" i="5"/>
  <c r="W98" i="5"/>
  <c r="U98" i="5"/>
  <c r="V98" i="5" s="1"/>
  <c r="T98" i="5"/>
  <c r="Q98" i="5"/>
  <c r="R98" i="5" s="1"/>
  <c r="O98" i="5"/>
  <c r="P98" i="5" s="1"/>
  <c r="M98" i="5"/>
  <c r="W97" i="5"/>
  <c r="Y97" i="5" s="1"/>
  <c r="Z97" i="5" s="1"/>
  <c r="U97" i="5"/>
  <c r="V97" i="5" s="1"/>
  <c r="T97" i="5"/>
  <c r="Q97" i="5"/>
  <c r="R97" i="5" s="1"/>
  <c r="O97" i="5"/>
  <c r="P97" i="5" s="1"/>
  <c r="M97" i="5"/>
  <c r="W96" i="5"/>
  <c r="U96" i="5"/>
  <c r="V96" i="5" s="1"/>
  <c r="T96" i="5"/>
  <c r="Q96" i="5"/>
  <c r="R96" i="5" s="1"/>
  <c r="O96" i="5"/>
  <c r="P96" i="5" s="1"/>
  <c r="M96" i="5"/>
  <c r="W95" i="5"/>
  <c r="Y95" i="5" s="1"/>
  <c r="Z95" i="5" s="1"/>
  <c r="U95" i="5"/>
  <c r="V95" i="5" s="1"/>
  <c r="T95" i="5"/>
  <c r="Q95" i="5"/>
  <c r="R95" i="5" s="1"/>
  <c r="O95" i="5"/>
  <c r="P95" i="5" s="1"/>
  <c r="M95" i="5"/>
  <c r="W94" i="5"/>
  <c r="U94" i="5"/>
  <c r="V94" i="5" s="1"/>
  <c r="T94" i="5"/>
  <c r="Q94" i="5"/>
  <c r="R94" i="5" s="1"/>
  <c r="O94" i="5"/>
  <c r="P94" i="5" s="1"/>
  <c r="M94" i="5"/>
  <c r="W93" i="5"/>
  <c r="X93" i="5" s="1"/>
  <c r="U93" i="5"/>
  <c r="V93" i="5" s="1"/>
  <c r="T93" i="5"/>
  <c r="Q93" i="5"/>
  <c r="R93" i="5" s="1"/>
  <c r="O93" i="5"/>
  <c r="P93" i="5" s="1"/>
  <c r="M93" i="5"/>
  <c r="Y84" i="5"/>
  <c r="Z84" i="5" s="1"/>
  <c r="W84" i="5"/>
  <c r="X84" i="5" s="1"/>
  <c r="U84" i="5"/>
  <c r="V84" i="5" s="1"/>
  <c r="S84" i="5"/>
  <c r="T84" i="5" s="1"/>
  <c r="Q84" i="5"/>
  <c r="R84" i="5" s="1"/>
  <c r="O84" i="5"/>
  <c r="P84" i="5" s="1"/>
  <c r="M84" i="5"/>
  <c r="N84" i="5" s="1"/>
  <c r="L84" i="5"/>
  <c r="Z82" i="5"/>
  <c r="X82" i="5"/>
  <c r="V82" i="5"/>
  <c r="T82" i="5"/>
  <c r="R82" i="5"/>
  <c r="P82" i="5"/>
  <c r="N82" i="5"/>
  <c r="W70" i="5"/>
  <c r="Y70" i="5" s="1"/>
  <c r="Z70" i="5" s="1"/>
  <c r="U70" i="5"/>
  <c r="V70" i="5" s="1"/>
  <c r="T70" i="5"/>
  <c r="Q70" i="5"/>
  <c r="R70" i="5" s="1"/>
  <c r="O70" i="5"/>
  <c r="P70" i="5" s="1"/>
  <c r="M70" i="5"/>
  <c r="W69" i="5"/>
  <c r="Y69" i="5" s="1"/>
  <c r="Z69" i="5" s="1"/>
  <c r="U69" i="5"/>
  <c r="V69" i="5" s="1"/>
  <c r="T69" i="5"/>
  <c r="Q69" i="5"/>
  <c r="R69" i="5" s="1"/>
  <c r="O69" i="5"/>
  <c r="P69" i="5" s="1"/>
  <c r="M69" i="5"/>
  <c r="W68" i="5"/>
  <c r="U68" i="5"/>
  <c r="V68" i="5" s="1"/>
  <c r="T68" i="5"/>
  <c r="Q68" i="5"/>
  <c r="R68" i="5" s="1"/>
  <c r="O68" i="5"/>
  <c r="M68" i="5"/>
  <c r="W67" i="5"/>
  <c r="Y67" i="5" s="1"/>
  <c r="Z67" i="5" s="1"/>
  <c r="U67" i="5"/>
  <c r="V67" i="5" s="1"/>
  <c r="T67" i="5"/>
  <c r="Q67" i="5"/>
  <c r="R67" i="5" s="1"/>
  <c r="O67" i="5"/>
  <c r="P67" i="5" s="1"/>
  <c r="M67" i="5"/>
  <c r="W66" i="5"/>
  <c r="Y66" i="5" s="1"/>
  <c r="Z66" i="5" s="1"/>
  <c r="U66" i="5"/>
  <c r="V66" i="5" s="1"/>
  <c r="T66" i="5"/>
  <c r="Q66" i="5"/>
  <c r="R66" i="5" s="1"/>
  <c r="O66" i="5"/>
  <c r="P66" i="5" s="1"/>
  <c r="M66" i="5"/>
  <c r="W65" i="5"/>
  <c r="Y65" i="5" s="1"/>
  <c r="Z65" i="5" s="1"/>
  <c r="U65" i="5"/>
  <c r="V65" i="5" s="1"/>
  <c r="T65" i="5"/>
  <c r="Q65" i="5"/>
  <c r="R65" i="5" s="1"/>
  <c r="O65" i="5"/>
  <c r="P65" i="5" s="1"/>
  <c r="M65" i="5"/>
  <c r="Y56" i="5"/>
  <c r="Z56" i="5" s="1"/>
  <c r="Q56" i="5"/>
  <c r="R56" i="5" s="1"/>
  <c r="L56" i="5"/>
  <c r="U56" i="5"/>
  <c r="V56" i="5" s="1"/>
  <c r="S56" i="5"/>
  <c r="T56" i="5" s="1"/>
  <c r="O56" i="5"/>
  <c r="P56" i="5" s="1"/>
  <c r="W37" i="5"/>
  <c r="Y37" i="5" s="1"/>
  <c r="Z37" i="5" s="1"/>
  <c r="U37" i="5"/>
  <c r="V37" i="5" s="1"/>
  <c r="T37" i="5"/>
  <c r="Q37" i="5"/>
  <c r="R37" i="5" s="1"/>
  <c r="O37" i="5"/>
  <c r="P37" i="5" s="1"/>
  <c r="M37" i="5"/>
  <c r="W36" i="5"/>
  <c r="Y36" i="5" s="1"/>
  <c r="Z36" i="5" s="1"/>
  <c r="U36" i="5"/>
  <c r="V36" i="5" s="1"/>
  <c r="T36" i="5"/>
  <c r="Q36" i="5"/>
  <c r="R36" i="5" s="1"/>
  <c r="O36" i="5"/>
  <c r="P36" i="5" s="1"/>
  <c r="M36" i="5"/>
  <c r="L27" i="5"/>
  <c r="Z25" i="5"/>
  <c r="X25" i="5"/>
  <c r="V25" i="5"/>
  <c r="T25" i="5"/>
  <c r="R25" i="5"/>
  <c r="P25" i="5"/>
  <c r="N25" i="5"/>
  <c r="W18" i="5"/>
  <c r="Y18" i="5" s="1"/>
  <c r="Z18" i="5" s="1"/>
  <c r="U18" i="5"/>
  <c r="V18" i="5" s="1"/>
  <c r="T18" i="5"/>
  <c r="Q18" i="5"/>
  <c r="R18" i="5" s="1"/>
  <c r="O18" i="5"/>
  <c r="P18" i="5" s="1"/>
  <c r="M18" i="5"/>
  <c r="W17" i="5"/>
  <c r="X17" i="5" s="1"/>
  <c r="U17" i="5"/>
  <c r="V17" i="5" s="1"/>
  <c r="T17" i="5"/>
  <c r="Q17" i="5"/>
  <c r="R17" i="5" s="1"/>
  <c r="O17" i="5"/>
  <c r="P17" i="5" s="1"/>
  <c r="M17" i="5"/>
  <c r="W16" i="5"/>
  <c r="U16" i="5"/>
  <c r="V16" i="5" s="1"/>
  <c r="T16" i="5"/>
  <c r="Q16" i="5"/>
  <c r="R16" i="5" s="1"/>
  <c r="O16" i="5"/>
  <c r="P16" i="5" s="1"/>
  <c r="M16" i="5"/>
  <c r="W15" i="5"/>
  <c r="Y15" i="5" s="1"/>
  <c r="Z15" i="5" s="1"/>
  <c r="U15" i="5"/>
  <c r="V15" i="5" s="1"/>
  <c r="T15" i="5"/>
  <c r="Q15" i="5"/>
  <c r="R15" i="5" s="1"/>
  <c r="O15" i="5"/>
  <c r="P15" i="5" s="1"/>
  <c r="M15" i="5"/>
  <c r="W14" i="5"/>
  <c r="U14" i="5"/>
  <c r="V14" i="5" s="1"/>
  <c r="T14" i="5"/>
  <c r="Q14" i="5"/>
  <c r="R14" i="5" s="1"/>
  <c r="O14" i="5"/>
  <c r="P14" i="5" s="1"/>
  <c r="M14" i="5"/>
  <c r="W13" i="5"/>
  <c r="X13" i="5" s="1"/>
  <c r="U13" i="5"/>
  <c r="V13" i="5" s="1"/>
  <c r="T13" i="5"/>
  <c r="Q13" i="5"/>
  <c r="R13" i="5" s="1"/>
  <c r="O13" i="5"/>
  <c r="P13" i="5" s="1"/>
  <c r="M13" i="5"/>
  <c r="W12" i="5"/>
  <c r="U12" i="5"/>
  <c r="V12" i="5" s="1"/>
  <c r="T12" i="5"/>
  <c r="Q12" i="5"/>
  <c r="R12" i="5" s="1"/>
  <c r="O12" i="5"/>
  <c r="P12" i="5" s="1"/>
  <c r="M12" i="5"/>
  <c r="W11" i="5"/>
  <c r="Y11" i="5" s="1"/>
  <c r="Z11" i="5" s="1"/>
  <c r="U11" i="5"/>
  <c r="V11" i="5" s="1"/>
  <c r="T11" i="5"/>
  <c r="Q11" i="5"/>
  <c r="R11" i="5" s="1"/>
  <c r="O11" i="5"/>
  <c r="P11" i="5" s="1"/>
  <c r="M11" i="5"/>
  <c r="W10" i="5"/>
  <c r="Y10" i="5" s="1"/>
  <c r="Z10" i="5" s="1"/>
  <c r="U10" i="5"/>
  <c r="V10" i="5" s="1"/>
  <c r="T10" i="5"/>
  <c r="Q10" i="5"/>
  <c r="R10" i="5" s="1"/>
  <c r="O10" i="5"/>
  <c r="P10" i="5" s="1"/>
  <c r="M10" i="5"/>
  <c r="W9" i="5"/>
  <c r="X9" i="5" s="1"/>
  <c r="U9" i="5"/>
  <c r="V9" i="5" s="1"/>
  <c r="T9" i="5"/>
  <c r="Q9" i="5"/>
  <c r="R9" i="5" s="1"/>
  <c r="O9" i="5"/>
  <c r="P9" i="5" s="1"/>
  <c r="M9" i="5"/>
  <c r="W8" i="5"/>
  <c r="X8" i="5" s="1"/>
  <c r="U8" i="5"/>
  <c r="V8" i="5" s="1"/>
  <c r="T8" i="5"/>
  <c r="Q8" i="5"/>
  <c r="R8" i="5" s="1"/>
  <c r="O8" i="5"/>
  <c r="P8" i="5" s="1"/>
  <c r="M8" i="5"/>
  <c r="W7" i="5"/>
  <c r="Y7" i="5" s="1"/>
  <c r="Z7" i="5" s="1"/>
  <c r="U7" i="5"/>
  <c r="V7" i="5" s="1"/>
  <c r="T7" i="5"/>
  <c r="Q7" i="5"/>
  <c r="R7" i="5" s="1"/>
  <c r="O7" i="5"/>
  <c r="P7" i="5" s="1"/>
  <c r="M7" i="5"/>
  <c r="Y113" i="4"/>
  <c r="Z113" i="4" s="1"/>
  <c r="W113" i="4"/>
  <c r="X113" i="4" s="1"/>
  <c r="U113" i="4"/>
  <c r="V113" i="4" s="1"/>
  <c r="S113" i="4"/>
  <c r="T113" i="4" s="1"/>
  <c r="Q113" i="4"/>
  <c r="R113" i="4" s="1"/>
  <c r="O113" i="4"/>
  <c r="P113" i="4" s="1"/>
  <c r="M113" i="4"/>
  <c r="N113" i="4" s="1"/>
  <c r="L113" i="4"/>
  <c r="W104" i="4"/>
  <c r="Y104" i="4" s="1"/>
  <c r="Z104" i="4" s="1"/>
  <c r="U104" i="4"/>
  <c r="V104" i="4" s="1"/>
  <c r="T104" i="4"/>
  <c r="Q104" i="4"/>
  <c r="R104" i="4" s="1"/>
  <c r="O104" i="4"/>
  <c r="P104" i="4" s="1"/>
  <c r="M104" i="4"/>
  <c r="W103" i="4"/>
  <c r="U103" i="4"/>
  <c r="V103" i="4" s="1"/>
  <c r="T103" i="4"/>
  <c r="Q103" i="4"/>
  <c r="R103" i="4" s="1"/>
  <c r="O103" i="4"/>
  <c r="P103" i="4" s="1"/>
  <c r="M103" i="4"/>
  <c r="W102" i="4"/>
  <c r="Y102" i="4" s="1"/>
  <c r="Z102" i="4" s="1"/>
  <c r="U102" i="4"/>
  <c r="V102" i="4" s="1"/>
  <c r="T102" i="4"/>
  <c r="Q102" i="4"/>
  <c r="R102" i="4" s="1"/>
  <c r="O102" i="4"/>
  <c r="P102" i="4" s="1"/>
  <c r="M102" i="4"/>
  <c r="W101" i="4"/>
  <c r="Y101" i="4" s="1"/>
  <c r="Z101" i="4" s="1"/>
  <c r="U101" i="4"/>
  <c r="V101" i="4" s="1"/>
  <c r="T101" i="4"/>
  <c r="Q101" i="4"/>
  <c r="R101" i="4" s="1"/>
  <c r="O101" i="4"/>
  <c r="P101" i="4" s="1"/>
  <c r="M101" i="4"/>
  <c r="W100" i="4"/>
  <c r="Y100" i="4" s="1"/>
  <c r="Z100" i="4" s="1"/>
  <c r="U100" i="4"/>
  <c r="V100" i="4" s="1"/>
  <c r="T100" i="4"/>
  <c r="Q100" i="4"/>
  <c r="R100" i="4" s="1"/>
  <c r="O100" i="4"/>
  <c r="P100" i="4" s="1"/>
  <c r="M100" i="4"/>
  <c r="W99" i="4"/>
  <c r="Y99" i="4" s="1"/>
  <c r="Z99" i="4" s="1"/>
  <c r="U99" i="4"/>
  <c r="V99" i="4" s="1"/>
  <c r="T99" i="4"/>
  <c r="Q99" i="4"/>
  <c r="R99" i="4" s="1"/>
  <c r="O99" i="4"/>
  <c r="P99" i="4" s="1"/>
  <c r="M99" i="4"/>
  <c r="W98" i="4"/>
  <c r="Y98" i="4" s="1"/>
  <c r="Z98" i="4" s="1"/>
  <c r="U98" i="4"/>
  <c r="V98" i="4" s="1"/>
  <c r="T98" i="4"/>
  <c r="Q98" i="4"/>
  <c r="R98" i="4" s="1"/>
  <c r="O98" i="4"/>
  <c r="P98" i="4" s="1"/>
  <c r="M98" i="4"/>
  <c r="W97" i="4"/>
  <c r="Y97" i="4" s="1"/>
  <c r="Z97" i="4" s="1"/>
  <c r="U97" i="4"/>
  <c r="V97" i="4" s="1"/>
  <c r="T97" i="4"/>
  <c r="Q97" i="4"/>
  <c r="R97" i="4" s="1"/>
  <c r="O97" i="4"/>
  <c r="P97" i="4" s="1"/>
  <c r="M97" i="4"/>
  <c r="W96" i="4"/>
  <c r="Y96" i="4" s="1"/>
  <c r="Z96" i="4" s="1"/>
  <c r="U96" i="4"/>
  <c r="V96" i="4" s="1"/>
  <c r="T96" i="4"/>
  <c r="Q96" i="4"/>
  <c r="R96" i="4" s="1"/>
  <c r="O96" i="4"/>
  <c r="P96" i="4" s="1"/>
  <c r="M96" i="4"/>
  <c r="W95" i="4"/>
  <c r="Y95" i="4" s="1"/>
  <c r="Z95" i="4" s="1"/>
  <c r="U95" i="4"/>
  <c r="V95" i="4" s="1"/>
  <c r="T95" i="4"/>
  <c r="Q95" i="4"/>
  <c r="R95" i="4" s="1"/>
  <c r="O95" i="4"/>
  <c r="P95" i="4" s="1"/>
  <c r="M95" i="4"/>
  <c r="W94" i="4"/>
  <c r="X94" i="4" s="1"/>
  <c r="U94" i="4"/>
  <c r="V94" i="4" s="1"/>
  <c r="T94" i="4"/>
  <c r="Q94" i="4"/>
  <c r="R94" i="4" s="1"/>
  <c r="O94" i="4"/>
  <c r="P94" i="4" s="1"/>
  <c r="M94" i="4"/>
  <c r="W93" i="4"/>
  <c r="Y93" i="4" s="1"/>
  <c r="Z93" i="4" s="1"/>
  <c r="U93" i="4"/>
  <c r="V93" i="4" s="1"/>
  <c r="T93" i="4"/>
  <c r="Q93" i="4"/>
  <c r="R93" i="4" s="1"/>
  <c r="O93" i="4"/>
  <c r="P93" i="4" s="1"/>
  <c r="M93" i="4"/>
  <c r="L84" i="4"/>
  <c r="Z82" i="4"/>
  <c r="X82" i="4"/>
  <c r="V82" i="4"/>
  <c r="T82" i="4"/>
  <c r="R82" i="4"/>
  <c r="P82" i="4"/>
  <c r="N82" i="4"/>
  <c r="W76" i="4"/>
  <c r="Y76" i="4" s="1"/>
  <c r="Z76" i="4" s="1"/>
  <c r="U76" i="4"/>
  <c r="V76" i="4" s="1"/>
  <c r="T76" i="4"/>
  <c r="Q76" i="4"/>
  <c r="R76" i="4" s="1"/>
  <c r="O76" i="4"/>
  <c r="P76" i="4" s="1"/>
  <c r="M76" i="4"/>
  <c r="W75" i="4"/>
  <c r="U75" i="4"/>
  <c r="V75" i="4" s="1"/>
  <c r="T75" i="4"/>
  <c r="Q75" i="4"/>
  <c r="R75" i="4" s="1"/>
  <c r="O75" i="4"/>
  <c r="P75" i="4" s="1"/>
  <c r="M75" i="4"/>
  <c r="W74" i="4"/>
  <c r="Y74" i="4" s="1"/>
  <c r="Z74" i="4" s="1"/>
  <c r="U74" i="4"/>
  <c r="V74" i="4" s="1"/>
  <c r="T74" i="4"/>
  <c r="Q74" i="4"/>
  <c r="R74" i="4" s="1"/>
  <c r="O74" i="4"/>
  <c r="P74" i="4" s="1"/>
  <c r="M74" i="4"/>
  <c r="W73" i="4"/>
  <c r="Y73" i="4" s="1"/>
  <c r="Z73" i="4" s="1"/>
  <c r="U73" i="4"/>
  <c r="V73" i="4" s="1"/>
  <c r="T73" i="4"/>
  <c r="Q73" i="4"/>
  <c r="R73" i="4" s="1"/>
  <c r="O73" i="4"/>
  <c r="P73" i="4" s="1"/>
  <c r="M73" i="4"/>
  <c r="W72" i="4"/>
  <c r="Y72" i="4" s="1"/>
  <c r="Z72" i="4" s="1"/>
  <c r="U72" i="4"/>
  <c r="V72" i="4" s="1"/>
  <c r="T72" i="4"/>
  <c r="Q72" i="4"/>
  <c r="R72" i="4" s="1"/>
  <c r="O72" i="4"/>
  <c r="P72" i="4" s="1"/>
  <c r="M72" i="4"/>
  <c r="W71" i="4"/>
  <c r="X71" i="4" s="1"/>
  <c r="U71" i="4"/>
  <c r="V71" i="4" s="1"/>
  <c r="T71" i="4"/>
  <c r="Q71" i="4"/>
  <c r="R71" i="4" s="1"/>
  <c r="O71" i="4"/>
  <c r="P71" i="4" s="1"/>
  <c r="M71" i="4"/>
  <c r="W70" i="4"/>
  <c r="Y70" i="4" s="1"/>
  <c r="Z70" i="4" s="1"/>
  <c r="U70" i="4"/>
  <c r="V70" i="4" s="1"/>
  <c r="T70" i="4"/>
  <c r="Q70" i="4"/>
  <c r="R70" i="4" s="1"/>
  <c r="O70" i="4"/>
  <c r="P70" i="4" s="1"/>
  <c r="M70" i="4"/>
  <c r="W69" i="4"/>
  <c r="Y69" i="4" s="1"/>
  <c r="Z69" i="4" s="1"/>
  <c r="U69" i="4"/>
  <c r="V69" i="4" s="1"/>
  <c r="T69" i="4"/>
  <c r="Q69" i="4"/>
  <c r="R69" i="4" s="1"/>
  <c r="O69" i="4"/>
  <c r="P69" i="4" s="1"/>
  <c r="M69" i="4"/>
  <c r="W68" i="4"/>
  <c r="Y68" i="4" s="1"/>
  <c r="Z68" i="4" s="1"/>
  <c r="U68" i="4"/>
  <c r="V68" i="4" s="1"/>
  <c r="T68" i="4"/>
  <c r="Q68" i="4"/>
  <c r="R68" i="4" s="1"/>
  <c r="O68" i="4"/>
  <c r="P68" i="4" s="1"/>
  <c r="M68" i="4"/>
  <c r="W67" i="4"/>
  <c r="Y67" i="4" s="1"/>
  <c r="Z67" i="4" s="1"/>
  <c r="U67" i="4"/>
  <c r="V67" i="4" s="1"/>
  <c r="T67" i="4"/>
  <c r="Q67" i="4"/>
  <c r="R67" i="4" s="1"/>
  <c r="O67" i="4"/>
  <c r="P67" i="4" s="1"/>
  <c r="M67" i="4"/>
  <c r="W66" i="4"/>
  <c r="U66" i="4"/>
  <c r="V66" i="4" s="1"/>
  <c r="T66" i="4"/>
  <c r="Q66" i="4"/>
  <c r="R66" i="4" s="1"/>
  <c r="O66" i="4"/>
  <c r="P66" i="4" s="1"/>
  <c r="W65" i="4"/>
  <c r="Y65" i="4" s="1"/>
  <c r="Z65" i="4" s="1"/>
  <c r="U65" i="4"/>
  <c r="V65" i="4" s="1"/>
  <c r="T65" i="4"/>
  <c r="Q65" i="4"/>
  <c r="R65" i="4" s="1"/>
  <c r="O65" i="4"/>
  <c r="P65" i="4" s="1"/>
  <c r="L56" i="4"/>
  <c r="W47" i="4"/>
  <c r="U47" i="4"/>
  <c r="V47" i="4" s="1"/>
  <c r="T47" i="4"/>
  <c r="Q47" i="4"/>
  <c r="R47" i="4" s="1"/>
  <c r="O47" i="4"/>
  <c r="M47" i="4"/>
  <c r="W46" i="4"/>
  <c r="U46" i="4"/>
  <c r="V46" i="4" s="1"/>
  <c r="U56" i="4" s="1"/>
  <c r="V56" i="4" s="1"/>
  <c r="T46" i="4"/>
  <c r="Q46" i="4"/>
  <c r="R46" i="4" s="1"/>
  <c r="O46" i="4"/>
  <c r="M46" i="4"/>
  <c r="W45" i="4"/>
  <c r="U45" i="4"/>
  <c r="V45" i="4" s="1"/>
  <c r="T45" i="4"/>
  <c r="Q45" i="4"/>
  <c r="R45" i="4" s="1"/>
  <c r="O45" i="4"/>
  <c r="M45" i="4"/>
  <c r="W44" i="4"/>
  <c r="U44" i="4"/>
  <c r="V44" i="4" s="1"/>
  <c r="T44" i="4"/>
  <c r="Q44" i="4"/>
  <c r="R44" i="4" s="1"/>
  <c r="O44" i="4"/>
  <c r="P44" i="4" s="1"/>
  <c r="M44" i="4"/>
  <c r="W43" i="4"/>
  <c r="U43" i="4"/>
  <c r="V43" i="4" s="1"/>
  <c r="T43" i="4"/>
  <c r="Q43" i="4"/>
  <c r="R43" i="4" s="1"/>
  <c r="Q56" i="4" s="1"/>
  <c r="R56" i="4" s="1"/>
  <c r="O43" i="4"/>
  <c r="P43" i="4" s="1"/>
  <c r="M43" i="4"/>
  <c r="W42" i="4"/>
  <c r="U42" i="4"/>
  <c r="V42" i="4" s="1"/>
  <c r="T42" i="4"/>
  <c r="Q42" i="4"/>
  <c r="R42" i="4" s="1"/>
  <c r="O42" i="4"/>
  <c r="P42" i="4" s="1"/>
  <c r="M42" i="4"/>
  <c r="W41" i="4"/>
  <c r="Y41" i="4" s="1"/>
  <c r="Z41" i="4" s="1"/>
  <c r="U41" i="4"/>
  <c r="V41" i="4" s="1"/>
  <c r="T41" i="4"/>
  <c r="Q41" i="4"/>
  <c r="R41" i="4" s="1"/>
  <c r="O41" i="4"/>
  <c r="P41" i="4" s="1"/>
  <c r="M41" i="4"/>
  <c r="W40" i="4"/>
  <c r="Y40" i="4" s="1"/>
  <c r="Z40" i="4" s="1"/>
  <c r="U40" i="4"/>
  <c r="V40" i="4" s="1"/>
  <c r="T40" i="4"/>
  <c r="Q40" i="4"/>
  <c r="R40" i="4" s="1"/>
  <c r="O40" i="4"/>
  <c r="P40" i="4" s="1"/>
  <c r="M40" i="4"/>
  <c r="W39" i="4"/>
  <c r="Y39" i="4" s="1"/>
  <c r="Z39" i="4" s="1"/>
  <c r="U39" i="4"/>
  <c r="V39" i="4" s="1"/>
  <c r="T39" i="4"/>
  <c r="Q39" i="4"/>
  <c r="R39" i="4" s="1"/>
  <c r="O39" i="4"/>
  <c r="P39" i="4" s="1"/>
  <c r="M39" i="4"/>
  <c r="W38" i="4"/>
  <c r="Y38" i="4" s="1"/>
  <c r="Z38" i="4" s="1"/>
  <c r="U38" i="4"/>
  <c r="V38" i="4" s="1"/>
  <c r="T38" i="4"/>
  <c r="Q38" i="4"/>
  <c r="R38" i="4" s="1"/>
  <c r="O38" i="4"/>
  <c r="M38" i="4"/>
  <c r="W37" i="4"/>
  <c r="Y37" i="4" s="1"/>
  <c r="Z37" i="4" s="1"/>
  <c r="U37" i="4"/>
  <c r="V37" i="4" s="1"/>
  <c r="T37" i="4"/>
  <c r="Q37" i="4"/>
  <c r="R37" i="4" s="1"/>
  <c r="O37" i="4"/>
  <c r="M37" i="4"/>
  <c r="W36" i="4"/>
  <c r="Y36" i="4" s="1"/>
  <c r="Z36" i="4" s="1"/>
  <c r="U36" i="4"/>
  <c r="V36" i="4" s="1"/>
  <c r="T36" i="4"/>
  <c r="Q36" i="4"/>
  <c r="R36" i="4" s="1"/>
  <c r="O36" i="4"/>
  <c r="P36" i="4" s="1"/>
  <c r="M36" i="4"/>
  <c r="Y27" i="4"/>
  <c r="Z27" i="4" s="1"/>
  <c r="W27" i="4"/>
  <c r="X27" i="4" s="1"/>
  <c r="U27" i="4"/>
  <c r="V27" i="4" s="1"/>
  <c r="S27" i="4"/>
  <c r="T27" i="4" s="1"/>
  <c r="Q27" i="4"/>
  <c r="R27" i="4" s="1"/>
  <c r="O27" i="4"/>
  <c r="P27" i="4" s="1"/>
  <c r="M27" i="4"/>
  <c r="N27" i="4" s="1"/>
  <c r="L27" i="4"/>
  <c r="Z25" i="4"/>
  <c r="X25" i="4"/>
  <c r="V25" i="4"/>
  <c r="T25" i="4"/>
  <c r="R25" i="4"/>
  <c r="P25" i="4"/>
  <c r="N25" i="4"/>
  <c r="W18" i="4"/>
  <c r="Y18" i="4" s="1"/>
  <c r="Z18" i="4" s="1"/>
  <c r="U18" i="4"/>
  <c r="V18" i="4" s="1"/>
  <c r="T18" i="4"/>
  <c r="Q18" i="4"/>
  <c r="R18" i="4" s="1"/>
  <c r="O18" i="4"/>
  <c r="P18" i="4" s="1"/>
  <c r="W17" i="4"/>
  <c r="Y17" i="4" s="1"/>
  <c r="Z17" i="4" s="1"/>
  <c r="U17" i="4"/>
  <c r="V17" i="4" s="1"/>
  <c r="T17" i="4"/>
  <c r="Q17" i="4"/>
  <c r="R17" i="4" s="1"/>
  <c r="O17" i="4"/>
  <c r="P17" i="4" s="1"/>
  <c r="W16" i="4"/>
  <c r="Y16" i="4" s="1"/>
  <c r="Z16" i="4" s="1"/>
  <c r="U16" i="4"/>
  <c r="V16" i="4" s="1"/>
  <c r="T16" i="4"/>
  <c r="Q16" i="4"/>
  <c r="R16" i="4" s="1"/>
  <c r="O16" i="4"/>
  <c r="P16" i="4" s="1"/>
  <c r="W15" i="4"/>
  <c r="Y15" i="4" s="1"/>
  <c r="Z15" i="4" s="1"/>
  <c r="U15" i="4"/>
  <c r="V15" i="4" s="1"/>
  <c r="T15" i="4"/>
  <c r="Q15" i="4"/>
  <c r="R15" i="4" s="1"/>
  <c r="O15" i="4"/>
  <c r="P15" i="4" s="1"/>
  <c r="W14" i="4"/>
  <c r="Y14" i="4" s="1"/>
  <c r="Z14" i="4" s="1"/>
  <c r="U14" i="4"/>
  <c r="V14" i="4" s="1"/>
  <c r="T14" i="4"/>
  <c r="W13" i="4"/>
  <c r="X13" i="4" s="1"/>
  <c r="U13" i="4"/>
  <c r="V13" i="4" s="1"/>
  <c r="T13" i="4"/>
  <c r="W12" i="4"/>
  <c r="X12" i="4" s="1"/>
  <c r="U12" i="4"/>
  <c r="V12" i="4" s="1"/>
  <c r="T12" i="4"/>
  <c r="W11" i="4"/>
  <c r="X11" i="4" s="1"/>
  <c r="U11" i="4"/>
  <c r="V11" i="4" s="1"/>
  <c r="T11" i="4"/>
  <c r="W10" i="4"/>
  <c r="X10" i="4" s="1"/>
  <c r="U10" i="4"/>
  <c r="V10" i="4" s="1"/>
  <c r="T10" i="4"/>
  <c r="W9" i="4"/>
  <c r="Y9" i="4" s="1"/>
  <c r="Z9" i="4" s="1"/>
  <c r="U9" i="4"/>
  <c r="V9" i="4" s="1"/>
  <c r="T9" i="4"/>
  <c r="W8" i="4"/>
  <c r="Y8" i="4" s="1"/>
  <c r="Z8" i="4" s="1"/>
  <c r="U8" i="4"/>
  <c r="V8" i="4" s="1"/>
  <c r="T8" i="4"/>
  <c r="W7" i="4"/>
  <c r="Y7" i="4" s="1"/>
  <c r="Z7" i="4" s="1"/>
  <c r="U7" i="4"/>
  <c r="V7" i="4" s="1"/>
  <c r="T7" i="4"/>
  <c r="Y113" i="3"/>
  <c r="Z113" i="3" s="1"/>
  <c r="W113" i="3"/>
  <c r="X113" i="3" s="1"/>
  <c r="U113" i="3"/>
  <c r="V113" i="3" s="1"/>
  <c r="S113" i="3"/>
  <c r="T113" i="3" s="1"/>
  <c r="Q113" i="3"/>
  <c r="R113" i="3" s="1"/>
  <c r="O113" i="3"/>
  <c r="P113" i="3" s="1"/>
  <c r="M113" i="3"/>
  <c r="N113" i="3" s="1"/>
  <c r="L113" i="3"/>
  <c r="Z111" i="3"/>
  <c r="X111" i="3"/>
  <c r="V111" i="3"/>
  <c r="T111" i="3"/>
  <c r="R111" i="3"/>
  <c r="P111" i="3"/>
  <c r="N111" i="3"/>
  <c r="W104" i="3"/>
  <c r="U104" i="3"/>
  <c r="V104" i="3" s="1"/>
  <c r="T104" i="3"/>
  <c r="Q104" i="3"/>
  <c r="R104" i="3" s="1"/>
  <c r="O104" i="3"/>
  <c r="P104" i="3" s="1"/>
  <c r="M104" i="3"/>
  <c r="W103" i="3"/>
  <c r="Y103" i="3" s="1"/>
  <c r="Z103" i="3" s="1"/>
  <c r="U103" i="3"/>
  <c r="V103" i="3" s="1"/>
  <c r="T103" i="3"/>
  <c r="Q103" i="3"/>
  <c r="R103" i="3" s="1"/>
  <c r="O103" i="3"/>
  <c r="P103" i="3" s="1"/>
  <c r="M103" i="3"/>
  <c r="W102" i="3"/>
  <c r="X102" i="3" s="1"/>
  <c r="U102" i="3"/>
  <c r="V102" i="3" s="1"/>
  <c r="T102" i="3"/>
  <c r="Q102" i="3"/>
  <c r="R102" i="3" s="1"/>
  <c r="O102" i="3"/>
  <c r="P102" i="3" s="1"/>
  <c r="M102" i="3"/>
  <c r="W101" i="3"/>
  <c r="X101" i="3" s="1"/>
  <c r="U101" i="3"/>
  <c r="V101" i="3" s="1"/>
  <c r="T101" i="3"/>
  <c r="Q101" i="3"/>
  <c r="R101" i="3" s="1"/>
  <c r="O101" i="3"/>
  <c r="P101" i="3" s="1"/>
  <c r="M101" i="3"/>
  <c r="W100" i="3"/>
  <c r="X100" i="3" s="1"/>
  <c r="U100" i="3"/>
  <c r="V100" i="3" s="1"/>
  <c r="T100" i="3"/>
  <c r="Q100" i="3"/>
  <c r="R100" i="3" s="1"/>
  <c r="O100" i="3"/>
  <c r="P100" i="3" s="1"/>
  <c r="M100" i="3"/>
  <c r="W99" i="3"/>
  <c r="Y99" i="3" s="1"/>
  <c r="Z99" i="3" s="1"/>
  <c r="U99" i="3"/>
  <c r="V99" i="3" s="1"/>
  <c r="T99" i="3"/>
  <c r="Q99" i="3"/>
  <c r="R99" i="3" s="1"/>
  <c r="O99" i="3"/>
  <c r="P99" i="3" s="1"/>
  <c r="M99" i="3"/>
  <c r="W98" i="3"/>
  <c r="Y98" i="3" s="1"/>
  <c r="Z98" i="3" s="1"/>
  <c r="U98" i="3"/>
  <c r="V98" i="3" s="1"/>
  <c r="T98" i="3"/>
  <c r="Q98" i="3"/>
  <c r="R98" i="3" s="1"/>
  <c r="O98" i="3"/>
  <c r="P98" i="3" s="1"/>
  <c r="M98" i="3"/>
  <c r="W97" i="3"/>
  <c r="Y97" i="3" s="1"/>
  <c r="Z97" i="3" s="1"/>
  <c r="U97" i="3"/>
  <c r="V97" i="3" s="1"/>
  <c r="T97" i="3"/>
  <c r="Q97" i="3"/>
  <c r="R97" i="3" s="1"/>
  <c r="O97" i="3"/>
  <c r="P97" i="3" s="1"/>
  <c r="M97" i="3"/>
  <c r="W96" i="3"/>
  <c r="U96" i="3"/>
  <c r="V96" i="3" s="1"/>
  <c r="T96" i="3"/>
  <c r="Q96" i="3"/>
  <c r="R96" i="3" s="1"/>
  <c r="O96" i="3"/>
  <c r="P96" i="3" s="1"/>
  <c r="M96" i="3"/>
  <c r="W95" i="3"/>
  <c r="Y95" i="3" s="1"/>
  <c r="Z95" i="3" s="1"/>
  <c r="U95" i="3"/>
  <c r="V95" i="3" s="1"/>
  <c r="T95" i="3"/>
  <c r="Q95" i="3"/>
  <c r="R95" i="3" s="1"/>
  <c r="O95" i="3"/>
  <c r="P95" i="3" s="1"/>
  <c r="M95" i="3"/>
  <c r="W94" i="3"/>
  <c r="Y94" i="3" s="1"/>
  <c r="Z94" i="3" s="1"/>
  <c r="U94" i="3"/>
  <c r="V94" i="3" s="1"/>
  <c r="T94" i="3"/>
  <c r="Q94" i="3"/>
  <c r="R94" i="3" s="1"/>
  <c r="O94" i="3"/>
  <c r="P94" i="3" s="1"/>
  <c r="M94" i="3"/>
  <c r="W93" i="3"/>
  <c r="U93" i="3"/>
  <c r="V93" i="3" s="1"/>
  <c r="T93" i="3"/>
  <c r="Q93" i="3"/>
  <c r="R93" i="3" s="1"/>
  <c r="O93" i="3"/>
  <c r="P93" i="3" s="1"/>
  <c r="M93" i="3"/>
  <c r="Y84" i="3"/>
  <c r="Z84" i="3" s="1"/>
  <c r="W84" i="3"/>
  <c r="X84" i="3" s="1"/>
  <c r="U84" i="3"/>
  <c r="V84" i="3" s="1"/>
  <c r="S84" i="3"/>
  <c r="T84" i="3" s="1"/>
  <c r="Q84" i="3"/>
  <c r="R84" i="3" s="1"/>
  <c r="O84" i="3"/>
  <c r="P84" i="3" s="1"/>
  <c r="M84" i="3"/>
  <c r="N84" i="3" s="1"/>
  <c r="L84" i="3"/>
  <c r="Z82" i="3"/>
  <c r="X82" i="3"/>
  <c r="V82" i="3"/>
  <c r="T82" i="3"/>
  <c r="R82" i="3"/>
  <c r="P82" i="3"/>
  <c r="N82" i="3"/>
  <c r="Y56" i="3"/>
  <c r="Z56" i="3" s="1"/>
  <c r="W56" i="3"/>
  <c r="X56" i="3" s="1"/>
  <c r="U56" i="3"/>
  <c r="V56" i="3" s="1"/>
  <c r="S56" i="3"/>
  <c r="T56" i="3" s="1"/>
  <c r="Q56" i="3"/>
  <c r="R56" i="3" s="1"/>
  <c r="O56" i="3"/>
  <c r="P56" i="3" s="1"/>
  <c r="M56" i="3"/>
  <c r="N56" i="3" s="1"/>
  <c r="L56" i="3"/>
  <c r="Z54" i="3"/>
  <c r="X54" i="3"/>
  <c r="V54" i="3"/>
  <c r="T54" i="3"/>
  <c r="R54" i="3"/>
  <c r="P54" i="3"/>
  <c r="N54" i="3"/>
  <c r="W47" i="3"/>
  <c r="Y47" i="3" s="1"/>
  <c r="Z47" i="3" s="1"/>
  <c r="U47" i="3"/>
  <c r="V47" i="3" s="1"/>
  <c r="T47" i="3"/>
  <c r="Q47" i="3"/>
  <c r="R47" i="3" s="1"/>
  <c r="O47" i="3"/>
  <c r="P47" i="3" s="1"/>
  <c r="M47" i="3"/>
  <c r="W46" i="3"/>
  <c r="Y46" i="3" s="1"/>
  <c r="Z46" i="3" s="1"/>
  <c r="U46" i="3"/>
  <c r="V46" i="3" s="1"/>
  <c r="T46" i="3"/>
  <c r="Q46" i="3"/>
  <c r="R46" i="3" s="1"/>
  <c r="O46" i="3"/>
  <c r="M46" i="3"/>
  <c r="W45" i="3"/>
  <c r="Y45" i="3" s="1"/>
  <c r="Z45" i="3" s="1"/>
  <c r="U45" i="3"/>
  <c r="V45" i="3" s="1"/>
  <c r="T45" i="3"/>
  <c r="Q45" i="3"/>
  <c r="R45" i="3" s="1"/>
  <c r="O45" i="3"/>
  <c r="P45" i="3" s="1"/>
  <c r="M45" i="3"/>
  <c r="W44" i="3"/>
  <c r="Y44" i="3" s="1"/>
  <c r="Z44" i="3" s="1"/>
  <c r="U44" i="3"/>
  <c r="V44" i="3" s="1"/>
  <c r="T44" i="3"/>
  <c r="Q44" i="3"/>
  <c r="R44" i="3" s="1"/>
  <c r="O44" i="3"/>
  <c r="P44" i="3" s="1"/>
  <c r="M44" i="3"/>
  <c r="W43" i="3"/>
  <c r="Y43" i="3" s="1"/>
  <c r="Z43" i="3" s="1"/>
  <c r="U43" i="3"/>
  <c r="V43" i="3" s="1"/>
  <c r="T43" i="3"/>
  <c r="Q43" i="3"/>
  <c r="R43" i="3" s="1"/>
  <c r="O43" i="3"/>
  <c r="P43" i="3" s="1"/>
  <c r="M43" i="3"/>
  <c r="W42" i="3"/>
  <c r="Y42" i="3" s="1"/>
  <c r="Z42" i="3" s="1"/>
  <c r="U42" i="3"/>
  <c r="V42" i="3" s="1"/>
  <c r="T42" i="3"/>
  <c r="Q42" i="3"/>
  <c r="R42" i="3" s="1"/>
  <c r="O42" i="3"/>
  <c r="M42" i="3"/>
  <c r="W41" i="3"/>
  <c r="Y41" i="3" s="1"/>
  <c r="Z41" i="3" s="1"/>
  <c r="U41" i="3"/>
  <c r="V41" i="3" s="1"/>
  <c r="T41" i="3"/>
  <c r="Q41" i="3"/>
  <c r="R41" i="3" s="1"/>
  <c r="O41" i="3"/>
  <c r="P41" i="3" s="1"/>
  <c r="M41" i="3"/>
  <c r="W40" i="3"/>
  <c r="Y40" i="3" s="1"/>
  <c r="Z40" i="3" s="1"/>
  <c r="U40" i="3"/>
  <c r="V40" i="3" s="1"/>
  <c r="T40" i="3"/>
  <c r="Q40" i="3"/>
  <c r="R40" i="3" s="1"/>
  <c r="O40" i="3"/>
  <c r="P40" i="3" s="1"/>
  <c r="M40" i="3"/>
  <c r="W39" i="3"/>
  <c r="U39" i="3"/>
  <c r="V39" i="3" s="1"/>
  <c r="T39" i="3"/>
  <c r="Q39" i="3"/>
  <c r="R39" i="3" s="1"/>
  <c r="O39" i="3"/>
  <c r="P39" i="3" s="1"/>
  <c r="M39" i="3"/>
  <c r="W38" i="3"/>
  <c r="Y38" i="3" s="1"/>
  <c r="Z38" i="3" s="1"/>
  <c r="U38" i="3"/>
  <c r="V38" i="3" s="1"/>
  <c r="T38" i="3"/>
  <c r="Q38" i="3"/>
  <c r="R38" i="3" s="1"/>
  <c r="O38" i="3"/>
  <c r="M38" i="3"/>
  <c r="W37" i="3"/>
  <c r="Y37" i="3" s="1"/>
  <c r="Z37" i="3" s="1"/>
  <c r="U37" i="3"/>
  <c r="V37" i="3" s="1"/>
  <c r="T37" i="3"/>
  <c r="Q37" i="3"/>
  <c r="R37" i="3" s="1"/>
  <c r="O37" i="3"/>
  <c r="P37" i="3" s="1"/>
  <c r="M37" i="3"/>
  <c r="Y36" i="3"/>
  <c r="Z36" i="3" s="1"/>
  <c r="L27" i="3"/>
  <c r="W18" i="3"/>
  <c r="X18" i="3" s="1"/>
  <c r="U18" i="3"/>
  <c r="V18" i="3" s="1"/>
  <c r="T18" i="3"/>
  <c r="W17" i="3"/>
  <c r="X17" i="3" s="1"/>
  <c r="U17" i="3"/>
  <c r="V17" i="3" s="1"/>
  <c r="T17" i="3"/>
  <c r="W16" i="3"/>
  <c r="Y16" i="3" s="1"/>
  <c r="Z16" i="3" s="1"/>
  <c r="U16" i="3"/>
  <c r="V16" i="3" s="1"/>
  <c r="T16" i="3"/>
  <c r="W15" i="3"/>
  <c r="Y15" i="3" s="1"/>
  <c r="Z15" i="3" s="1"/>
  <c r="U15" i="3"/>
  <c r="V15" i="3" s="1"/>
  <c r="T15" i="3"/>
  <c r="W14" i="3"/>
  <c r="U14" i="3"/>
  <c r="V14" i="3" s="1"/>
  <c r="T14" i="3"/>
  <c r="Q14" i="3"/>
  <c r="R14" i="3" s="1"/>
  <c r="O14" i="3"/>
  <c r="P14" i="3" s="1"/>
  <c r="M14" i="3"/>
  <c r="W13" i="3"/>
  <c r="Y13" i="3" s="1"/>
  <c r="Z13" i="3" s="1"/>
  <c r="U13" i="3"/>
  <c r="V13" i="3" s="1"/>
  <c r="T13" i="3"/>
  <c r="Q13" i="3"/>
  <c r="R13" i="3" s="1"/>
  <c r="O13" i="3"/>
  <c r="P13" i="3" s="1"/>
  <c r="M13" i="3"/>
  <c r="W12" i="3"/>
  <c r="X12" i="3" s="1"/>
  <c r="U12" i="3"/>
  <c r="V12" i="3" s="1"/>
  <c r="T12" i="3"/>
  <c r="Q12" i="3"/>
  <c r="R12" i="3" s="1"/>
  <c r="O12" i="3"/>
  <c r="P12" i="3" s="1"/>
  <c r="M12" i="3"/>
  <c r="W11" i="3"/>
  <c r="Y11" i="3" s="1"/>
  <c r="Z11" i="3" s="1"/>
  <c r="U11" i="3"/>
  <c r="V11" i="3" s="1"/>
  <c r="T11" i="3"/>
  <c r="Q11" i="3"/>
  <c r="R11" i="3" s="1"/>
  <c r="O11" i="3"/>
  <c r="P11" i="3" s="1"/>
  <c r="M11" i="3"/>
  <c r="W10" i="3"/>
  <c r="Y10" i="3" s="1"/>
  <c r="Z10" i="3" s="1"/>
  <c r="U10" i="3"/>
  <c r="V10" i="3" s="1"/>
  <c r="T10" i="3"/>
  <c r="Q10" i="3"/>
  <c r="R10" i="3" s="1"/>
  <c r="O10" i="3"/>
  <c r="P10" i="3" s="1"/>
  <c r="M10" i="3"/>
  <c r="W9" i="3"/>
  <c r="Y9" i="3" s="1"/>
  <c r="Z9" i="3" s="1"/>
  <c r="U9" i="3"/>
  <c r="V9" i="3" s="1"/>
  <c r="T9" i="3"/>
  <c r="Q9" i="3"/>
  <c r="R9" i="3" s="1"/>
  <c r="O9" i="3"/>
  <c r="P9" i="3" s="1"/>
  <c r="M9" i="3"/>
  <c r="W8" i="3"/>
  <c r="Y8" i="3" s="1"/>
  <c r="Z8" i="3" s="1"/>
  <c r="U8" i="3"/>
  <c r="V8" i="3" s="1"/>
  <c r="T8" i="3"/>
  <c r="Q8" i="3"/>
  <c r="R8" i="3" s="1"/>
  <c r="O8" i="3"/>
  <c r="P8" i="3" s="1"/>
  <c r="M8" i="3"/>
  <c r="W7" i="3"/>
  <c r="X7" i="3" s="1"/>
  <c r="U7" i="3"/>
  <c r="V7" i="3" s="1"/>
  <c r="T7" i="3"/>
  <c r="Q7" i="3"/>
  <c r="R7" i="3" s="1"/>
  <c r="O7" i="3"/>
  <c r="P7" i="3" s="1"/>
  <c r="M7" i="3"/>
  <c r="L113" i="2"/>
  <c r="Y84" i="2"/>
  <c r="Z84" i="2" s="1"/>
  <c r="W84" i="2"/>
  <c r="X84" i="2" s="1"/>
  <c r="U84" i="2"/>
  <c r="V84" i="2" s="1"/>
  <c r="S84" i="2"/>
  <c r="T84" i="2" s="1"/>
  <c r="Q84" i="2"/>
  <c r="R84" i="2" s="1"/>
  <c r="O84" i="2"/>
  <c r="P84" i="2" s="1"/>
  <c r="M84" i="2"/>
  <c r="N84" i="2" s="1"/>
  <c r="L84" i="2"/>
  <c r="Z82" i="2"/>
  <c r="X82" i="2"/>
  <c r="V82" i="2"/>
  <c r="T82" i="2"/>
  <c r="R82" i="2"/>
  <c r="P82" i="2"/>
  <c r="N82" i="2"/>
  <c r="U56" i="2"/>
  <c r="V56" i="2" s="1"/>
  <c r="S56" i="2"/>
  <c r="T56" i="2" s="1"/>
  <c r="Q56" i="2"/>
  <c r="R56" i="2" s="1"/>
  <c r="L56" i="2"/>
  <c r="Z54" i="2"/>
  <c r="X54" i="2"/>
  <c r="V54" i="2"/>
  <c r="T54" i="2"/>
  <c r="R54" i="2"/>
  <c r="P54" i="2"/>
  <c r="N54" i="2"/>
  <c r="Y27" i="2"/>
  <c r="Z27" i="2" s="1"/>
  <c r="W27" i="2"/>
  <c r="X27" i="2" s="1"/>
  <c r="U27" i="2"/>
  <c r="V27" i="2" s="1"/>
  <c r="S27" i="2"/>
  <c r="T27" i="2" s="1"/>
  <c r="Q27" i="2"/>
  <c r="R27" i="2" s="1"/>
  <c r="O27" i="2"/>
  <c r="P27" i="2" s="1"/>
  <c r="M27" i="2"/>
  <c r="N27" i="2" s="1"/>
  <c r="L27" i="2"/>
  <c r="Z25" i="2"/>
  <c r="V25" i="2"/>
  <c r="T25" i="2"/>
  <c r="R25" i="2"/>
  <c r="V111" i="30" l="1"/>
  <c r="T111" i="30"/>
  <c r="Q84" i="29"/>
  <c r="R84" i="29" s="1"/>
  <c r="S84" i="29"/>
  <c r="T84" i="29" s="1"/>
  <c r="S113" i="29"/>
  <c r="T113" i="29" s="1"/>
  <c r="U113" i="29"/>
  <c r="V113" i="29" s="1"/>
  <c r="U84" i="29"/>
  <c r="V84" i="29" s="1"/>
  <c r="Q56" i="28"/>
  <c r="R56" i="28" s="1"/>
  <c r="S56" i="28"/>
  <c r="T56" i="28" s="1"/>
  <c r="Q113" i="27"/>
  <c r="R113" i="27" s="1"/>
  <c r="S113" i="27"/>
  <c r="T113" i="27" s="1"/>
  <c r="S84" i="24"/>
  <c r="T84" i="24" s="1"/>
  <c r="X69" i="26"/>
  <c r="Y69" i="26"/>
  <c r="Z69" i="26" s="1"/>
  <c r="X68" i="26"/>
  <c r="Y68" i="26"/>
  <c r="Z68" i="26" s="1"/>
  <c r="X67" i="26"/>
  <c r="Y67" i="26"/>
  <c r="Z67" i="26" s="1"/>
  <c r="X65" i="26"/>
  <c r="Y65" i="26"/>
  <c r="Z65" i="26" s="1"/>
  <c r="V25" i="26"/>
  <c r="Q27" i="26"/>
  <c r="R27" i="26" s="1"/>
  <c r="R82" i="25"/>
  <c r="Y75" i="25"/>
  <c r="Z75" i="25" s="1"/>
  <c r="V82" i="25"/>
  <c r="X43" i="25"/>
  <c r="O56" i="25"/>
  <c r="P56" i="25" s="1"/>
  <c r="X18" i="25"/>
  <c r="P111" i="22"/>
  <c r="T111" i="22"/>
  <c r="O84" i="22"/>
  <c r="P84" i="22" s="1"/>
  <c r="S84" i="22"/>
  <c r="T84" i="22" s="1"/>
  <c r="Q84" i="22"/>
  <c r="R84" i="22" s="1"/>
  <c r="U84" i="22"/>
  <c r="V84" i="22" s="1"/>
  <c r="Q113" i="21"/>
  <c r="R113" i="21" s="1"/>
  <c r="U113" i="21"/>
  <c r="V113" i="21" s="1"/>
  <c r="O113" i="21"/>
  <c r="P113" i="21" s="1"/>
  <c r="Y100" i="21"/>
  <c r="Z100" i="21" s="1"/>
  <c r="Y103" i="21"/>
  <c r="Z103" i="21" s="1"/>
  <c r="W113" i="21"/>
  <c r="X113" i="21" s="1"/>
  <c r="Y43" i="21"/>
  <c r="Z43" i="21" s="1"/>
  <c r="P111" i="20"/>
  <c r="N103" i="21"/>
  <c r="N46" i="21"/>
  <c r="N73" i="21"/>
  <c r="T82" i="20"/>
  <c r="R111" i="20"/>
  <c r="T111" i="20"/>
  <c r="V111" i="20"/>
  <c r="Q27" i="21"/>
  <c r="R27" i="21" s="1"/>
  <c r="U27" i="21"/>
  <c r="V27" i="21" s="1"/>
  <c r="N13" i="21"/>
  <c r="O27" i="21"/>
  <c r="P27" i="21" s="1"/>
  <c r="S27" i="21"/>
  <c r="T27" i="21" s="1"/>
  <c r="V82" i="20"/>
  <c r="Z111" i="16"/>
  <c r="T111" i="16"/>
  <c r="P82" i="16"/>
  <c r="R82" i="16"/>
  <c r="T82" i="16"/>
  <c r="V82" i="16"/>
  <c r="Y14" i="13"/>
  <c r="Z14" i="13" s="1"/>
  <c r="O56" i="12"/>
  <c r="P56" i="12" s="1"/>
  <c r="V25" i="9"/>
  <c r="R25" i="9"/>
  <c r="T25" i="9"/>
  <c r="V82" i="7"/>
  <c r="R82" i="7"/>
  <c r="T82" i="7"/>
  <c r="U84" i="7"/>
  <c r="V84" i="7" s="1"/>
  <c r="Q84" i="7"/>
  <c r="R84" i="7" s="1"/>
  <c r="S84" i="7"/>
  <c r="T84" i="7" s="1"/>
  <c r="S84" i="4"/>
  <c r="T84" i="4" s="1"/>
  <c r="U84" i="4"/>
  <c r="V84" i="4" s="1"/>
  <c r="N25" i="2"/>
  <c r="X25" i="2"/>
  <c r="U27" i="29"/>
  <c r="V27" i="29" s="1"/>
  <c r="U56" i="27"/>
  <c r="V56" i="27" s="1"/>
  <c r="N43" i="30"/>
  <c r="V81" i="30"/>
  <c r="V85" i="30" s="1"/>
  <c r="K119" i="1" s="1"/>
  <c r="P81" i="30"/>
  <c r="P85" i="30" s="1"/>
  <c r="E119" i="1" s="1"/>
  <c r="N10" i="30"/>
  <c r="N67" i="29"/>
  <c r="O84" i="26"/>
  <c r="P84" i="26" s="1"/>
  <c r="Q84" i="26"/>
  <c r="R84" i="26" s="1"/>
  <c r="N102" i="25"/>
  <c r="Y76" i="25"/>
  <c r="Z76" i="25" s="1"/>
  <c r="T82" i="25"/>
  <c r="W56" i="25"/>
  <c r="X56" i="25" s="1"/>
  <c r="X42" i="25"/>
  <c r="Q56" i="25"/>
  <c r="R56" i="25" s="1"/>
  <c r="Y45" i="25"/>
  <c r="Z45" i="25" s="1"/>
  <c r="X74" i="24"/>
  <c r="Y74" i="24"/>
  <c r="Z74" i="24" s="1"/>
  <c r="X70" i="24"/>
  <c r="Y70" i="24"/>
  <c r="Z70" i="24" s="1"/>
  <c r="X75" i="24"/>
  <c r="Y75" i="24"/>
  <c r="Z75" i="24" s="1"/>
  <c r="X71" i="24"/>
  <c r="Y71" i="24"/>
  <c r="Z71" i="24" s="1"/>
  <c r="X76" i="24"/>
  <c r="Y76" i="24"/>
  <c r="Z76" i="24" s="1"/>
  <c r="X72" i="24"/>
  <c r="Y72" i="24"/>
  <c r="Z72" i="24" s="1"/>
  <c r="X73" i="24"/>
  <c r="Y73" i="24"/>
  <c r="Z73" i="24" s="1"/>
  <c r="U84" i="23"/>
  <c r="V84" i="23" s="1"/>
  <c r="O27" i="22"/>
  <c r="P27" i="22" s="1"/>
  <c r="N100" i="21"/>
  <c r="N104" i="21"/>
  <c r="R110" i="21"/>
  <c r="Q56" i="21"/>
  <c r="R56" i="21" s="1"/>
  <c r="U56" i="21"/>
  <c r="V56" i="21" s="1"/>
  <c r="R111" i="18"/>
  <c r="Q56" i="18"/>
  <c r="R56" i="18" s="1"/>
  <c r="O56" i="18"/>
  <c r="P56" i="18" s="1"/>
  <c r="Y102" i="11"/>
  <c r="Z102" i="11" s="1"/>
  <c r="X98" i="11"/>
  <c r="Y98" i="11"/>
  <c r="Z98" i="11" s="1"/>
  <c r="Y101" i="11"/>
  <c r="Z101" i="11" s="1"/>
  <c r="X103" i="11"/>
  <c r="Y103" i="11"/>
  <c r="Z103" i="11" s="1"/>
  <c r="Y100" i="11"/>
  <c r="Z100" i="11" s="1"/>
  <c r="U56" i="6"/>
  <c r="V56" i="6" s="1"/>
  <c r="N66" i="4"/>
  <c r="Q84" i="4"/>
  <c r="R84" i="4" s="1"/>
  <c r="S56" i="4"/>
  <c r="T56" i="4" s="1"/>
  <c r="T110" i="21"/>
  <c r="S56" i="21"/>
  <c r="T56" i="21" s="1"/>
  <c r="T81" i="31"/>
  <c r="V110" i="31"/>
  <c r="V114" i="31" s="1"/>
  <c r="K124" i="1" s="1"/>
  <c r="T110" i="31"/>
  <c r="T114" i="31" s="1"/>
  <c r="I124" i="1" s="1"/>
  <c r="R110" i="31"/>
  <c r="R114" i="31" s="1"/>
  <c r="G124" i="1" s="1"/>
  <c r="P110" i="31"/>
  <c r="P114" i="31" s="1"/>
  <c r="E124" i="1" s="1"/>
  <c r="P109" i="31"/>
  <c r="P82" i="31"/>
  <c r="V82" i="31"/>
  <c r="Q56" i="31"/>
  <c r="R56" i="31" s="1"/>
  <c r="O56" i="31"/>
  <c r="P56" i="31" s="1"/>
  <c r="S56" i="31"/>
  <c r="T56" i="31" s="1"/>
  <c r="V81" i="31"/>
  <c r="P80" i="31"/>
  <c r="R81" i="31"/>
  <c r="T82" i="31"/>
  <c r="R82" i="31"/>
  <c r="P81" i="31"/>
  <c r="V53" i="31"/>
  <c r="Z53" i="31"/>
  <c r="U56" i="31"/>
  <c r="V56" i="31" s="1"/>
  <c r="R53" i="31"/>
  <c r="T53" i="31"/>
  <c r="Q27" i="31"/>
  <c r="R27" i="31" s="1"/>
  <c r="O27" i="31"/>
  <c r="P27" i="31" s="1"/>
  <c r="R110" i="30"/>
  <c r="R114" i="30" s="1"/>
  <c r="G120" i="1" s="1"/>
  <c r="T81" i="30"/>
  <c r="T85" i="30" s="1"/>
  <c r="I119" i="1" s="1"/>
  <c r="S27" i="31"/>
  <c r="T27" i="31" s="1"/>
  <c r="U27" i="31"/>
  <c r="V27" i="31" s="1"/>
  <c r="R24" i="31"/>
  <c r="T24" i="31"/>
  <c r="V24" i="31"/>
  <c r="Z52" i="31"/>
  <c r="P23" i="31"/>
  <c r="P24" i="31"/>
  <c r="T110" i="30"/>
  <c r="T114" i="30" s="1"/>
  <c r="I120" i="1" s="1"/>
  <c r="P110" i="30"/>
  <c r="P114" i="30" s="1"/>
  <c r="E120" i="1" s="1"/>
  <c r="V110" i="30"/>
  <c r="V114" i="30" s="1"/>
  <c r="K120" i="1" s="1"/>
  <c r="P109" i="30"/>
  <c r="R81" i="30"/>
  <c r="R85" i="30" s="1"/>
  <c r="G119" i="1" s="1"/>
  <c r="P80" i="30"/>
  <c r="N67" i="30"/>
  <c r="V53" i="30"/>
  <c r="V57" i="30" s="1"/>
  <c r="K118" i="1" s="1"/>
  <c r="T24" i="30"/>
  <c r="T28" i="30" s="1"/>
  <c r="I117" i="1" s="1"/>
  <c r="X53" i="30"/>
  <c r="T53" i="30"/>
  <c r="T57" i="30" s="1"/>
  <c r="I118" i="1" s="1"/>
  <c r="R53" i="30"/>
  <c r="R57" i="30" s="1"/>
  <c r="G118" i="1" s="1"/>
  <c r="R24" i="30"/>
  <c r="R28" i="30" s="1"/>
  <c r="G117" i="1" s="1"/>
  <c r="V24" i="30"/>
  <c r="V28" i="30" s="1"/>
  <c r="K117" i="1" s="1"/>
  <c r="P109" i="29"/>
  <c r="V110" i="29"/>
  <c r="V114" i="29" s="1"/>
  <c r="K116" i="1" s="1"/>
  <c r="R110" i="29"/>
  <c r="R114" i="29" s="1"/>
  <c r="G116" i="1" s="1"/>
  <c r="T110" i="29"/>
  <c r="T114" i="29" s="1"/>
  <c r="I116" i="1" s="1"/>
  <c r="R81" i="29"/>
  <c r="R85" i="29" s="1"/>
  <c r="G115" i="1" s="1"/>
  <c r="V81" i="29"/>
  <c r="V85" i="29" s="1"/>
  <c r="K115" i="1" s="1"/>
  <c r="T81" i="29"/>
  <c r="T85" i="29" s="1"/>
  <c r="I115" i="1" s="1"/>
  <c r="P80" i="29"/>
  <c r="Q27" i="29"/>
  <c r="R27" i="29" s="1"/>
  <c r="S27" i="29"/>
  <c r="T27" i="29" s="1"/>
  <c r="P24" i="29"/>
  <c r="P28" i="29" s="1"/>
  <c r="E113" i="1" s="1"/>
  <c r="X69" i="24"/>
  <c r="W84" i="24" s="1"/>
  <c r="X84" i="24" s="1"/>
  <c r="Y69" i="24"/>
  <c r="R110" i="28"/>
  <c r="R114" i="28" s="1"/>
  <c r="G112" i="1" s="1"/>
  <c r="V110" i="28"/>
  <c r="V114" i="28" s="1"/>
  <c r="K112" i="1" s="1"/>
  <c r="R53" i="28"/>
  <c r="R57" i="28" s="1"/>
  <c r="G110" i="1" s="1"/>
  <c r="V53" i="28"/>
  <c r="V57" i="28" s="1"/>
  <c r="K110" i="1" s="1"/>
  <c r="Q27" i="27"/>
  <c r="R27" i="27" s="1"/>
  <c r="S84" i="26"/>
  <c r="T84" i="26" s="1"/>
  <c r="U84" i="26"/>
  <c r="V84" i="26" s="1"/>
  <c r="O27" i="26"/>
  <c r="P27" i="26" s="1"/>
  <c r="N104" i="25"/>
  <c r="N100" i="25"/>
  <c r="N75" i="25"/>
  <c r="Y73" i="25"/>
  <c r="Z73" i="25" s="1"/>
  <c r="N72" i="25"/>
  <c r="N71" i="25"/>
  <c r="Q84" i="25"/>
  <c r="R84" i="25" s="1"/>
  <c r="V81" i="25"/>
  <c r="N43" i="25"/>
  <c r="Y44" i="25"/>
  <c r="Z44" i="25" s="1"/>
  <c r="U56" i="25"/>
  <c r="V56" i="25" s="1"/>
  <c r="X47" i="25"/>
  <c r="N42" i="25"/>
  <c r="N45" i="25"/>
  <c r="S56" i="25"/>
  <c r="T56" i="25" s="1"/>
  <c r="X17" i="25"/>
  <c r="R110" i="24"/>
  <c r="R114" i="24" s="1"/>
  <c r="G96" i="1" s="1"/>
  <c r="N93" i="24"/>
  <c r="T53" i="24"/>
  <c r="T57" i="24" s="1"/>
  <c r="I94" i="1" s="1"/>
  <c r="V53" i="24"/>
  <c r="V57" i="24" s="1"/>
  <c r="K94" i="1" s="1"/>
  <c r="R53" i="24"/>
  <c r="R57" i="24" s="1"/>
  <c r="G94" i="1" s="1"/>
  <c r="O84" i="23"/>
  <c r="P84" i="23" s="1"/>
  <c r="Q84" i="23"/>
  <c r="R84" i="23" s="1"/>
  <c r="S84" i="23"/>
  <c r="T84" i="23" s="1"/>
  <c r="U56" i="23"/>
  <c r="V56" i="23" s="1"/>
  <c r="Q56" i="23"/>
  <c r="R56" i="23" s="1"/>
  <c r="S56" i="23"/>
  <c r="T56" i="23" s="1"/>
  <c r="O56" i="23"/>
  <c r="P56" i="23" s="1"/>
  <c r="X25" i="23"/>
  <c r="T110" i="23"/>
  <c r="T114" i="23" s="1"/>
  <c r="I92" i="1" s="1"/>
  <c r="R81" i="23"/>
  <c r="T81" i="23"/>
  <c r="V81" i="23"/>
  <c r="V53" i="23"/>
  <c r="T53" i="23"/>
  <c r="P25" i="23"/>
  <c r="R25" i="23"/>
  <c r="V110" i="22"/>
  <c r="V114" i="22" s="1"/>
  <c r="K88" i="1" s="1"/>
  <c r="U27" i="22"/>
  <c r="V27" i="22" s="1"/>
  <c r="Q27" i="22"/>
  <c r="R27" i="22" s="1"/>
  <c r="V110" i="21"/>
  <c r="S113" i="21"/>
  <c r="T113" i="21" s="1"/>
  <c r="N75" i="21"/>
  <c r="N74" i="21"/>
  <c r="N71" i="21"/>
  <c r="O84" i="21"/>
  <c r="P84" i="21" s="1"/>
  <c r="N47" i="21"/>
  <c r="N43" i="21"/>
  <c r="N17" i="21"/>
  <c r="N16" i="21"/>
  <c r="X46" i="21"/>
  <c r="N44" i="21"/>
  <c r="Y42" i="21"/>
  <c r="Z42" i="21" s="1"/>
  <c r="N18" i="21"/>
  <c r="N14" i="21"/>
  <c r="N74" i="18"/>
  <c r="U56" i="18"/>
  <c r="V56" i="18" s="1"/>
  <c r="S56" i="18"/>
  <c r="T56" i="18" s="1"/>
  <c r="S113" i="14"/>
  <c r="T113" i="14" s="1"/>
  <c r="U113" i="14"/>
  <c r="V113" i="14" s="1"/>
  <c r="N37" i="14"/>
  <c r="N72" i="13"/>
  <c r="X42" i="13"/>
  <c r="X99" i="12"/>
  <c r="Q56" i="12"/>
  <c r="R56" i="12" s="1"/>
  <c r="S56" i="12"/>
  <c r="T56" i="12" s="1"/>
  <c r="U56" i="12"/>
  <c r="V56" i="12" s="1"/>
  <c r="S84" i="10"/>
  <c r="T84" i="10" s="1"/>
  <c r="U84" i="10"/>
  <c r="V84" i="10" s="1"/>
  <c r="S56" i="10"/>
  <c r="T56" i="10" s="1"/>
  <c r="O56" i="10"/>
  <c r="P56" i="10" s="1"/>
  <c r="U56" i="10"/>
  <c r="V56" i="10" s="1"/>
  <c r="Q56" i="10"/>
  <c r="R56" i="10" s="1"/>
  <c r="P25" i="10"/>
  <c r="R25" i="10"/>
  <c r="T25" i="10"/>
  <c r="N74" i="9"/>
  <c r="S56" i="9"/>
  <c r="T56" i="9" s="1"/>
  <c r="U27" i="9"/>
  <c r="V27" i="9" s="1"/>
  <c r="U56" i="9"/>
  <c r="V56" i="9" s="1"/>
  <c r="Q56" i="9"/>
  <c r="R56" i="9" s="1"/>
  <c r="O56" i="9"/>
  <c r="P56" i="9" s="1"/>
  <c r="Q27" i="9"/>
  <c r="R27" i="9" s="1"/>
  <c r="O27" i="9"/>
  <c r="P27" i="9" s="1"/>
  <c r="S27" i="9"/>
  <c r="T27" i="9" s="1"/>
  <c r="U56" i="8"/>
  <c r="V56" i="8" s="1"/>
  <c r="Q56" i="8"/>
  <c r="R56" i="8" s="1"/>
  <c r="S56" i="8"/>
  <c r="T56" i="8" s="1"/>
  <c r="Q56" i="7"/>
  <c r="R56" i="7" s="1"/>
  <c r="O56" i="7"/>
  <c r="P56" i="7" s="1"/>
  <c r="S56" i="7"/>
  <c r="T56" i="7" s="1"/>
  <c r="U56" i="7"/>
  <c r="V56" i="7" s="1"/>
  <c r="N42" i="7"/>
  <c r="Q56" i="6"/>
  <c r="R56" i="6" s="1"/>
  <c r="S56" i="6"/>
  <c r="T56" i="6" s="1"/>
  <c r="O56" i="6"/>
  <c r="P56" i="6" s="1"/>
  <c r="V111" i="4"/>
  <c r="R111" i="4"/>
  <c r="T111" i="4"/>
  <c r="P111" i="4"/>
  <c r="O84" i="4"/>
  <c r="P84" i="4" s="1"/>
  <c r="O56" i="2"/>
  <c r="P56" i="2" s="1"/>
  <c r="M56" i="2"/>
  <c r="N56" i="2" s="1"/>
  <c r="W56" i="2"/>
  <c r="X56" i="2" s="1"/>
  <c r="R53" i="21"/>
  <c r="R111" i="21"/>
  <c r="X111" i="21"/>
  <c r="P111" i="21"/>
  <c r="Q84" i="27"/>
  <c r="R84" i="27" s="1"/>
  <c r="X15" i="21"/>
  <c r="X16" i="25"/>
  <c r="N101" i="25"/>
  <c r="N96" i="4"/>
  <c r="N65" i="21"/>
  <c r="P110" i="29"/>
  <c r="N9" i="30"/>
  <c r="Y47" i="21"/>
  <c r="Z47" i="21" s="1"/>
  <c r="N46" i="25"/>
  <c r="Y13" i="13"/>
  <c r="Z13" i="13" s="1"/>
  <c r="N45" i="21"/>
  <c r="Y71" i="25"/>
  <c r="Z71" i="25" s="1"/>
  <c r="Y44" i="21"/>
  <c r="Z44" i="21" s="1"/>
  <c r="Y99" i="21"/>
  <c r="Z99" i="21" s="1"/>
  <c r="N69" i="14"/>
  <c r="N14" i="19"/>
  <c r="S27" i="28"/>
  <c r="T27" i="28" s="1"/>
  <c r="N17" i="28"/>
  <c r="N99" i="13"/>
  <c r="N42" i="21"/>
  <c r="Y74" i="25"/>
  <c r="Z74" i="25" s="1"/>
  <c r="N102" i="21"/>
  <c r="T81" i="27"/>
  <c r="X17" i="21"/>
  <c r="Y101" i="21"/>
  <c r="Z101" i="21" s="1"/>
  <c r="N96" i="20"/>
  <c r="R53" i="27"/>
  <c r="Y71" i="13"/>
  <c r="Z71" i="13" s="1"/>
  <c r="N10" i="13"/>
  <c r="N98" i="24"/>
  <c r="X14" i="21"/>
  <c r="N38" i="20"/>
  <c r="N101" i="18"/>
  <c r="N74" i="25"/>
  <c r="N99" i="25"/>
  <c r="N76" i="21"/>
  <c r="N99" i="21"/>
  <c r="X15" i="13"/>
  <c r="N36" i="25"/>
  <c r="N102" i="16"/>
  <c r="X16" i="21"/>
  <c r="N101" i="21"/>
  <c r="R110" i="22"/>
  <c r="R114" i="22" s="1"/>
  <c r="G88" i="1" s="1"/>
  <c r="V110" i="27"/>
  <c r="V114" i="27" s="1"/>
  <c r="K108" i="1" s="1"/>
  <c r="X13" i="21"/>
  <c r="N47" i="25"/>
  <c r="N73" i="25"/>
  <c r="R81" i="25"/>
  <c r="Y100" i="13"/>
  <c r="Z100" i="13" s="1"/>
  <c r="N44" i="25"/>
  <c r="T81" i="25"/>
  <c r="R110" i="26"/>
  <c r="R114" i="26" s="1"/>
  <c r="G104" i="1" s="1"/>
  <c r="V111" i="26"/>
  <c r="Y45" i="21"/>
  <c r="Z45" i="21" s="1"/>
  <c r="N72" i="21"/>
  <c r="Y46" i="25"/>
  <c r="Z46" i="25" s="1"/>
  <c r="N76" i="25"/>
  <c r="Y72" i="25"/>
  <c r="Z72" i="25" s="1"/>
  <c r="N103" i="25"/>
  <c r="N104" i="9"/>
  <c r="N14" i="10"/>
  <c r="T110" i="24"/>
  <c r="T114" i="24" s="1"/>
  <c r="I96" i="1" s="1"/>
  <c r="N9" i="25"/>
  <c r="Y101" i="25"/>
  <c r="Z101" i="25" s="1"/>
  <c r="O113" i="13"/>
  <c r="P113" i="13" s="1"/>
  <c r="N67" i="25"/>
  <c r="Y102" i="21"/>
  <c r="Z102" i="21" s="1"/>
  <c r="Y113" i="21" s="1"/>
  <c r="Z113" i="21" s="1"/>
  <c r="X18" i="21"/>
  <c r="O56" i="29"/>
  <c r="P56" i="29" s="1"/>
  <c r="U56" i="29"/>
  <c r="V56" i="29" s="1"/>
  <c r="T53" i="29"/>
  <c r="Q56" i="29"/>
  <c r="R56" i="29" s="1"/>
  <c r="S56" i="29"/>
  <c r="T56" i="29" s="1"/>
  <c r="R53" i="29"/>
  <c r="V53" i="29"/>
  <c r="R24" i="29"/>
  <c r="T24" i="29"/>
  <c r="V24" i="29"/>
  <c r="P110" i="28"/>
  <c r="P114" i="28" s="1"/>
  <c r="E112" i="1" s="1"/>
  <c r="T110" i="28"/>
  <c r="T114" i="28" s="1"/>
  <c r="I112" i="1" s="1"/>
  <c r="R81" i="28"/>
  <c r="R85" i="28" s="1"/>
  <c r="G111" i="1" s="1"/>
  <c r="T81" i="28"/>
  <c r="T85" i="28" s="1"/>
  <c r="I111" i="1" s="1"/>
  <c r="P81" i="28"/>
  <c r="P85" i="28" s="1"/>
  <c r="E111" i="1" s="1"/>
  <c r="T53" i="28"/>
  <c r="T57" i="28" s="1"/>
  <c r="I110" i="1" s="1"/>
  <c r="V81" i="28"/>
  <c r="V85" i="28" s="1"/>
  <c r="K111" i="1" s="1"/>
  <c r="P81" i="29"/>
  <c r="P85" i="29" s="1"/>
  <c r="E115" i="1" s="1"/>
  <c r="P23" i="29"/>
  <c r="P109" i="28"/>
  <c r="P80" i="28"/>
  <c r="U27" i="28"/>
  <c r="V27" i="28" s="1"/>
  <c r="Q27" i="28"/>
  <c r="R27" i="28" s="1"/>
  <c r="R24" i="28"/>
  <c r="T24" i="28"/>
  <c r="T28" i="28" s="1"/>
  <c r="I109" i="1" s="1"/>
  <c r="V24" i="28"/>
  <c r="P24" i="28"/>
  <c r="P28" i="28" s="1"/>
  <c r="E109" i="1" s="1"/>
  <c r="R110" i="27"/>
  <c r="T110" i="27"/>
  <c r="S84" i="27"/>
  <c r="T84" i="27" s="1"/>
  <c r="U84" i="27"/>
  <c r="V84" i="27" s="1"/>
  <c r="R81" i="27"/>
  <c r="V81" i="27"/>
  <c r="Q56" i="27"/>
  <c r="R56" i="27" s="1"/>
  <c r="Y56" i="27"/>
  <c r="Z56" i="27" s="1"/>
  <c r="S56" i="27"/>
  <c r="T56" i="27" s="1"/>
  <c r="T53" i="27"/>
  <c r="V53" i="27"/>
  <c r="S27" i="27"/>
  <c r="T27" i="27" s="1"/>
  <c r="U27" i="27"/>
  <c r="V27" i="27" s="1"/>
  <c r="R24" i="27"/>
  <c r="V24" i="27"/>
  <c r="T24" i="27"/>
  <c r="T110" i="26"/>
  <c r="T114" i="26" s="1"/>
  <c r="I104" i="1" s="1"/>
  <c r="V110" i="26"/>
  <c r="P23" i="28"/>
  <c r="N68" i="28"/>
  <c r="N15" i="28"/>
  <c r="N100" i="28"/>
  <c r="P80" i="27"/>
  <c r="N13" i="27"/>
  <c r="O27" i="27"/>
  <c r="P27" i="27" s="1"/>
  <c r="N37" i="27"/>
  <c r="N39" i="27"/>
  <c r="P109" i="26"/>
  <c r="P81" i="26"/>
  <c r="O56" i="26"/>
  <c r="P56" i="26" s="1"/>
  <c r="N69" i="26"/>
  <c r="T53" i="26"/>
  <c r="U56" i="26"/>
  <c r="V56" i="26" s="1"/>
  <c r="Q56" i="26"/>
  <c r="R56" i="26" s="1"/>
  <c r="S56" i="26"/>
  <c r="T56" i="26" s="1"/>
  <c r="N41" i="26"/>
  <c r="V53" i="26"/>
  <c r="S27" i="26"/>
  <c r="T27" i="26" s="1"/>
  <c r="U27" i="26"/>
  <c r="V27" i="26" s="1"/>
  <c r="P23" i="26"/>
  <c r="Y100" i="25"/>
  <c r="Z100" i="25" s="1"/>
  <c r="R110" i="25"/>
  <c r="R114" i="25" s="1"/>
  <c r="G100" i="1" s="1"/>
  <c r="V110" i="25"/>
  <c r="V114" i="25" s="1"/>
  <c r="K100" i="1" s="1"/>
  <c r="T110" i="25"/>
  <c r="T114" i="25" s="1"/>
  <c r="I100" i="1" s="1"/>
  <c r="Y102" i="25"/>
  <c r="Z102" i="25" s="1"/>
  <c r="Y99" i="25"/>
  <c r="Z99" i="25" s="1"/>
  <c r="R81" i="26"/>
  <c r="R85" i="26" s="1"/>
  <c r="G103" i="1" s="1"/>
  <c r="V81" i="26"/>
  <c r="T81" i="26"/>
  <c r="R53" i="26"/>
  <c r="R24" i="26"/>
  <c r="T24" i="26"/>
  <c r="V24" i="26"/>
  <c r="P24" i="26"/>
  <c r="P28" i="26" s="1"/>
  <c r="E101" i="1" s="1"/>
  <c r="U84" i="25"/>
  <c r="V84" i="25" s="1"/>
  <c r="S84" i="25"/>
  <c r="T84" i="25" s="1"/>
  <c r="P102" i="25"/>
  <c r="P101" i="25"/>
  <c r="P100" i="25"/>
  <c r="P99" i="25"/>
  <c r="U27" i="25"/>
  <c r="V27" i="25" s="1"/>
  <c r="Q27" i="25"/>
  <c r="R27" i="25" s="1"/>
  <c r="S27" i="25"/>
  <c r="T27" i="25" s="1"/>
  <c r="R53" i="25"/>
  <c r="V53" i="25"/>
  <c r="P52" i="25"/>
  <c r="R24" i="25"/>
  <c r="V24" i="25"/>
  <c r="T53" i="25"/>
  <c r="P53" i="25"/>
  <c r="T24" i="25"/>
  <c r="P110" i="24"/>
  <c r="P114" i="24" s="1"/>
  <c r="E96" i="1" s="1"/>
  <c r="V110" i="24"/>
  <c r="V114" i="24" s="1"/>
  <c r="K96" i="1" s="1"/>
  <c r="R81" i="24"/>
  <c r="R85" i="24" s="1"/>
  <c r="G95" i="1" s="1"/>
  <c r="T81" i="24"/>
  <c r="V81" i="24"/>
  <c r="V85" i="24" s="1"/>
  <c r="K95" i="1" s="1"/>
  <c r="P53" i="24"/>
  <c r="P57" i="24" s="1"/>
  <c r="E94" i="1" s="1"/>
  <c r="P109" i="24"/>
  <c r="X40" i="24"/>
  <c r="P52" i="24"/>
  <c r="R24" i="24"/>
  <c r="R28" i="24" s="1"/>
  <c r="G93" i="1" s="1"/>
  <c r="V24" i="24"/>
  <c r="V28" i="24" s="1"/>
  <c r="K93" i="1" s="1"/>
  <c r="T24" i="24"/>
  <c r="T28" i="24" s="1"/>
  <c r="I93" i="1" s="1"/>
  <c r="R110" i="23"/>
  <c r="R114" i="23" s="1"/>
  <c r="G92" i="1" s="1"/>
  <c r="V110" i="23"/>
  <c r="V114" i="23" s="1"/>
  <c r="K92" i="1" s="1"/>
  <c r="P81" i="23"/>
  <c r="R53" i="23"/>
  <c r="T24" i="23"/>
  <c r="U27" i="23"/>
  <c r="V27" i="23" s="1"/>
  <c r="O27" i="23"/>
  <c r="P27" i="23" s="1"/>
  <c r="Q27" i="23"/>
  <c r="R27" i="23" s="1"/>
  <c r="S27" i="23"/>
  <c r="T27" i="23" s="1"/>
  <c r="V24" i="23"/>
  <c r="Y94" i="23"/>
  <c r="Z94" i="23" s="1"/>
  <c r="P80" i="23"/>
  <c r="P24" i="23"/>
  <c r="R24" i="23"/>
  <c r="T110" i="22"/>
  <c r="T114" i="22" s="1"/>
  <c r="I88" i="1" s="1"/>
  <c r="P110" i="22"/>
  <c r="P114" i="22" s="1"/>
  <c r="E88" i="1" s="1"/>
  <c r="P23" i="23"/>
  <c r="P109" i="22"/>
  <c r="R81" i="22"/>
  <c r="P80" i="22"/>
  <c r="P81" i="22"/>
  <c r="P85" i="22" s="1"/>
  <c r="E87" i="1" s="1"/>
  <c r="T81" i="22"/>
  <c r="T85" i="22" s="1"/>
  <c r="I87" i="1" s="1"/>
  <c r="V81" i="22"/>
  <c r="V85" i="22" s="1"/>
  <c r="K87" i="1" s="1"/>
  <c r="Q56" i="22"/>
  <c r="R56" i="22" s="1"/>
  <c r="V53" i="22"/>
  <c r="R24" i="22"/>
  <c r="Y76" i="21"/>
  <c r="Z76" i="21" s="1"/>
  <c r="Y75" i="21"/>
  <c r="Z75" i="21" s="1"/>
  <c r="Y74" i="21"/>
  <c r="Z74" i="21" s="1"/>
  <c r="Y73" i="21"/>
  <c r="Z73" i="21" s="1"/>
  <c r="Y72" i="21"/>
  <c r="Z72" i="21" s="1"/>
  <c r="Y71" i="21"/>
  <c r="Z71" i="21" s="1"/>
  <c r="T53" i="21"/>
  <c r="V53" i="21"/>
  <c r="U84" i="21"/>
  <c r="V84" i="21" s="1"/>
  <c r="S84" i="21"/>
  <c r="T84" i="21" s="1"/>
  <c r="P80" i="21"/>
  <c r="R81" i="21"/>
  <c r="R85" i="21" s="1"/>
  <c r="G83" i="1" s="1"/>
  <c r="T81" i="21"/>
  <c r="V81" i="21"/>
  <c r="P81" i="21"/>
  <c r="P85" i="21" s="1"/>
  <c r="E83" i="1" s="1"/>
  <c r="V111" i="21"/>
  <c r="T111" i="21"/>
  <c r="S27" i="22"/>
  <c r="T27" i="22" s="1"/>
  <c r="P24" i="22"/>
  <c r="P28" i="22" s="1"/>
  <c r="E85" i="1" s="1"/>
  <c r="V24" i="22"/>
  <c r="T24" i="22"/>
  <c r="U56" i="22"/>
  <c r="V56" i="22" s="1"/>
  <c r="S56" i="22"/>
  <c r="T56" i="22" s="1"/>
  <c r="R53" i="22"/>
  <c r="T53" i="22"/>
  <c r="P23" i="22"/>
  <c r="N93" i="20"/>
  <c r="R54" i="4"/>
  <c r="N70" i="12"/>
  <c r="N76" i="28"/>
  <c r="N82" i="28" s="1"/>
  <c r="N97" i="28"/>
  <c r="N18" i="13"/>
  <c r="N95" i="27"/>
  <c r="X45" i="13"/>
  <c r="N93" i="27"/>
  <c r="Y8" i="31"/>
  <c r="Z8" i="31" s="1"/>
  <c r="Y66" i="31"/>
  <c r="Z66" i="31" s="1"/>
  <c r="N67" i="19"/>
  <c r="N82" i="19" s="1"/>
  <c r="N37" i="20"/>
  <c r="X39" i="26"/>
  <c r="N18" i="30"/>
  <c r="X16" i="18"/>
  <c r="Y37" i="24"/>
  <c r="Z37" i="24" s="1"/>
  <c r="N40" i="11"/>
  <c r="N46" i="16"/>
  <c r="X67" i="23"/>
  <c r="S113" i="5"/>
  <c r="T113" i="5" s="1"/>
  <c r="Y70" i="11"/>
  <c r="Z70" i="11" s="1"/>
  <c r="N70" i="21"/>
  <c r="Y104" i="24"/>
  <c r="Z104" i="24" s="1"/>
  <c r="N17" i="13"/>
  <c r="N13" i="13"/>
  <c r="N18" i="16"/>
  <c r="N11" i="11"/>
  <c r="Y99" i="13"/>
  <c r="Z99" i="13" s="1"/>
  <c r="X75" i="13"/>
  <c r="X82" i="13" s="1"/>
  <c r="N14" i="12"/>
  <c r="N100" i="18"/>
  <c r="X98" i="27"/>
  <c r="Q84" i="8"/>
  <c r="R84" i="8" s="1"/>
  <c r="Y102" i="30"/>
  <c r="Z102" i="30" s="1"/>
  <c r="V111" i="18"/>
  <c r="N16" i="16"/>
  <c r="R111" i="19"/>
  <c r="Y71" i="18"/>
  <c r="Z71" i="18" s="1"/>
  <c r="N40" i="23"/>
  <c r="N68" i="25"/>
  <c r="R54" i="18"/>
  <c r="O56" i="17"/>
  <c r="P56" i="17" s="1"/>
  <c r="X96" i="26"/>
  <c r="N8" i="31"/>
  <c r="N37" i="31"/>
  <c r="N102" i="3"/>
  <c r="O113" i="16"/>
  <c r="P113" i="16" s="1"/>
  <c r="X44" i="13"/>
  <c r="Y74" i="16"/>
  <c r="Z74" i="16" s="1"/>
  <c r="Y72" i="16"/>
  <c r="Z72" i="16" s="1"/>
  <c r="R111" i="15"/>
  <c r="N98" i="28"/>
  <c r="N38" i="21"/>
  <c r="N69" i="8"/>
  <c r="N67" i="27"/>
  <c r="N37" i="3"/>
  <c r="N8" i="30"/>
  <c r="N73" i="13"/>
  <c r="Y14" i="7"/>
  <c r="Z14" i="7" s="1"/>
  <c r="Z24" i="7" s="1"/>
  <c r="O27" i="20"/>
  <c r="P27" i="20" s="1"/>
  <c r="N66" i="24"/>
  <c r="X46" i="16"/>
  <c r="T110" i="12"/>
  <c r="T114" i="12" s="1"/>
  <c r="I48" i="1" s="1"/>
  <c r="U27" i="13"/>
  <c r="V27" i="13" s="1"/>
  <c r="X36" i="13"/>
  <c r="X72" i="18"/>
  <c r="Y102" i="13"/>
  <c r="Z102" i="13" s="1"/>
  <c r="Y76" i="13"/>
  <c r="Z76" i="13" s="1"/>
  <c r="T54" i="4"/>
  <c r="X7" i="11"/>
  <c r="N67" i="21"/>
  <c r="N40" i="24"/>
  <c r="N8" i="29"/>
  <c r="X101" i="16"/>
  <c r="N45" i="11"/>
  <c r="X74" i="11"/>
  <c r="X68" i="22"/>
  <c r="N68" i="23"/>
  <c r="Y18" i="13"/>
  <c r="Z18" i="13" s="1"/>
  <c r="V25" i="15"/>
  <c r="N7" i="28"/>
  <c r="Y13" i="12"/>
  <c r="Z13" i="12" s="1"/>
  <c r="N72" i="18"/>
  <c r="N12" i="16"/>
  <c r="X40" i="22"/>
  <c r="X71" i="16"/>
  <c r="N68" i="20"/>
  <c r="N45" i="28"/>
  <c r="Y104" i="30"/>
  <c r="Z104" i="30" s="1"/>
  <c r="Y73" i="16"/>
  <c r="Z73" i="16" s="1"/>
  <c r="N70" i="8"/>
  <c r="N39" i="21"/>
  <c r="N41" i="21"/>
  <c r="N69" i="24"/>
  <c r="N38" i="26"/>
  <c r="N104" i="13"/>
  <c r="N76" i="13"/>
  <c r="P72" i="13"/>
  <c r="N99" i="12"/>
  <c r="N12" i="15"/>
  <c r="N16" i="13"/>
  <c r="N93" i="4"/>
  <c r="N95" i="11"/>
  <c r="N101" i="16"/>
  <c r="N98" i="6"/>
  <c r="N36" i="15"/>
  <c r="N41" i="28"/>
  <c r="M56" i="28" s="1"/>
  <c r="N56" i="28" s="1"/>
  <c r="Y76" i="28"/>
  <c r="Z76" i="28" s="1"/>
  <c r="Z82" i="28" s="1"/>
  <c r="N76" i="7"/>
  <c r="N7" i="30"/>
  <c r="N75" i="16"/>
  <c r="O56" i="13"/>
  <c r="P56" i="13" s="1"/>
  <c r="X47" i="24"/>
  <c r="X7" i="26"/>
  <c r="N43" i="18"/>
  <c r="N38" i="23"/>
  <c r="Y93" i="29"/>
  <c r="Z93" i="29" s="1"/>
  <c r="X98" i="30"/>
  <c r="X43" i="16"/>
  <c r="N74" i="7"/>
  <c r="N8" i="28"/>
  <c r="N37" i="28"/>
  <c r="N70" i="10"/>
  <c r="Y67" i="22"/>
  <c r="Z67" i="22" s="1"/>
  <c r="N36" i="29"/>
  <c r="X75" i="30"/>
  <c r="N41" i="31"/>
  <c r="Y73" i="13"/>
  <c r="Z73" i="13" s="1"/>
  <c r="N8" i="3"/>
  <c r="N69" i="20"/>
  <c r="N104" i="4"/>
  <c r="N36" i="24"/>
  <c r="P111" i="5"/>
  <c r="Y13" i="18"/>
  <c r="Z13" i="18" s="1"/>
  <c r="X13" i="18"/>
  <c r="X12" i="30"/>
  <c r="X14" i="30"/>
  <c r="Y14" i="30"/>
  <c r="Z14" i="30" s="1"/>
  <c r="X39" i="22"/>
  <c r="X37" i="28"/>
  <c r="N74" i="13"/>
  <c r="P74" i="13"/>
  <c r="Y97" i="22"/>
  <c r="Z97" i="22" s="1"/>
  <c r="X41" i="23"/>
  <c r="N10" i="31"/>
  <c r="X47" i="16"/>
  <c r="N44" i="18"/>
  <c r="Y104" i="3"/>
  <c r="Z104" i="3" s="1"/>
  <c r="X104" i="3"/>
  <c r="X66" i="17"/>
  <c r="X45" i="24"/>
  <c r="Y45" i="24"/>
  <c r="Z45" i="24" s="1"/>
  <c r="Y69" i="31"/>
  <c r="Z69" i="31" s="1"/>
  <c r="Y84" i="31" s="1"/>
  <c r="Z84" i="31" s="1"/>
  <c r="Y70" i="27"/>
  <c r="Z70" i="27" s="1"/>
  <c r="N10" i="27"/>
  <c r="X9" i="28"/>
  <c r="Y9" i="28"/>
  <c r="Z9" i="28" s="1"/>
  <c r="X36" i="29"/>
  <c r="Y36" i="29"/>
  <c r="Z36" i="29" s="1"/>
  <c r="X65" i="31"/>
  <c r="X81" i="31" s="1"/>
  <c r="N45" i="13"/>
  <c r="P110" i="8"/>
  <c r="T110" i="15"/>
  <c r="X93" i="27"/>
  <c r="R54" i="6"/>
  <c r="Q56" i="13"/>
  <c r="R56" i="13" s="1"/>
  <c r="N46" i="7"/>
  <c r="N8" i="27"/>
  <c r="Y67" i="31"/>
  <c r="Z67" i="31" s="1"/>
  <c r="M56" i="5"/>
  <c r="N56" i="5" s="1"/>
  <c r="N9" i="9"/>
  <c r="N93" i="11"/>
  <c r="X18" i="15"/>
  <c r="Y18" i="15"/>
  <c r="Z18" i="15" s="1"/>
  <c r="X18" i="18"/>
  <c r="N40" i="21"/>
  <c r="X39" i="24"/>
  <c r="P52" i="29"/>
  <c r="X11" i="30"/>
  <c r="Q84" i="11"/>
  <c r="R84" i="11" s="1"/>
  <c r="Y7" i="30"/>
  <c r="Z7" i="30" s="1"/>
  <c r="Y95" i="11"/>
  <c r="Z95" i="11" s="1"/>
  <c r="W27" i="23"/>
  <c r="X27" i="23" s="1"/>
  <c r="X100" i="24"/>
  <c r="X95" i="31"/>
  <c r="T24" i="8"/>
  <c r="Q113" i="5"/>
  <c r="R113" i="5" s="1"/>
  <c r="X9" i="24"/>
  <c r="N75" i="13"/>
  <c r="Y71" i="11"/>
  <c r="Z71" i="11" s="1"/>
  <c r="Y84" i="11" s="1"/>
  <c r="Z84" i="11" s="1"/>
  <c r="X71" i="11"/>
  <c r="N40" i="7"/>
  <c r="N68" i="19"/>
  <c r="Y94" i="20"/>
  <c r="Z94" i="20" s="1"/>
  <c r="P109" i="21"/>
  <c r="X36" i="22"/>
  <c r="N9" i="31"/>
  <c r="Y104" i="13"/>
  <c r="Z104" i="13" s="1"/>
  <c r="X97" i="3"/>
  <c r="R81" i="7"/>
  <c r="O113" i="5"/>
  <c r="P113" i="5" s="1"/>
  <c r="R25" i="15"/>
  <c r="Q27" i="20"/>
  <c r="R27" i="20" s="1"/>
  <c r="Y68" i="24"/>
  <c r="Z68" i="24" s="1"/>
  <c r="N65" i="27"/>
  <c r="Y44" i="16"/>
  <c r="Z44" i="16" s="1"/>
  <c r="Z54" i="16" s="1"/>
  <c r="X44" i="16"/>
  <c r="X54" i="16" s="1"/>
  <c r="X66" i="19"/>
  <c r="Y39" i="23"/>
  <c r="Z39" i="23" s="1"/>
  <c r="X39" i="23"/>
  <c r="N43" i="3"/>
  <c r="N97" i="6"/>
  <c r="Y94" i="21"/>
  <c r="Z94" i="21" s="1"/>
  <c r="V54" i="16"/>
  <c r="T111" i="18"/>
  <c r="V111" i="19"/>
  <c r="P54" i="6"/>
  <c r="X42" i="16"/>
  <c r="X111" i="18"/>
  <c r="X66" i="4"/>
  <c r="Y66" i="4"/>
  <c r="Z66" i="4" s="1"/>
  <c r="Y84" i="4" s="1"/>
  <c r="Z84" i="4" s="1"/>
  <c r="Q84" i="12"/>
  <c r="R84" i="12" s="1"/>
  <c r="N36" i="19"/>
  <c r="N73" i="18"/>
  <c r="N37" i="24"/>
  <c r="N11" i="27"/>
  <c r="X43" i="13"/>
  <c r="X15" i="18"/>
  <c r="N76" i="18"/>
  <c r="S113" i="16"/>
  <c r="T113" i="16" s="1"/>
  <c r="T111" i="19"/>
  <c r="N37" i="23"/>
  <c r="N74" i="24"/>
  <c r="N36" i="26"/>
  <c r="N44" i="16"/>
  <c r="U27" i="10"/>
  <c r="V27" i="10" s="1"/>
  <c r="N75" i="11"/>
  <c r="T111" i="15"/>
  <c r="N98" i="22"/>
  <c r="N67" i="26"/>
  <c r="N96" i="29"/>
  <c r="N13" i="31"/>
  <c r="N71" i="13"/>
  <c r="X73" i="18"/>
  <c r="O27" i="3"/>
  <c r="P27" i="3" s="1"/>
  <c r="R82" i="19"/>
  <c r="U113" i="5"/>
  <c r="V113" i="5" s="1"/>
  <c r="R111" i="2"/>
  <c r="X37" i="21"/>
  <c r="X36" i="26"/>
  <c r="N36" i="28"/>
  <c r="Y98" i="31"/>
  <c r="Z98" i="31" s="1"/>
  <c r="N15" i="7"/>
  <c r="T111" i="11"/>
  <c r="T111" i="14"/>
  <c r="N11" i="15"/>
  <c r="U113" i="16"/>
  <c r="V113" i="16" s="1"/>
  <c r="N46" i="24"/>
  <c r="N71" i="28"/>
  <c r="N14" i="29"/>
  <c r="N17" i="30"/>
  <c r="Y38" i="30"/>
  <c r="Z38" i="30" s="1"/>
  <c r="N47" i="16"/>
  <c r="Y17" i="16"/>
  <c r="Z17" i="16" s="1"/>
  <c r="N100" i="17"/>
  <c r="R110" i="9"/>
  <c r="N98" i="9"/>
  <c r="O27" i="11"/>
  <c r="P27" i="11" s="1"/>
  <c r="Q27" i="13"/>
  <c r="R27" i="13" s="1"/>
  <c r="N37" i="15"/>
  <c r="N65" i="15"/>
  <c r="P111" i="15"/>
  <c r="V111" i="15"/>
  <c r="N70" i="16"/>
  <c r="P110" i="16"/>
  <c r="S27" i="20"/>
  <c r="T27" i="20" s="1"/>
  <c r="N94" i="20"/>
  <c r="N94" i="28"/>
  <c r="N100" i="30"/>
  <c r="N11" i="31"/>
  <c r="N42" i="16"/>
  <c r="X47" i="13"/>
  <c r="X67" i="30"/>
  <c r="T24" i="3"/>
  <c r="Q113" i="13"/>
  <c r="R113" i="13" s="1"/>
  <c r="N39" i="26"/>
  <c r="N74" i="28"/>
  <c r="N73" i="30"/>
  <c r="Y11" i="8"/>
  <c r="Z11" i="8" s="1"/>
  <c r="R110" i="11"/>
  <c r="N93" i="13"/>
  <c r="N93" i="19"/>
  <c r="Y10" i="20"/>
  <c r="Z10" i="20" s="1"/>
  <c r="N68" i="21"/>
  <c r="N94" i="24"/>
  <c r="N66" i="25"/>
  <c r="N99" i="28"/>
  <c r="N69" i="30"/>
  <c r="N44" i="13"/>
  <c r="N43" i="16"/>
  <c r="N111" i="17"/>
  <c r="X99" i="17"/>
  <c r="P111" i="14"/>
  <c r="Q56" i="20"/>
  <c r="R56" i="20" s="1"/>
  <c r="V110" i="11"/>
  <c r="N38" i="13"/>
  <c r="N12" i="14"/>
  <c r="Y70" i="15"/>
  <c r="Z70" i="15" s="1"/>
  <c r="N41" i="16"/>
  <c r="N7" i="21"/>
  <c r="N101" i="24"/>
  <c r="N95" i="25"/>
  <c r="Y8" i="27"/>
  <c r="Z8" i="27" s="1"/>
  <c r="N12" i="30"/>
  <c r="N95" i="31"/>
  <c r="X104" i="16"/>
  <c r="N16" i="18"/>
  <c r="Q27" i="17"/>
  <c r="R27" i="17" s="1"/>
  <c r="N75" i="4"/>
  <c r="N67" i="7"/>
  <c r="Y40" i="13"/>
  <c r="Z40" i="13" s="1"/>
  <c r="Y56" i="13" s="1"/>
  <c r="Z56" i="13" s="1"/>
  <c r="N65" i="13"/>
  <c r="R82" i="13"/>
  <c r="Q113" i="16"/>
  <c r="R113" i="16" s="1"/>
  <c r="N98" i="19"/>
  <c r="N103" i="13"/>
  <c r="N74" i="16"/>
  <c r="X102" i="16"/>
  <c r="Y76" i="18"/>
  <c r="Z76" i="18" s="1"/>
  <c r="R111" i="11"/>
  <c r="N41" i="20"/>
  <c r="N66" i="20"/>
  <c r="N93" i="29"/>
  <c r="N16" i="30"/>
  <c r="N42" i="13"/>
  <c r="N38" i="7"/>
  <c r="T25" i="15"/>
  <c r="Q56" i="17"/>
  <c r="R56" i="17" s="1"/>
  <c r="N39" i="23"/>
  <c r="N76" i="24"/>
  <c r="N104" i="28"/>
  <c r="N39" i="29"/>
  <c r="N68" i="30"/>
  <c r="X75" i="16"/>
  <c r="N104" i="16"/>
  <c r="X17" i="18"/>
  <c r="N99" i="18"/>
  <c r="O84" i="11"/>
  <c r="P84" i="11" s="1"/>
  <c r="V111" i="11"/>
  <c r="R81" i="11"/>
  <c r="Q84" i="14"/>
  <c r="R84" i="14" s="1"/>
  <c r="R53" i="18"/>
  <c r="T81" i="19"/>
  <c r="V81" i="20"/>
  <c r="Y70" i="21"/>
  <c r="Z70" i="21" s="1"/>
  <c r="X70" i="21"/>
  <c r="X81" i="21" s="1"/>
  <c r="Y70" i="29"/>
  <c r="Z70" i="29" s="1"/>
  <c r="X70" i="29"/>
  <c r="U27" i="3"/>
  <c r="V27" i="3" s="1"/>
  <c r="Y7" i="3"/>
  <c r="Z7" i="3" s="1"/>
  <c r="X9" i="3"/>
  <c r="N44" i="3"/>
  <c r="N16" i="4"/>
  <c r="X38" i="4"/>
  <c r="X40" i="7"/>
  <c r="Q27" i="8"/>
  <c r="R27" i="8" s="1"/>
  <c r="T111" i="8"/>
  <c r="X41" i="11"/>
  <c r="N70" i="11"/>
  <c r="U27" i="17"/>
  <c r="V27" i="17" s="1"/>
  <c r="X69" i="19"/>
  <c r="N12" i="20"/>
  <c r="N36" i="21"/>
  <c r="N43" i="22"/>
  <c r="N69" i="22"/>
  <c r="Y65" i="23"/>
  <c r="Z65" i="23" s="1"/>
  <c r="N97" i="23"/>
  <c r="V82" i="6"/>
  <c r="S84" i="12"/>
  <c r="T84" i="12" s="1"/>
  <c r="N9" i="24"/>
  <c r="P9" i="24"/>
  <c r="Y12" i="29"/>
  <c r="Z12" i="29" s="1"/>
  <c r="X12" i="29"/>
  <c r="R53" i="7"/>
  <c r="Q27" i="11"/>
  <c r="R27" i="11" s="1"/>
  <c r="P81" i="11"/>
  <c r="N10" i="12"/>
  <c r="R110" i="12"/>
  <c r="R114" i="12" s="1"/>
  <c r="G48" i="1" s="1"/>
  <c r="S27" i="13"/>
  <c r="T27" i="13" s="1"/>
  <c r="N36" i="13"/>
  <c r="Y95" i="14"/>
  <c r="Z95" i="14" s="1"/>
  <c r="N10" i="20"/>
  <c r="O56" i="16"/>
  <c r="P56" i="16" s="1"/>
  <c r="Y68" i="21"/>
  <c r="Z68" i="21" s="1"/>
  <c r="Y73" i="22"/>
  <c r="Z73" i="22" s="1"/>
  <c r="N104" i="24"/>
  <c r="Y12" i="25"/>
  <c r="Z12" i="25" s="1"/>
  <c r="X95" i="29"/>
  <c r="P14" i="30"/>
  <c r="P24" i="30" s="1"/>
  <c r="N14" i="30"/>
  <c r="R81" i="15"/>
  <c r="R85" i="15" s="1"/>
  <c r="G59" i="1" s="1"/>
  <c r="T109" i="24"/>
  <c r="X14" i="25"/>
  <c r="Y14" i="25"/>
  <c r="Z14" i="25" s="1"/>
  <c r="X10" i="31"/>
  <c r="Y10" i="31"/>
  <c r="Z10" i="31" s="1"/>
  <c r="V24" i="20"/>
  <c r="T81" i="11"/>
  <c r="N67" i="6"/>
  <c r="R111" i="8"/>
  <c r="N14" i="11"/>
  <c r="V81" i="11"/>
  <c r="T110" i="11"/>
  <c r="N7" i="14"/>
  <c r="V81" i="19"/>
  <c r="X37" i="22"/>
  <c r="X65" i="22"/>
  <c r="Y65" i="22"/>
  <c r="Z65" i="22" s="1"/>
  <c r="X38" i="23"/>
  <c r="N67" i="23"/>
  <c r="N102" i="24"/>
  <c r="X8" i="25"/>
  <c r="X10" i="25"/>
  <c r="N70" i="25"/>
  <c r="X41" i="26"/>
  <c r="N38" i="28"/>
  <c r="N44" i="28"/>
  <c r="S56" i="16"/>
  <c r="T56" i="16" s="1"/>
  <c r="Y36" i="21"/>
  <c r="Z36" i="21" s="1"/>
  <c r="X36" i="21"/>
  <c r="N68" i="4"/>
  <c r="X74" i="4"/>
  <c r="R25" i="8"/>
  <c r="V111" i="8"/>
  <c r="N10" i="11"/>
  <c r="Y12" i="15"/>
  <c r="Z12" i="15" s="1"/>
  <c r="N66" i="15"/>
  <c r="P111" i="19"/>
  <c r="N100" i="24"/>
  <c r="X65" i="27"/>
  <c r="X8" i="29"/>
  <c r="N69" i="23"/>
  <c r="Y16" i="24"/>
  <c r="Z16" i="24" s="1"/>
  <c r="X16" i="24"/>
  <c r="N73" i="24"/>
  <c r="R24" i="13"/>
  <c r="R110" i="7"/>
  <c r="R114" i="7" s="1"/>
  <c r="G28" i="1" s="1"/>
  <c r="V25" i="8"/>
  <c r="X96" i="8"/>
  <c r="V110" i="9"/>
  <c r="N37" i="8"/>
  <c r="N38" i="10"/>
  <c r="N103" i="11"/>
  <c r="T81" i="15"/>
  <c r="T85" i="15" s="1"/>
  <c r="I59" i="1" s="1"/>
  <c r="N38" i="18"/>
  <c r="N40" i="18"/>
  <c r="N40" i="20"/>
  <c r="P40" i="21"/>
  <c r="O56" i="21" s="1"/>
  <c r="P56" i="21" s="1"/>
  <c r="N69" i="21"/>
  <c r="N67" i="24"/>
  <c r="N8" i="26"/>
  <c r="Y27" i="29"/>
  <c r="Z27" i="29" s="1"/>
  <c r="Y93" i="30"/>
  <c r="Z93" i="30" s="1"/>
  <c r="X95" i="20"/>
  <c r="Y95" i="20"/>
  <c r="Z95" i="20" s="1"/>
  <c r="Y11" i="24"/>
  <c r="Z11" i="24" s="1"/>
  <c r="X11" i="24"/>
  <c r="Y40" i="29"/>
  <c r="Z40" i="29" s="1"/>
  <c r="X40" i="29"/>
  <c r="T25" i="8"/>
  <c r="Y102" i="3"/>
  <c r="Z102" i="3" s="1"/>
  <c r="P110" i="3"/>
  <c r="P114" i="3" s="1"/>
  <c r="E12" i="1" s="1"/>
  <c r="R25" i="7"/>
  <c r="X37" i="14"/>
  <c r="N94" i="14"/>
  <c r="N36" i="18"/>
  <c r="T110" i="18"/>
  <c r="N66" i="22"/>
  <c r="N68" i="22"/>
  <c r="Y101" i="22"/>
  <c r="Z101" i="22" s="1"/>
  <c r="Z111" i="22" s="1"/>
  <c r="N66" i="23"/>
  <c r="N96" i="24"/>
  <c r="N97" i="26"/>
  <c r="N102" i="28"/>
  <c r="V81" i="7"/>
  <c r="O27" i="10"/>
  <c r="P27" i="10" s="1"/>
  <c r="S56" i="20"/>
  <c r="T56" i="20" s="1"/>
  <c r="P25" i="3"/>
  <c r="V25" i="3"/>
  <c r="N41" i="3"/>
  <c r="V25" i="7"/>
  <c r="O84" i="9"/>
  <c r="P84" i="9" s="1"/>
  <c r="Q27" i="10"/>
  <c r="R27" i="10" s="1"/>
  <c r="N13" i="10"/>
  <c r="R81" i="13"/>
  <c r="N9" i="16"/>
  <c r="N11" i="19"/>
  <c r="X38" i="21"/>
  <c r="Y69" i="23"/>
  <c r="Z69" i="23" s="1"/>
  <c r="N8" i="24"/>
  <c r="P10" i="27"/>
  <c r="P110" i="5"/>
  <c r="Q84" i="9"/>
  <c r="R84" i="9" s="1"/>
  <c r="R111" i="9"/>
  <c r="R111" i="14"/>
  <c r="X12" i="21"/>
  <c r="P8" i="24"/>
  <c r="X13" i="24"/>
  <c r="X104" i="28"/>
  <c r="Y104" i="28"/>
  <c r="Z104" i="28" s="1"/>
  <c r="N15" i="4"/>
  <c r="N70" i="9"/>
  <c r="N9" i="15"/>
  <c r="Y38" i="20"/>
  <c r="Z38" i="20" s="1"/>
  <c r="X38" i="20"/>
  <c r="X69" i="20"/>
  <c r="X74" i="22"/>
  <c r="N17" i="24"/>
  <c r="N12" i="27"/>
  <c r="N13" i="30"/>
  <c r="N13" i="3"/>
  <c r="T25" i="3"/>
  <c r="N39" i="3"/>
  <c r="N68" i="6"/>
  <c r="U84" i="9"/>
  <c r="V84" i="9" s="1"/>
  <c r="N69" i="12"/>
  <c r="V111" i="14"/>
  <c r="P25" i="15"/>
  <c r="Y96" i="24"/>
  <c r="Z96" i="24" s="1"/>
  <c r="X96" i="24"/>
  <c r="X102" i="28"/>
  <c r="Y102" i="28"/>
  <c r="Z102" i="28" s="1"/>
  <c r="X11" i="31"/>
  <c r="Y11" i="31"/>
  <c r="Z11" i="31" s="1"/>
  <c r="O56" i="20"/>
  <c r="P56" i="20" s="1"/>
  <c r="P24" i="21"/>
  <c r="Y98" i="21"/>
  <c r="Z98" i="21" s="1"/>
  <c r="X36" i="24"/>
  <c r="Y67" i="24"/>
  <c r="Z67" i="24" s="1"/>
  <c r="Y84" i="24" s="1"/>
  <c r="Z84" i="24" s="1"/>
  <c r="Z69" i="24"/>
  <c r="R54" i="7"/>
  <c r="T54" i="7"/>
  <c r="X75" i="7"/>
  <c r="N67" i="8"/>
  <c r="N43" i="9"/>
  <c r="N7" i="11"/>
  <c r="N67" i="11"/>
  <c r="V110" i="15"/>
  <c r="Y99" i="15"/>
  <c r="Z99" i="15" s="1"/>
  <c r="U56" i="17"/>
  <c r="V56" i="17" s="1"/>
  <c r="N104" i="22"/>
  <c r="Y7" i="25"/>
  <c r="Z7" i="25" s="1"/>
  <c r="X7" i="25"/>
  <c r="X100" i="28"/>
  <c r="Y100" i="28"/>
  <c r="Z100" i="28" s="1"/>
  <c r="X73" i="30"/>
  <c r="V81" i="4"/>
  <c r="N9" i="3"/>
  <c r="N66" i="6"/>
  <c r="T81" i="7"/>
  <c r="N7" i="10"/>
  <c r="N39" i="11"/>
  <c r="N36" i="12"/>
  <c r="Z25" i="15"/>
  <c r="X11" i="15"/>
  <c r="R81" i="17"/>
  <c r="N65" i="23"/>
  <c r="Y66" i="23"/>
  <c r="Z66" i="23" s="1"/>
  <c r="Y98" i="23"/>
  <c r="Z98" i="23" s="1"/>
  <c r="X17" i="24"/>
  <c r="X44" i="24"/>
  <c r="N11" i="26"/>
  <c r="V82" i="17"/>
  <c r="Z82" i="29"/>
  <c r="V24" i="4"/>
  <c r="V28" i="4" s="1"/>
  <c r="K13" i="1" s="1"/>
  <c r="U84" i="14"/>
  <c r="V84" i="14" s="1"/>
  <c r="V81" i="17"/>
  <c r="V53" i="18"/>
  <c r="X10" i="24"/>
  <c r="X46" i="24"/>
  <c r="T81" i="17"/>
  <c r="N47" i="11"/>
  <c r="Y101" i="3"/>
  <c r="Z101" i="3" s="1"/>
  <c r="Y71" i="4"/>
  <c r="Z71" i="4" s="1"/>
  <c r="N11" i="8"/>
  <c r="U84" i="8"/>
  <c r="V84" i="8" s="1"/>
  <c r="N14" i="9"/>
  <c r="U84" i="12"/>
  <c r="V84" i="12" s="1"/>
  <c r="X44" i="22"/>
  <c r="N93" i="25"/>
  <c r="N7" i="26"/>
  <c r="N12" i="29"/>
  <c r="N15" i="30"/>
  <c r="N40" i="31"/>
  <c r="R25" i="3"/>
  <c r="T53" i="7"/>
  <c r="N12" i="9"/>
  <c r="U84" i="11"/>
  <c r="V84" i="11" s="1"/>
  <c r="R53" i="12"/>
  <c r="N41" i="12"/>
  <c r="N40" i="13"/>
  <c r="T54" i="18"/>
  <c r="W27" i="27"/>
  <c r="X27" i="27" s="1"/>
  <c r="V81" i="8"/>
  <c r="P111" i="8"/>
  <c r="N93" i="12"/>
  <c r="N69" i="13"/>
  <c r="O84" i="14"/>
  <c r="P84" i="14" s="1"/>
  <c r="S84" i="20"/>
  <c r="T84" i="20" s="1"/>
  <c r="N41" i="22"/>
  <c r="N96" i="22"/>
  <c r="X102" i="22"/>
  <c r="X12" i="24"/>
  <c r="N70" i="24"/>
  <c r="N8" i="25"/>
  <c r="N68" i="29"/>
  <c r="N38" i="31"/>
  <c r="Y17" i="13"/>
  <c r="Z17" i="13" s="1"/>
  <c r="N15" i="13"/>
  <c r="Y13" i="16"/>
  <c r="Z13" i="16" s="1"/>
  <c r="N10" i="28"/>
  <c r="N43" i="28"/>
  <c r="Y17" i="30"/>
  <c r="Z17" i="30" s="1"/>
  <c r="N45" i="30"/>
  <c r="X95" i="30"/>
  <c r="N12" i="31"/>
  <c r="N11" i="30"/>
  <c r="Y46" i="13"/>
  <c r="Z46" i="13" s="1"/>
  <c r="Y76" i="16"/>
  <c r="Z76" i="16" s="1"/>
  <c r="T111" i="17"/>
  <c r="X103" i="16"/>
  <c r="X14" i="18"/>
  <c r="T24" i="13"/>
  <c r="N102" i="13"/>
  <c r="P111" i="17"/>
  <c r="N46" i="18"/>
  <c r="Y74" i="18"/>
  <c r="Z74" i="18" s="1"/>
  <c r="N104" i="18"/>
  <c r="N47" i="28"/>
  <c r="N75" i="28"/>
  <c r="N72" i="16"/>
  <c r="X100" i="16"/>
  <c r="N99" i="16"/>
  <c r="N13" i="16"/>
  <c r="N70" i="26"/>
  <c r="N41" i="27"/>
  <c r="N10" i="29"/>
  <c r="N41" i="30"/>
  <c r="N96" i="30"/>
  <c r="R54" i="16"/>
  <c r="Y14" i="16"/>
  <c r="Z14" i="16" s="1"/>
  <c r="X45" i="16"/>
  <c r="P44" i="16"/>
  <c r="P54" i="16" s="1"/>
  <c r="N99" i="17"/>
  <c r="Z111" i="17"/>
  <c r="X100" i="17"/>
  <c r="N14" i="18"/>
  <c r="N65" i="22"/>
  <c r="N7" i="25"/>
  <c r="N46" i="13"/>
  <c r="N76" i="16"/>
  <c r="N103" i="16"/>
  <c r="U56" i="16"/>
  <c r="V56" i="16" s="1"/>
  <c r="N17" i="16"/>
  <c r="Y72" i="13"/>
  <c r="Z72" i="13" s="1"/>
  <c r="Y18" i="16"/>
  <c r="Z18" i="16" s="1"/>
  <c r="N71" i="18"/>
  <c r="X16" i="30"/>
  <c r="U27" i="20"/>
  <c r="V27" i="20" s="1"/>
  <c r="N41" i="24"/>
  <c r="N45" i="24"/>
  <c r="N68" i="24"/>
  <c r="N38" i="29"/>
  <c r="X39" i="29"/>
  <c r="X8" i="30"/>
  <c r="X65" i="30"/>
  <c r="X68" i="30"/>
  <c r="N7" i="31"/>
  <c r="R111" i="17"/>
  <c r="N100" i="13"/>
  <c r="N73" i="16"/>
  <c r="N100" i="16"/>
  <c r="N14" i="16"/>
  <c r="N17" i="18"/>
  <c r="Y74" i="13"/>
  <c r="Z74" i="13" s="1"/>
  <c r="N47" i="13"/>
  <c r="N13" i="12"/>
  <c r="N45" i="16"/>
  <c r="Y15" i="16"/>
  <c r="Z15" i="16" s="1"/>
  <c r="N47" i="18"/>
  <c r="Y75" i="18"/>
  <c r="Z75" i="18" s="1"/>
  <c r="Y101" i="13"/>
  <c r="Z101" i="13" s="1"/>
  <c r="Y14" i="12"/>
  <c r="Z14" i="12" s="1"/>
  <c r="N42" i="18"/>
  <c r="P71" i="13"/>
  <c r="P81" i="13" s="1"/>
  <c r="P53" i="12"/>
  <c r="P57" i="12" s="1"/>
  <c r="E46" i="1" s="1"/>
  <c r="Q27" i="19"/>
  <c r="R27" i="19" s="1"/>
  <c r="N36" i="20"/>
  <c r="O84" i="20"/>
  <c r="P84" i="20" s="1"/>
  <c r="N93" i="21"/>
  <c r="N13" i="25"/>
  <c r="X38" i="26"/>
  <c r="X68" i="27"/>
  <c r="N39" i="28"/>
  <c r="N66" i="29"/>
  <c r="Y94" i="29"/>
  <c r="Z94" i="29" s="1"/>
  <c r="T111" i="5"/>
  <c r="T82" i="17"/>
  <c r="N41" i="29"/>
  <c r="N102" i="18"/>
  <c r="N93" i="31"/>
  <c r="N15" i="18"/>
  <c r="P109" i="13"/>
  <c r="N45" i="18"/>
  <c r="N12" i="21"/>
  <c r="N65" i="26"/>
  <c r="N70" i="28"/>
  <c r="X15" i="30"/>
  <c r="N66" i="30"/>
  <c r="X68" i="31"/>
  <c r="W84" i="31" s="1"/>
  <c r="X84" i="31" s="1"/>
  <c r="Y16" i="13"/>
  <c r="Z16" i="13" s="1"/>
  <c r="T54" i="16"/>
  <c r="N15" i="16"/>
  <c r="N101" i="13"/>
  <c r="N43" i="13"/>
  <c r="N14" i="13"/>
  <c r="Y16" i="16"/>
  <c r="Z16" i="16" s="1"/>
  <c r="P109" i="17"/>
  <c r="N75" i="18"/>
  <c r="N68" i="17"/>
  <c r="P53" i="18"/>
  <c r="N69" i="19"/>
  <c r="N40" i="26"/>
  <c r="N14" i="28"/>
  <c r="N40" i="29"/>
  <c r="N36" i="31"/>
  <c r="Q27" i="18"/>
  <c r="R27" i="18" s="1"/>
  <c r="N18" i="18"/>
  <c r="N69" i="27"/>
  <c r="X41" i="29"/>
  <c r="N71" i="16"/>
  <c r="X99" i="16"/>
  <c r="N13" i="18"/>
  <c r="N103" i="18"/>
  <c r="R24" i="21"/>
  <c r="T24" i="21"/>
  <c r="V24" i="21"/>
  <c r="P110" i="20"/>
  <c r="P114" i="20" s="1"/>
  <c r="E80" i="1" s="1"/>
  <c r="R110" i="20"/>
  <c r="T110" i="20"/>
  <c r="V110" i="20"/>
  <c r="Q84" i="20"/>
  <c r="R84" i="20" s="1"/>
  <c r="U84" i="20"/>
  <c r="V84" i="20" s="1"/>
  <c r="P81" i="20"/>
  <c r="R81" i="20"/>
  <c r="T81" i="20"/>
  <c r="U56" i="20"/>
  <c r="V56" i="20" s="1"/>
  <c r="R53" i="20"/>
  <c r="T53" i="20"/>
  <c r="V53" i="20"/>
  <c r="P23" i="21"/>
  <c r="N10" i="21"/>
  <c r="P109" i="20"/>
  <c r="Y99" i="20"/>
  <c r="Z99" i="20" s="1"/>
  <c r="Y96" i="20"/>
  <c r="Z96" i="20" s="1"/>
  <c r="T109" i="20"/>
  <c r="P80" i="20"/>
  <c r="N67" i="20"/>
  <c r="Y68" i="20"/>
  <c r="Z68" i="20" s="1"/>
  <c r="Y66" i="20"/>
  <c r="Z66" i="20" s="1"/>
  <c r="X36" i="20"/>
  <c r="X41" i="20"/>
  <c r="Y40" i="20"/>
  <c r="Z40" i="20" s="1"/>
  <c r="Y37" i="20"/>
  <c r="Z37" i="20" s="1"/>
  <c r="N14" i="20"/>
  <c r="T24" i="20"/>
  <c r="R24" i="20"/>
  <c r="R110" i="19"/>
  <c r="T110" i="19"/>
  <c r="V110" i="19"/>
  <c r="T82" i="19"/>
  <c r="V82" i="19"/>
  <c r="R81" i="19"/>
  <c r="N94" i="19"/>
  <c r="Y96" i="19"/>
  <c r="Z96" i="19" s="1"/>
  <c r="N96" i="19"/>
  <c r="N70" i="19"/>
  <c r="N65" i="19"/>
  <c r="Y68" i="19"/>
  <c r="Z68" i="19" s="1"/>
  <c r="Z82" i="19" s="1"/>
  <c r="Y70" i="19"/>
  <c r="Z70" i="19" s="1"/>
  <c r="Y65" i="19"/>
  <c r="Z65" i="19" s="1"/>
  <c r="P82" i="19"/>
  <c r="N66" i="19"/>
  <c r="Q56" i="19"/>
  <c r="R56" i="19" s="1"/>
  <c r="O56" i="19"/>
  <c r="P56" i="19" s="1"/>
  <c r="S56" i="19"/>
  <c r="T56" i="19" s="1"/>
  <c r="N37" i="19"/>
  <c r="Y41" i="19"/>
  <c r="Z41" i="19" s="1"/>
  <c r="Y39" i="19"/>
  <c r="Z39" i="19" s="1"/>
  <c r="N40" i="19"/>
  <c r="X36" i="19"/>
  <c r="U56" i="19"/>
  <c r="V56" i="19" s="1"/>
  <c r="V53" i="19"/>
  <c r="T53" i="19"/>
  <c r="R53" i="19"/>
  <c r="U27" i="19"/>
  <c r="V27" i="19" s="1"/>
  <c r="S27" i="19"/>
  <c r="T27" i="19" s="1"/>
  <c r="R24" i="19"/>
  <c r="T24" i="19"/>
  <c r="V24" i="19"/>
  <c r="P111" i="18"/>
  <c r="V110" i="18"/>
  <c r="R110" i="18"/>
  <c r="R114" i="18" s="1"/>
  <c r="G72" i="1" s="1"/>
  <c r="P110" i="18"/>
  <c r="R81" i="18"/>
  <c r="R85" i="18" s="1"/>
  <c r="G71" i="1" s="1"/>
  <c r="T81" i="18"/>
  <c r="T85" i="18" s="1"/>
  <c r="I71" i="1" s="1"/>
  <c r="V81" i="18"/>
  <c r="V85" i="18" s="1"/>
  <c r="K71" i="1" s="1"/>
  <c r="Y104" i="18"/>
  <c r="Z104" i="18" s="1"/>
  <c r="Y103" i="18"/>
  <c r="Z103" i="18" s="1"/>
  <c r="Y102" i="18"/>
  <c r="Z102" i="18" s="1"/>
  <c r="Y101" i="18"/>
  <c r="Z101" i="18" s="1"/>
  <c r="Y100" i="18"/>
  <c r="Z100" i="18" s="1"/>
  <c r="Y99" i="18"/>
  <c r="Z99" i="18" s="1"/>
  <c r="P76" i="18"/>
  <c r="P75" i="18"/>
  <c r="P74" i="18"/>
  <c r="P73" i="18"/>
  <c r="P72" i="18"/>
  <c r="P71" i="18"/>
  <c r="P54" i="18"/>
  <c r="V54" i="18"/>
  <c r="Y47" i="18"/>
  <c r="Z47" i="18" s="1"/>
  <c r="Y46" i="18"/>
  <c r="Z46" i="18" s="1"/>
  <c r="Y45" i="18"/>
  <c r="Z45" i="18" s="1"/>
  <c r="Y44" i="18"/>
  <c r="Z44" i="18" s="1"/>
  <c r="Y43" i="18"/>
  <c r="Z43" i="18" s="1"/>
  <c r="Y42" i="18"/>
  <c r="Z42" i="18" s="1"/>
  <c r="O27" i="18"/>
  <c r="P27" i="18" s="1"/>
  <c r="U27" i="18"/>
  <c r="V27" i="18" s="1"/>
  <c r="R53" i="17"/>
  <c r="V53" i="17"/>
  <c r="T53" i="17"/>
  <c r="R82" i="17"/>
  <c r="V111" i="17"/>
  <c r="Q56" i="16"/>
  <c r="R56" i="16" s="1"/>
  <c r="V53" i="16"/>
  <c r="T53" i="18"/>
  <c r="S27" i="18"/>
  <c r="T27" i="18" s="1"/>
  <c r="P24" i="18"/>
  <c r="T24" i="18"/>
  <c r="R24" i="18"/>
  <c r="V24" i="18"/>
  <c r="T110" i="17"/>
  <c r="V110" i="17"/>
  <c r="R110" i="17"/>
  <c r="S56" i="17"/>
  <c r="T56" i="17" s="1"/>
  <c r="S27" i="17"/>
  <c r="T27" i="17" s="1"/>
  <c r="R24" i="17"/>
  <c r="T24" i="17"/>
  <c r="V24" i="17"/>
  <c r="T110" i="16"/>
  <c r="R110" i="16"/>
  <c r="V110" i="16"/>
  <c r="R81" i="16"/>
  <c r="R85" i="16" s="1"/>
  <c r="G63" i="1" s="1"/>
  <c r="V81" i="16"/>
  <c r="V85" i="16" s="1"/>
  <c r="K63" i="1" s="1"/>
  <c r="T81" i="16"/>
  <c r="T85" i="16" s="1"/>
  <c r="I63" i="1" s="1"/>
  <c r="T53" i="16"/>
  <c r="R53" i="16"/>
  <c r="N9" i="19"/>
  <c r="X7" i="19"/>
  <c r="N10" i="19"/>
  <c r="X94" i="18"/>
  <c r="N93" i="18"/>
  <c r="P109" i="18"/>
  <c r="X93" i="18"/>
  <c r="X98" i="18"/>
  <c r="X96" i="18"/>
  <c r="Y70" i="18"/>
  <c r="Z70" i="18" s="1"/>
  <c r="N39" i="18"/>
  <c r="N37" i="18"/>
  <c r="P52" i="18"/>
  <c r="Y36" i="18"/>
  <c r="Z36" i="18" s="1"/>
  <c r="Y38" i="18"/>
  <c r="Z38" i="18" s="1"/>
  <c r="N41" i="18"/>
  <c r="Y39" i="18"/>
  <c r="Z39" i="18" s="1"/>
  <c r="Y41" i="18"/>
  <c r="Z41" i="18" s="1"/>
  <c r="N9" i="18"/>
  <c r="P23" i="18"/>
  <c r="Y8" i="18"/>
  <c r="Z8" i="18" s="1"/>
  <c r="X10" i="18"/>
  <c r="N11" i="18"/>
  <c r="X7" i="18"/>
  <c r="X9" i="18"/>
  <c r="N95" i="17"/>
  <c r="X68" i="17"/>
  <c r="N65" i="17"/>
  <c r="X65" i="17"/>
  <c r="Y67" i="17"/>
  <c r="Z67" i="17" s="1"/>
  <c r="N66" i="17"/>
  <c r="X39" i="17"/>
  <c r="Y36" i="17"/>
  <c r="Z36" i="17" s="1"/>
  <c r="N39" i="17"/>
  <c r="X37" i="17"/>
  <c r="X40" i="17"/>
  <c r="O27" i="17"/>
  <c r="P27" i="17" s="1"/>
  <c r="X11" i="17"/>
  <c r="Y93" i="16"/>
  <c r="Z93" i="16" s="1"/>
  <c r="P109" i="16"/>
  <c r="X95" i="16"/>
  <c r="N66" i="16"/>
  <c r="N39" i="16"/>
  <c r="N40" i="16"/>
  <c r="N36" i="16"/>
  <c r="N38" i="16"/>
  <c r="X36" i="16"/>
  <c r="Y69" i="16"/>
  <c r="Z69" i="16" s="1"/>
  <c r="Q27" i="16"/>
  <c r="R27" i="16" s="1"/>
  <c r="X70" i="16"/>
  <c r="X40" i="16"/>
  <c r="N67" i="16"/>
  <c r="N7" i="16"/>
  <c r="T24" i="16"/>
  <c r="V24" i="16"/>
  <c r="N10" i="16"/>
  <c r="O27" i="16"/>
  <c r="P27" i="16" s="1"/>
  <c r="U27" i="16"/>
  <c r="V27" i="16" s="1"/>
  <c r="P24" i="16"/>
  <c r="S27" i="16"/>
  <c r="T27" i="16" s="1"/>
  <c r="R24" i="16"/>
  <c r="R110" i="15"/>
  <c r="V81" i="15"/>
  <c r="V85" i="15" s="1"/>
  <c r="K59" i="1" s="1"/>
  <c r="Y10" i="16"/>
  <c r="Z10" i="16" s="1"/>
  <c r="P23" i="16"/>
  <c r="N11" i="16"/>
  <c r="N8" i="16"/>
  <c r="Y95" i="15"/>
  <c r="Z95" i="15" s="1"/>
  <c r="Y66" i="15"/>
  <c r="Z66" i="15" s="1"/>
  <c r="O56" i="15"/>
  <c r="P56" i="15" s="1"/>
  <c r="R53" i="15"/>
  <c r="P52" i="15"/>
  <c r="X16" i="15"/>
  <c r="X15" i="15"/>
  <c r="Y14" i="15"/>
  <c r="Z14" i="15" s="1"/>
  <c r="Y27" i="15" s="1"/>
  <c r="Z27" i="15" s="1"/>
  <c r="N13" i="15"/>
  <c r="X13" i="15"/>
  <c r="U56" i="15"/>
  <c r="V56" i="15" s="1"/>
  <c r="Q56" i="15"/>
  <c r="R56" i="15" s="1"/>
  <c r="S56" i="15"/>
  <c r="T56" i="15" s="1"/>
  <c r="T53" i="15"/>
  <c r="V53" i="15"/>
  <c r="P53" i="15"/>
  <c r="U27" i="15"/>
  <c r="V27" i="15" s="1"/>
  <c r="S27" i="15"/>
  <c r="T27" i="15" s="1"/>
  <c r="Q27" i="15"/>
  <c r="R27" i="15" s="1"/>
  <c r="T24" i="15"/>
  <c r="R24" i="15"/>
  <c r="V24" i="15"/>
  <c r="R110" i="14"/>
  <c r="T110" i="14"/>
  <c r="V110" i="14"/>
  <c r="N97" i="14"/>
  <c r="X96" i="14"/>
  <c r="X98" i="14"/>
  <c r="R81" i="14"/>
  <c r="N38" i="14"/>
  <c r="O56" i="14"/>
  <c r="P56" i="14" s="1"/>
  <c r="N41" i="14"/>
  <c r="Q56" i="14"/>
  <c r="R56" i="14" s="1"/>
  <c r="T53" i="14"/>
  <c r="X36" i="14"/>
  <c r="S56" i="14"/>
  <c r="T56" i="14" s="1"/>
  <c r="V53" i="14"/>
  <c r="P23" i="14"/>
  <c r="Y7" i="14"/>
  <c r="Z7" i="14" s="1"/>
  <c r="P24" i="14"/>
  <c r="O27" i="14"/>
  <c r="P27" i="14" s="1"/>
  <c r="Q27" i="14"/>
  <c r="R27" i="14" s="1"/>
  <c r="U27" i="14"/>
  <c r="V27" i="14" s="1"/>
  <c r="R24" i="14"/>
  <c r="V24" i="14"/>
  <c r="N13" i="14"/>
  <c r="N11" i="14"/>
  <c r="S27" i="14"/>
  <c r="T27" i="14" s="1"/>
  <c r="Y103" i="13"/>
  <c r="Z103" i="13" s="1"/>
  <c r="Q27" i="12"/>
  <c r="R27" i="12" s="1"/>
  <c r="V53" i="12"/>
  <c r="T53" i="12"/>
  <c r="R81" i="12"/>
  <c r="T81" i="12"/>
  <c r="V81" i="12"/>
  <c r="P110" i="12"/>
  <c r="P114" i="12" s="1"/>
  <c r="E48" i="1" s="1"/>
  <c r="V110" i="12"/>
  <c r="V114" i="12" s="1"/>
  <c r="K48" i="1" s="1"/>
  <c r="V24" i="13"/>
  <c r="P18" i="13"/>
  <c r="P17" i="13"/>
  <c r="P16" i="13"/>
  <c r="P15" i="13"/>
  <c r="P14" i="13"/>
  <c r="P13" i="13"/>
  <c r="R53" i="13"/>
  <c r="R57" i="13" s="1"/>
  <c r="G50" i="1" s="1"/>
  <c r="P53" i="13"/>
  <c r="T53" i="13"/>
  <c r="V53" i="13"/>
  <c r="S84" i="14"/>
  <c r="T84" i="14" s="1"/>
  <c r="T81" i="14"/>
  <c r="V81" i="14"/>
  <c r="U56" i="14"/>
  <c r="V56" i="14" s="1"/>
  <c r="R53" i="14"/>
  <c r="T23" i="14"/>
  <c r="T24" i="14"/>
  <c r="U113" i="13"/>
  <c r="V113" i="13" s="1"/>
  <c r="S113" i="13"/>
  <c r="T113" i="13" s="1"/>
  <c r="R110" i="13"/>
  <c r="T110" i="13"/>
  <c r="V110" i="13"/>
  <c r="V82" i="13"/>
  <c r="V81" i="13"/>
  <c r="T82" i="13"/>
  <c r="T81" i="13"/>
  <c r="S56" i="13"/>
  <c r="T56" i="13" s="1"/>
  <c r="U56" i="13"/>
  <c r="V56" i="13" s="1"/>
  <c r="X65" i="13"/>
  <c r="Y69" i="13"/>
  <c r="Z69" i="13" s="1"/>
  <c r="X67" i="13"/>
  <c r="Y66" i="13"/>
  <c r="Z66" i="13" s="1"/>
  <c r="X37" i="13"/>
  <c r="X39" i="13"/>
  <c r="X38" i="13"/>
  <c r="N39" i="13"/>
  <c r="P52" i="13"/>
  <c r="N8" i="13"/>
  <c r="Y9" i="13"/>
  <c r="Z9" i="13" s="1"/>
  <c r="Y10" i="13"/>
  <c r="Z10" i="13" s="1"/>
  <c r="N11" i="13"/>
  <c r="Y11" i="13"/>
  <c r="Z11" i="13" s="1"/>
  <c r="Y96" i="12"/>
  <c r="Z96" i="12" s="1"/>
  <c r="P109" i="12"/>
  <c r="N67" i="12"/>
  <c r="X65" i="12"/>
  <c r="X69" i="12"/>
  <c r="N37" i="12"/>
  <c r="N40" i="12"/>
  <c r="Y40" i="12"/>
  <c r="Z40" i="12" s="1"/>
  <c r="N38" i="12"/>
  <c r="P52" i="12"/>
  <c r="Y36" i="12"/>
  <c r="Z36" i="12" s="1"/>
  <c r="R24" i="12"/>
  <c r="N11" i="12"/>
  <c r="N9" i="12"/>
  <c r="S27" i="12"/>
  <c r="T27" i="12" s="1"/>
  <c r="U27" i="12"/>
  <c r="V27" i="12" s="1"/>
  <c r="T24" i="12"/>
  <c r="V24" i="12"/>
  <c r="P111" i="11"/>
  <c r="S84" i="11"/>
  <c r="T84" i="11" s="1"/>
  <c r="N8" i="12"/>
  <c r="N7" i="12"/>
  <c r="N12" i="12"/>
  <c r="X99" i="11"/>
  <c r="N104" i="11"/>
  <c r="X102" i="11"/>
  <c r="N96" i="11"/>
  <c r="X75" i="11"/>
  <c r="X72" i="11"/>
  <c r="P80" i="11"/>
  <c r="X65" i="11"/>
  <c r="N43" i="11"/>
  <c r="N46" i="11"/>
  <c r="X46" i="11"/>
  <c r="V53" i="11"/>
  <c r="V57" i="11" s="1"/>
  <c r="K42" i="1" s="1"/>
  <c r="R53" i="11"/>
  <c r="R57" i="11" s="1"/>
  <c r="G42" i="1" s="1"/>
  <c r="N37" i="11"/>
  <c r="N17" i="11"/>
  <c r="N15" i="11"/>
  <c r="R25" i="11"/>
  <c r="N13" i="11"/>
  <c r="T25" i="11"/>
  <c r="V25" i="11"/>
  <c r="V24" i="11"/>
  <c r="N8" i="11"/>
  <c r="X13" i="11"/>
  <c r="S27" i="11"/>
  <c r="T27" i="11" s="1"/>
  <c r="Y17" i="11"/>
  <c r="Z17" i="11" s="1"/>
  <c r="X8" i="11"/>
  <c r="U27" i="11"/>
  <c r="V27" i="11" s="1"/>
  <c r="N9" i="11"/>
  <c r="X93" i="10"/>
  <c r="V110" i="10"/>
  <c r="V114" i="10" s="1"/>
  <c r="K40" i="1" s="1"/>
  <c r="R110" i="10"/>
  <c r="R114" i="10" s="1"/>
  <c r="G40" i="1" s="1"/>
  <c r="T110" i="10"/>
  <c r="T114" i="10" s="1"/>
  <c r="I40" i="1" s="1"/>
  <c r="N67" i="10"/>
  <c r="N68" i="10"/>
  <c r="N37" i="10"/>
  <c r="N39" i="10"/>
  <c r="T53" i="11"/>
  <c r="T57" i="11" s="1"/>
  <c r="I42" i="1" s="1"/>
  <c r="R24" i="11"/>
  <c r="T24" i="11"/>
  <c r="N94" i="10"/>
  <c r="Y69" i="10"/>
  <c r="Z69" i="10" s="1"/>
  <c r="Z82" i="10" s="1"/>
  <c r="R24" i="10"/>
  <c r="S27" i="10"/>
  <c r="T27" i="10" s="1"/>
  <c r="X36" i="10"/>
  <c r="N8" i="10"/>
  <c r="N12" i="10"/>
  <c r="N65" i="10"/>
  <c r="Y38" i="10"/>
  <c r="Z38" i="10" s="1"/>
  <c r="N69" i="10"/>
  <c r="V81" i="10"/>
  <c r="R81" i="10"/>
  <c r="R85" i="10" s="1"/>
  <c r="G39" i="1" s="1"/>
  <c r="T81" i="10"/>
  <c r="V53" i="10"/>
  <c r="T53" i="10"/>
  <c r="R53" i="10"/>
  <c r="R57" i="10" s="1"/>
  <c r="G38" i="1" s="1"/>
  <c r="T24" i="10"/>
  <c r="V24" i="10"/>
  <c r="P24" i="10"/>
  <c r="V111" i="9"/>
  <c r="P111" i="9"/>
  <c r="T111" i="9"/>
  <c r="P110" i="9"/>
  <c r="T110" i="9"/>
  <c r="S84" i="9"/>
  <c r="T84" i="9" s="1"/>
  <c r="N37" i="9"/>
  <c r="N17" i="9"/>
  <c r="X102" i="9"/>
  <c r="N15" i="9"/>
  <c r="N71" i="9"/>
  <c r="N73" i="9"/>
  <c r="T54" i="9"/>
  <c r="X42" i="9"/>
  <c r="X46" i="9"/>
  <c r="X7" i="9"/>
  <c r="X9" i="9"/>
  <c r="N38" i="9"/>
  <c r="V54" i="9"/>
  <c r="N67" i="9"/>
  <c r="N99" i="9"/>
  <c r="T24" i="9"/>
  <c r="N16" i="9"/>
  <c r="R54" i="9"/>
  <c r="X75" i="9"/>
  <c r="X101" i="9"/>
  <c r="P54" i="9"/>
  <c r="N97" i="9"/>
  <c r="N41" i="9"/>
  <c r="P81" i="9"/>
  <c r="X18" i="9"/>
  <c r="V24" i="9"/>
  <c r="X47" i="9"/>
  <c r="R53" i="9"/>
  <c r="N66" i="9"/>
  <c r="R81" i="9"/>
  <c r="T81" i="9"/>
  <c r="V81" i="9"/>
  <c r="T53" i="9"/>
  <c r="V53" i="9"/>
  <c r="P53" i="9"/>
  <c r="R24" i="9"/>
  <c r="R110" i="8"/>
  <c r="T110" i="8"/>
  <c r="V110" i="8"/>
  <c r="S84" i="8"/>
  <c r="T84" i="8" s="1"/>
  <c r="R81" i="8"/>
  <c r="T81" i="8"/>
  <c r="T53" i="8"/>
  <c r="V53" i="8"/>
  <c r="R53" i="8"/>
  <c r="N41" i="10"/>
  <c r="X41" i="10"/>
  <c r="N36" i="10"/>
  <c r="Z110" i="9"/>
  <c r="P23" i="10"/>
  <c r="N10" i="10"/>
  <c r="X103" i="9"/>
  <c r="P109" i="9"/>
  <c r="N96" i="9"/>
  <c r="M113" i="9" s="1"/>
  <c r="N113" i="9" s="1"/>
  <c r="N75" i="9"/>
  <c r="N72" i="9"/>
  <c r="X68" i="9"/>
  <c r="N65" i="9"/>
  <c r="X70" i="9"/>
  <c r="P80" i="9"/>
  <c r="N44" i="9"/>
  <c r="X43" i="9"/>
  <c r="P52" i="9"/>
  <c r="Y38" i="9"/>
  <c r="Z38" i="9" s="1"/>
  <c r="X16" i="9"/>
  <c r="N18" i="9"/>
  <c r="X15" i="9"/>
  <c r="N10" i="9"/>
  <c r="X10" i="9"/>
  <c r="N8" i="9"/>
  <c r="N11" i="9"/>
  <c r="P109" i="8"/>
  <c r="N96" i="8"/>
  <c r="X65" i="8"/>
  <c r="N68" i="8"/>
  <c r="N65" i="8"/>
  <c r="P68" i="8"/>
  <c r="P80" i="8" s="1"/>
  <c r="U27" i="8"/>
  <c r="V27" i="8" s="1"/>
  <c r="S27" i="8"/>
  <c r="T27" i="8" s="1"/>
  <c r="V24" i="8"/>
  <c r="R24" i="8"/>
  <c r="T110" i="7"/>
  <c r="T114" i="7" s="1"/>
  <c r="I28" i="1" s="1"/>
  <c r="V110" i="7"/>
  <c r="V114" i="7" s="1"/>
  <c r="K28" i="1" s="1"/>
  <c r="V54" i="7"/>
  <c r="V53" i="7"/>
  <c r="N10" i="8"/>
  <c r="X9" i="8"/>
  <c r="X7" i="8"/>
  <c r="N8" i="8"/>
  <c r="X8" i="8"/>
  <c r="N7" i="8"/>
  <c r="X95" i="7"/>
  <c r="Y101" i="7"/>
  <c r="Z101" i="7" s="1"/>
  <c r="N71" i="7"/>
  <c r="N75" i="7"/>
  <c r="Y71" i="7"/>
  <c r="Z71" i="7" s="1"/>
  <c r="Y70" i="7"/>
  <c r="Z70" i="7" s="1"/>
  <c r="Y66" i="7"/>
  <c r="Z66" i="7" s="1"/>
  <c r="Y69" i="7"/>
  <c r="Z69" i="7" s="1"/>
  <c r="N68" i="7"/>
  <c r="Y47" i="7"/>
  <c r="Z47" i="7" s="1"/>
  <c r="X44" i="7"/>
  <c r="Y46" i="7"/>
  <c r="Z46" i="7" s="1"/>
  <c r="N45" i="7"/>
  <c r="Y43" i="7"/>
  <c r="Z43" i="7" s="1"/>
  <c r="Y45" i="7"/>
  <c r="Z45" i="7" s="1"/>
  <c r="Y37" i="7"/>
  <c r="Z37" i="7" s="1"/>
  <c r="N39" i="7"/>
  <c r="N36" i="7"/>
  <c r="X17" i="7"/>
  <c r="X18" i="7"/>
  <c r="O27" i="7"/>
  <c r="P27" i="7" s="1"/>
  <c r="T25" i="7"/>
  <c r="Q27" i="7"/>
  <c r="R27" i="7" s="1"/>
  <c r="P23" i="7"/>
  <c r="U27" i="7"/>
  <c r="V27" i="7" s="1"/>
  <c r="P25" i="7"/>
  <c r="P111" i="6"/>
  <c r="R111" i="6"/>
  <c r="T111" i="6"/>
  <c r="V111" i="6"/>
  <c r="V110" i="6"/>
  <c r="X97" i="6"/>
  <c r="T82" i="6"/>
  <c r="N70" i="6"/>
  <c r="R82" i="6"/>
  <c r="T81" i="6"/>
  <c r="X66" i="6"/>
  <c r="N37" i="6"/>
  <c r="P52" i="6"/>
  <c r="V53" i="6"/>
  <c r="T53" i="6"/>
  <c r="R53" i="6"/>
  <c r="S27" i="7"/>
  <c r="T27" i="7" s="1"/>
  <c r="T24" i="7"/>
  <c r="R24" i="7"/>
  <c r="V24" i="7"/>
  <c r="P24" i="7"/>
  <c r="R110" i="6"/>
  <c r="T110" i="6"/>
  <c r="Q27" i="6"/>
  <c r="R27" i="6" s="1"/>
  <c r="S27" i="6"/>
  <c r="T27" i="6" s="1"/>
  <c r="R24" i="6"/>
  <c r="V111" i="5"/>
  <c r="R111" i="5"/>
  <c r="V110" i="5"/>
  <c r="T110" i="5"/>
  <c r="R81" i="6"/>
  <c r="V81" i="6"/>
  <c r="V54" i="6"/>
  <c r="T54" i="6"/>
  <c r="P53" i="6"/>
  <c r="U27" i="6"/>
  <c r="V27" i="6" s="1"/>
  <c r="V24" i="6"/>
  <c r="T24" i="6"/>
  <c r="R110" i="5"/>
  <c r="N37" i="5"/>
  <c r="N15" i="5"/>
  <c r="Y17" i="5"/>
  <c r="Z17" i="5" s="1"/>
  <c r="N69" i="5"/>
  <c r="P109" i="5"/>
  <c r="X95" i="5"/>
  <c r="N18" i="5"/>
  <c r="N67" i="5"/>
  <c r="N65" i="5"/>
  <c r="V81" i="5"/>
  <c r="V85" i="5" s="1"/>
  <c r="K19" i="1" s="1"/>
  <c r="Y13" i="5"/>
  <c r="Z13" i="5" s="1"/>
  <c r="N95" i="5"/>
  <c r="R81" i="5"/>
  <c r="R85" i="5" s="1"/>
  <c r="G19" i="1" s="1"/>
  <c r="N7" i="5"/>
  <c r="V53" i="5"/>
  <c r="R54" i="5"/>
  <c r="V24" i="5"/>
  <c r="R24" i="5"/>
  <c r="O27" i="5"/>
  <c r="P27" i="5" s="1"/>
  <c r="T81" i="5"/>
  <c r="T85" i="5" s="1"/>
  <c r="I19" i="1" s="1"/>
  <c r="W56" i="5"/>
  <c r="X56" i="5" s="1"/>
  <c r="N36" i="5"/>
  <c r="X36" i="5"/>
  <c r="T54" i="5"/>
  <c r="V54" i="5"/>
  <c r="R53" i="5"/>
  <c r="T53" i="5"/>
  <c r="Q27" i="5"/>
  <c r="R27" i="5" s="1"/>
  <c r="S27" i="5"/>
  <c r="T27" i="5" s="1"/>
  <c r="U27" i="5"/>
  <c r="V27" i="5" s="1"/>
  <c r="N14" i="5"/>
  <c r="X98" i="4"/>
  <c r="T110" i="4"/>
  <c r="X104" i="4"/>
  <c r="R110" i="4"/>
  <c r="N103" i="4"/>
  <c r="T24" i="5"/>
  <c r="V110" i="4"/>
  <c r="P81" i="4"/>
  <c r="P85" i="4" s="1"/>
  <c r="E15" i="1" s="1"/>
  <c r="R81" i="4"/>
  <c r="R85" i="4" s="1"/>
  <c r="G15" i="1" s="1"/>
  <c r="T81" i="4"/>
  <c r="T85" i="4" s="1"/>
  <c r="I15" i="1" s="1"/>
  <c r="V54" i="4"/>
  <c r="V53" i="4"/>
  <c r="T53" i="4"/>
  <c r="R53" i="4"/>
  <c r="Y9" i="5"/>
  <c r="Z9" i="5" s="1"/>
  <c r="N10" i="5"/>
  <c r="Y8" i="5"/>
  <c r="Z8" i="5" s="1"/>
  <c r="X10" i="5"/>
  <c r="N100" i="4"/>
  <c r="X95" i="4"/>
  <c r="X76" i="4"/>
  <c r="N71" i="4"/>
  <c r="N73" i="4"/>
  <c r="P80" i="4"/>
  <c r="N67" i="4"/>
  <c r="X67" i="4"/>
  <c r="X69" i="4"/>
  <c r="X70" i="4"/>
  <c r="N39" i="4"/>
  <c r="X39" i="4"/>
  <c r="N17" i="4"/>
  <c r="X15" i="4"/>
  <c r="X17" i="4"/>
  <c r="X16" i="4"/>
  <c r="P24" i="4"/>
  <c r="P28" i="4" s="1"/>
  <c r="E13" i="1" s="1"/>
  <c r="R24" i="4"/>
  <c r="R28" i="4" s="1"/>
  <c r="G13" i="1" s="1"/>
  <c r="T24" i="4"/>
  <c r="T28" i="4" s="1"/>
  <c r="I13" i="1" s="1"/>
  <c r="R110" i="3"/>
  <c r="R114" i="3" s="1"/>
  <c r="G12" i="1" s="1"/>
  <c r="T110" i="3"/>
  <c r="T114" i="3" s="1"/>
  <c r="I12" i="1" s="1"/>
  <c r="V110" i="3"/>
  <c r="V114" i="3" s="1"/>
  <c r="K12" i="1" s="1"/>
  <c r="T81" i="3"/>
  <c r="T85" i="3" s="1"/>
  <c r="I11" i="1" s="1"/>
  <c r="R81" i="3"/>
  <c r="R85" i="3" s="1"/>
  <c r="G11" i="1" s="1"/>
  <c r="V81" i="3"/>
  <c r="V85" i="3" s="1"/>
  <c r="K11" i="1" s="1"/>
  <c r="P23" i="4"/>
  <c r="N103" i="3"/>
  <c r="X103" i="3"/>
  <c r="P109" i="3"/>
  <c r="N98" i="3"/>
  <c r="N47" i="3"/>
  <c r="R53" i="3"/>
  <c r="R57" i="3" s="1"/>
  <c r="G10" i="1" s="1"/>
  <c r="V53" i="3"/>
  <c r="V57" i="3" s="1"/>
  <c r="K10" i="1" s="1"/>
  <c r="T53" i="3"/>
  <c r="T57" i="3" s="1"/>
  <c r="I10" i="1" s="1"/>
  <c r="N40" i="3"/>
  <c r="X15" i="3"/>
  <c r="X8" i="3"/>
  <c r="X10" i="3"/>
  <c r="R24" i="3"/>
  <c r="N7" i="3"/>
  <c r="Q27" i="3"/>
  <c r="R27" i="3" s="1"/>
  <c r="N11" i="3"/>
  <c r="S27" i="3"/>
  <c r="T27" i="3" s="1"/>
  <c r="P23" i="3"/>
  <c r="P111" i="2"/>
  <c r="Q113" i="2"/>
  <c r="R113" i="2" s="1"/>
  <c r="O113" i="2"/>
  <c r="P113" i="2" s="1"/>
  <c r="T111" i="2"/>
  <c r="V111" i="2"/>
  <c r="P109" i="2"/>
  <c r="U113" i="2"/>
  <c r="V113" i="2" s="1"/>
  <c r="R81" i="2"/>
  <c r="R85" i="2" s="1"/>
  <c r="G7" i="1" s="1"/>
  <c r="V81" i="2"/>
  <c r="V85" i="2" s="1"/>
  <c r="K7" i="1" s="1"/>
  <c r="T81" i="2"/>
  <c r="T85" i="2" s="1"/>
  <c r="I7" i="1" s="1"/>
  <c r="V24" i="3"/>
  <c r="P24" i="3"/>
  <c r="S113" i="2"/>
  <c r="T113" i="2" s="1"/>
  <c r="T110" i="2"/>
  <c r="R110" i="2"/>
  <c r="V110" i="2"/>
  <c r="P110" i="2"/>
  <c r="V53" i="2"/>
  <c r="V57" i="2" s="1"/>
  <c r="K6" i="1" s="1"/>
  <c r="R53" i="2"/>
  <c r="R57" i="2" s="1"/>
  <c r="G6" i="1" s="1"/>
  <c r="T53" i="2"/>
  <c r="T57" i="2" s="1"/>
  <c r="I6" i="1" s="1"/>
  <c r="V24" i="2"/>
  <c r="V28" i="2" s="1"/>
  <c r="K5" i="1" s="1"/>
  <c r="R24" i="2"/>
  <c r="R28" i="2" s="1"/>
  <c r="G5" i="1" s="1"/>
  <c r="T24" i="2"/>
  <c r="T28" i="2" s="1"/>
  <c r="I5" i="1" s="1"/>
  <c r="X97" i="8"/>
  <c r="Y97" i="8"/>
  <c r="Z97" i="8" s="1"/>
  <c r="T52" i="3"/>
  <c r="N18" i="4"/>
  <c r="X67" i="7"/>
  <c r="Y67" i="7"/>
  <c r="Z67" i="7" s="1"/>
  <c r="X99" i="7"/>
  <c r="Y99" i="7"/>
  <c r="Z99" i="7" s="1"/>
  <c r="V109" i="4"/>
  <c r="Y75" i="4"/>
  <c r="Z75" i="4" s="1"/>
  <c r="X75" i="4"/>
  <c r="Y39" i="3"/>
  <c r="Z39" i="3" s="1"/>
  <c r="X39" i="3"/>
  <c r="R52" i="2"/>
  <c r="N38" i="3"/>
  <c r="T109" i="4"/>
  <c r="N95" i="4"/>
  <c r="X40" i="6"/>
  <c r="Y40" i="6"/>
  <c r="Z40" i="6" s="1"/>
  <c r="X70" i="6"/>
  <c r="N38" i="4"/>
  <c r="Y12" i="3"/>
  <c r="Z12" i="3" s="1"/>
  <c r="N14" i="3"/>
  <c r="Y13" i="4"/>
  <c r="Z13" i="4" s="1"/>
  <c r="P38" i="4"/>
  <c r="X93" i="4"/>
  <c r="X102" i="4"/>
  <c r="N47" i="7"/>
  <c r="P47" i="7"/>
  <c r="Y42" i="7"/>
  <c r="Z42" i="7" s="1"/>
  <c r="X42" i="7"/>
  <c r="V23" i="7"/>
  <c r="Y11" i="4"/>
  <c r="Z11" i="4" s="1"/>
  <c r="X18" i="4"/>
  <c r="X67" i="5"/>
  <c r="X96" i="5"/>
  <c r="Y96" i="5"/>
  <c r="Z96" i="5" s="1"/>
  <c r="N94" i="6"/>
  <c r="X36" i="6"/>
  <c r="Y36" i="6"/>
  <c r="Z36" i="6" s="1"/>
  <c r="R23" i="4"/>
  <c r="N37" i="4"/>
  <c r="P37" i="4"/>
  <c r="N76" i="4"/>
  <c r="X72" i="4"/>
  <c r="R80" i="2"/>
  <c r="X14" i="3"/>
  <c r="Y14" i="3"/>
  <c r="Z14" i="3" s="1"/>
  <c r="N99" i="4"/>
  <c r="N41" i="6"/>
  <c r="X96" i="6"/>
  <c r="Y96" i="6"/>
  <c r="Z96" i="6" s="1"/>
  <c r="Y14" i="5"/>
  <c r="Z14" i="5" s="1"/>
  <c r="X14" i="5"/>
  <c r="Y36" i="7"/>
  <c r="Z36" i="7" s="1"/>
  <c r="X36" i="7"/>
  <c r="Y14" i="9"/>
  <c r="Z14" i="9" s="1"/>
  <c r="X14" i="9"/>
  <c r="X16" i="5"/>
  <c r="Y16" i="5"/>
  <c r="Z16" i="5" s="1"/>
  <c r="Y74" i="7"/>
  <c r="Z74" i="7" s="1"/>
  <c r="X16" i="3"/>
  <c r="X37" i="4"/>
  <c r="N65" i="4"/>
  <c r="X68" i="4"/>
  <c r="N70" i="4"/>
  <c r="X99" i="4"/>
  <c r="N97" i="5"/>
  <c r="P39" i="8"/>
  <c r="O56" i="8" s="1"/>
  <c r="P56" i="8" s="1"/>
  <c r="N39" i="8"/>
  <c r="Y103" i="4"/>
  <c r="Z103" i="4" s="1"/>
  <c r="Z111" i="4" s="1"/>
  <c r="X103" i="4"/>
  <c r="T80" i="6"/>
  <c r="Y96" i="7"/>
  <c r="Z96" i="7" s="1"/>
  <c r="X96" i="7"/>
  <c r="N46" i="3"/>
  <c r="V23" i="2"/>
  <c r="Y12" i="4"/>
  <c r="Z12" i="4" s="1"/>
  <c r="X41" i="4"/>
  <c r="Y38" i="7"/>
  <c r="Z38" i="7" s="1"/>
  <c r="P12" i="8"/>
  <c r="O27" i="8" s="1"/>
  <c r="P27" i="8" s="1"/>
  <c r="N12" i="8"/>
  <c r="X12" i="5"/>
  <c r="Y12" i="5"/>
  <c r="Z12" i="5" s="1"/>
  <c r="Y39" i="7"/>
  <c r="Z39" i="7" s="1"/>
  <c r="N42" i="3"/>
  <c r="Y10" i="4"/>
  <c r="Z10" i="4" s="1"/>
  <c r="X14" i="4"/>
  <c r="Y93" i="5"/>
  <c r="Z93" i="5" s="1"/>
  <c r="Y71" i="9"/>
  <c r="Z71" i="9" s="1"/>
  <c r="X71" i="9"/>
  <c r="N9" i="10"/>
  <c r="V23" i="11"/>
  <c r="X47" i="3"/>
  <c r="R23" i="2"/>
  <c r="T80" i="8"/>
  <c r="X13" i="3"/>
  <c r="X43" i="3"/>
  <c r="N99" i="3"/>
  <c r="N101" i="3"/>
  <c r="X65" i="4"/>
  <c r="X73" i="4"/>
  <c r="Y94" i="4"/>
  <c r="Z94" i="4" s="1"/>
  <c r="V23" i="9"/>
  <c r="X37" i="5"/>
  <c r="N45" i="3"/>
  <c r="N97" i="3"/>
  <c r="R52" i="5"/>
  <c r="T80" i="5"/>
  <c r="N93" i="6"/>
  <c r="R23" i="8"/>
  <c r="N12" i="3"/>
  <c r="T80" i="3"/>
  <c r="N95" i="3"/>
  <c r="X65" i="7"/>
  <c r="Y65" i="7"/>
  <c r="Z65" i="7" s="1"/>
  <c r="V80" i="8"/>
  <c r="P18" i="9"/>
  <c r="P25" i="9" s="1"/>
  <c r="Y14" i="11"/>
  <c r="Z14" i="11" s="1"/>
  <c r="X14" i="11"/>
  <c r="Y68" i="11"/>
  <c r="Z68" i="11" s="1"/>
  <c r="X68" i="11"/>
  <c r="Y10" i="12"/>
  <c r="Z10" i="12" s="1"/>
  <c r="X10" i="12"/>
  <c r="T52" i="16"/>
  <c r="P25" i="11"/>
  <c r="P70" i="15"/>
  <c r="N70" i="15"/>
  <c r="N37" i="7"/>
  <c r="X98" i="8"/>
  <c r="Y39" i="9"/>
  <c r="Z39" i="9" s="1"/>
  <c r="Y56" i="9" s="1"/>
  <c r="Z56" i="9" s="1"/>
  <c r="N102" i="9"/>
  <c r="X94" i="10"/>
  <c r="X98" i="10"/>
  <c r="X11" i="11"/>
  <c r="N41" i="7"/>
  <c r="X37" i="8"/>
  <c r="W56" i="8" s="1"/>
  <c r="X56" i="8" s="1"/>
  <c r="Y37" i="8"/>
  <c r="Z37" i="8" s="1"/>
  <c r="N13" i="9"/>
  <c r="X37" i="9"/>
  <c r="Y37" i="9"/>
  <c r="Z37" i="9" s="1"/>
  <c r="Y39" i="11"/>
  <c r="Z39" i="11" s="1"/>
  <c r="X39" i="11"/>
  <c r="V109" i="9"/>
  <c r="T80" i="10"/>
  <c r="R23" i="11"/>
  <c r="T23" i="8"/>
  <c r="Y69" i="8"/>
  <c r="Z69" i="8" s="1"/>
  <c r="X69" i="8"/>
  <c r="N95" i="8"/>
  <c r="X74" i="9"/>
  <c r="X7" i="13"/>
  <c r="Y7" i="13"/>
  <c r="Z7" i="13" s="1"/>
  <c r="T109" i="7"/>
  <c r="V23" i="8"/>
  <c r="Y67" i="9"/>
  <c r="Z67" i="9" s="1"/>
  <c r="X67" i="9"/>
  <c r="N36" i="6"/>
  <c r="Y12" i="8"/>
  <c r="Z12" i="8" s="1"/>
  <c r="X12" i="8"/>
  <c r="R109" i="8"/>
  <c r="N69" i="9"/>
  <c r="N100" i="11"/>
  <c r="Y67" i="11"/>
  <c r="Z67" i="11" s="1"/>
  <c r="X67" i="11"/>
  <c r="Y11" i="14"/>
  <c r="Z11" i="14" s="1"/>
  <c r="X11" i="14"/>
  <c r="Y68" i="8"/>
  <c r="Z68" i="8" s="1"/>
  <c r="X68" i="8"/>
  <c r="T109" i="10"/>
  <c r="X15" i="7"/>
  <c r="Y41" i="7"/>
  <c r="Z41" i="7" s="1"/>
  <c r="X41" i="7"/>
  <c r="Y13" i="9"/>
  <c r="Z13" i="9" s="1"/>
  <c r="Z25" i="9" s="1"/>
  <c r="X13" i="9"/>
  <c r="N46" i="9"/>
  <c r="N12" i="11"/>
  <c r="X65" i="14"/>
  <c r="Y65" i="14"/>
  <c r="Z65" i="14" s="1"/>
  <c r="Y40" i="9"/>
  <c r="Z40" i="9" s="1"/>
  <c r="P109" i="6"/>
  <c r="V52" i="8"/>
  <c r="X8" i="9"/>
  <c r="Y66" i="9"/>
  <c r="Z66" i="9" s="1"/>
  <c r="X66" i="9"/>
  <c r="X37" i="10"/>
  <c r="Y97" i="10"/>
  <c r="Z97" i="10" s="1"/>
  <c r="N44" i="7"/>
  <c r="Y103" i="7"/>
  <c r="Z103" i="7" s="1"/>
  <c r="N66" i="8"/>
  <c r="T52" i="9"/>
  <c r="Y73" i="9"/>
  <c r="Z73" i="9" s="1"/>
  <c r="X73" i="9"/>
  <c r="N66" i="10"/>
  <c r="Z104" i="11"/>
  <c r="X104" i="11"/>
  <c r="Y12" i="9"/>
  <c r="Z12" i="9" s="1"/>
  <c r="X12" i="9"/>
  <c r="X44" i="9"/>
  <c r="N94" i="3"/>
  <c r="N69" i="4"/>
  <c r="N72" i="4"/>
  <c r="N39" i="6"/>
  <c r="P75" i="7"/>
  <c r="P82" i="7" s="1"/>
  <c r="X76" i="7"/>
  <c r="Y97" i="7"/>
  <c r="Z97" i="7" s="1"/>
  <c r="Y36" i="9"/>
  <c r="Z36" i="9" s="1"/>
  <c r="Y39" i="10"/>
  <c r="Z39" i="10" s="1"/>
  <c r="X39" i="10"/>
  <c r="W56" i="10" s="1"/>
  <c r="X56" i="10" s="1"/>
  <c r="Y27" i="11"/>
  <c r="Z27" i="11" s="1"/>
  <c r="X12" i="11"/>
  <c r="N66" i="11"/>
  <c r="T23" i="15"/>
  <c r="T23" i="6"/>
  <c r="N43" i="7"/>
  <c r="N9" i="8"/>
  <c r="N66" i="12"/>
  <c r="X70" i="8"/>
  <c r="Y70" i="8"/>
  <c r="Z70" i="8" s="1"/>
  <c r="Y45" i="11"/>
  <c r="Z45" i="11" s="1"/>
  <c r="X45" i="11"/>
  <c r="X97" i="5"/>
  <c r="T80" i="9"/>
  <c r="Y104" i="9"/>
  <c r="Z104" i="9" s="1"/>
  <c r="Z109" i="9" s="1"/>
  <c r="X104" i="9"/>
  <c r="X11" i="3"/>
  <c r="X18" i="5"/>
  <c r="X65" i="5"/>
  <c r="X69" i="5"/>
  <c r="N95" i="6"/>
  <c r="N39" i="9"/>
  <c r="N10" i="3"/>
  <c r="X96" i="3"/>
  <c r="Y96" i="3"/>
  <c r="Z96" i="3" s="1"/>
  <c r="N41" i="4"/>
  <c r="R80" i="8"/>
  <c r="Y72" i="9"/>
  <c r="Z72" i="9" s="1"/>
  <c r="X72" i="9"/>
  <c r="Y93" i="11"/>
  <c r="Z93" i="11" s="1"/>
  <c r="X93" i="11"/>
  <c r="Y97" i="12"/>
  <c r="Z97" i="12" s="1"/>
  <c r="X97" i="12"/>
  <c r="Y65" i="16"/>
  <c r="Z65" i="16" s="1"/>
  <c r="X65" i="16"/>
  <c r="Y11" i="9"/>
  <c r="Z11" i="9" s="1"/>
  <c r="X11" i="9"/>
  <c r="N37" i="13"/>
  <c r="P53" i="20"/>
  <c r="N38" i="8"/>
  <c r="N54" i="16"/>
  <c r="N69" i="11"/>
  <c r="R52" i="12"/>
  <c r="X38" i="12"/>
  <c r="Y38" i="12"/>
  <c r="Z38" i="12" s="1"/>
  <c r="N7" i="13"/>
  <c r="N68" i="13"/>
  <c r="N98" i="13"/>
  <c r="X8" i="16"/>
  <c r="Y8" i="16"/>
  <c r="Z8" i="16" s="1"/>
  <c r="N18" i="11"/>
  <c r="Y43" i="11"/>
  <c r="Z43" i="11" s="1"/>
  <c r="X43" i="11"/>
  <c r="N71" i="11"/>
  <c r="N74" i="11"/>
  <c r="N94" i="13"/>
  <c r="N96" i="13"/>
  <c r="X98" i="16"/>
  <c r="Y98" i="16"/>
  <c r="Z98" i="16" s="1"/>
  <c r="Y10" i="17"/>
  <c r="Z10" i="17" s="1"/>
  <c r="Y27" i="17" s="1"/>
  <c r="Z27" i="17" s="1"/>
  <c r="X10" i="17"/>
  <c r="X98" i="17"/>
  <c r="Y98" i="17"/>
  <c r="Z98" i="17" s="1"/>
  <c r="R23" i="18"/>
  <c r="N41" i="11"/>
  <c r="V109" i="11"/>
  <c r="N39" i="12"/>
  <c r="Y68" i="13"/>
  <c r="Z68" i="13" s="1"/>
  <c r="X94" i="16"/>
  <c r="Y94" i="16"/>
  <c r="Z94" i="16" s="1"/>
  <c r="T80" i="13"/>
  <c r="X68" i="14"/>
  <c r="Y68" i="14"/>
  <c r="Z68" i="14" s="1"/>
  <c r="V23" i="17"/>
  <c r="N95" i="9"/>
  <c r="N103" i="9"/>
  <c r="N11" i="10"/>
  <c r="Y66" i="11"/>
  <c r="Z66" i="11" s="1"/>
  <c r="X66" i="11"/>
  <c r="X40" i="14"/>
  <c r="X68" i="15"/>
  <c r="Y68" i="15"/>
  <c r="Z68" i="15" s="1"/>
  <c r="N12" i="19"/>
  <c r="X94" i="17"/>
  <c r="Y94" i="17"/>
  <c r="Z94" i="17" s="1"/>
  <c r="X41" i="9"/>
  <c r="W56" i="9" s="1"/>
  <c r="X56" i="9" s="1"/>
  <c r="Y41" i="9"/>
  <c r="Z41" i="9" s="1"/>
  <c r="N73" i="11"/>
  <c r="N76" i="11"/>
  <c r="X111" i="15"/>
  <c r="N37" i="16"/>
  <c r="Y11" i="18"/>
  <c r="Z11" i="18" s="1"/>
  <c r="X11" i="18"/>
  <c r="V52" i="13"/>
  <c r="N36" i="14"/>
  <c r="N39" i="14"/>
  <c r="Y18" i="24"/>
  <c r="Z18" i="24" s="1"/>
  <c r="X18" i="24"/>
  <c r="N94" i="8"/>
  <c r="N45" i="9"/>
  <c r="N40" i="10"/>
  <c r="X37" i="11"/>
  <c r="Y8" i="13"/>
  <c r="Z8" i="13" s="1"/>
  <c r="N68" i="16"/>
  <c r="T52" i="11"/>
  <c r="P67" i="17"/>
  <c r="N67" i="17"/>
  <c r="P8" i="11"/>
  <c r="P24" i="11" s="1"/>
  <c r="X10" i="11"/>
  <c r="Y66" i="16"/>
  <c r="Z66" i="16" s="1"/>
  <c r="X66" i="16"/>
  <c r="X70" i="17"/>
  <c r="X82" i="17" s="1"/>
  <c r="Y70" i="17"/>
  <c r="Z70" i="17" s="1"/>
  <c r="T23" i="5"/>
  <c r="T52" i="6"/>
  <c r="Y73" i="7"/>
  <c r="Z73" i="7" s="1"/>
  <c r="Z82" i="7" s="1"/>
  <c r="Y39" i="8"/>
  <c r="Z39" i="8" s="1"/>
  <c r="X17" i="9"/>
  <c r="X73" i="11"/>
  <c r="X76" i="11"/>
  <c r="V109" i="13"/>
  <c r="N9" i="14"/>
  <c r="X39" i="14"/>
  <c r="Y100" i="3"/>
  <c r="Z100" i="3" s="1"/>
  <c r="R80" i="4"/>
  <c r="N74" i="4"/>
  <c r="V52" i="6"/>
  <c r="Y38" i="6"/>
  <c r="Z38" i="6" s="1"/>
  <c r="X67" i="8"/>
  <c r="N7" i="9"/>
  <c r="Y15" i="11"/>
  <c r="Z15" i="11" s="1"/>
  <c r="N72" i="11"/>
  <c r="P65" i="14"/>
  <c r="N65" i="14"/>
  <c r="P52" i="19"/>
  <c r="Y27" i="7"/>
  <c r="Z27" i="7" s="1"/>
  <c r="X10" i="8"/>
  <c r="N36" i="8"/>
  <c r="X66" i="8"/>
  <c r="X94" i="8"/>
  <c r="X45" i="9"/>
  <c r="N47" i="9"/>
  <c r="X69" i="9"/>
  <c r="X9" i="11"/>
  <c r="N94" i="12"/>
  <c r="Y95" i="13"/>
  <c r="Z95" i="13" s="1"/>
  <c r="Y8" i="17"/>
  <c r="Z8" i="17" s="1"/>
  <c r="X8" i="17"/>
  <c r="X93" i="20"/>
  <c r="Y93" i="20"/>
  <c r="Z93" i="20" s="1"/>
  <c r="N104" i="3"/>
  <c r="V80" i="4"/>
  <c r="N11" i="5"/>
  <c r="N93" i="5"/>
  <c r="N72" i="7"/>
  <c r="N98" i="8"/>
  <c r="N101" i="9"/>
  <c r="Y94" i="11"/>
  <c r="Z94" i="11" s="1"/>
  <c r="X94" i="11"/>
  <c r="N98" i="12"/>
  <c r="N9" i="13"/>
  <c r="R23" i="14"/>
  <c r="Y41" i="14"/>
  <c r="Z41" i="14" s="1"/>
  <c r="X41" i="14"/>
  <c r="P69" i="17"/>
  <c r="P82" i="17" s="1"/>
  <c r="N69" i="17"/>
  <c r="P13" i="19"/>
  <c r="N13" i="19"/>
  <c r="X40" i="18"/>
  <c r="W56" i="18" s="1"/>
  <c r="X56" i="18" s="1"/>
  <c r="Y40" i="18"/>
  <c r="Z40" i="18" s="1"/>
  <c r="V80" i="18"/>
  <c r="Y10" i="14"/>
  <c r="Z10" i="14" s="1"/>
  <c r="N7" i="15"/>
  <c r="Y97" i="15"/>
  <c r="Z97" i="15" s="1"/>
  <c r="Y39" i="16"/>
  <c r="Z39" i="16" s="1"/>
  <c r="X39" i="16"/>
  <c r="X67" i="16"/>
  <c r="Y41" i="17"/>
  <c r="Z41" i="17" s="1"/>
  <c r="N39" i="20"/>
  <c r="Y97" i="18"/>
  <c r="Z97" i="18" s="1"/>
  <c r="N68" i="15"/>
  <c r="N69" i="16"/>
  <c r="N96" i="16"/>
  <c r="V52" i="20"/>
  <c r="Y96" i="21"/>
  <c r="Z96" i="21" s="1"/>
  <c r="X96" i="21"/>
  <c r="Y41" i="22"/>
  <c r="Z41" i="22" s="1"/>
  <c r="X41" i="22"/>
  <c r="N65" i="16"/>
  <c r="N8" i="17"/>
  <c r="R52" i="16"/>
  <c r="Y37" i="16"/>
  <c r="Z37" i="16" s="1"/>
  <c r="X37" i="16"/>
  <c r="V23" i="22"/>
  <c r="N67" i="14"/>
  <c r="X38" i="17"/>
  <c r="N12" i="18"/>
  <c r="N98" i="14"/>
  <c r="Y12" i="16"/>
  <c r="Z12" i="16" s="1"/>
  <c r="V52" i="16"/>
  <c r="X9" i="17"/>
  <c r="Y69" i="17"/>
  <c r="Z69" i="17" s="1"/>
  <c r="N98" i="18"/>
  <c r="Y11" i="19"/>
  <c r="Z11" i="19" s="1"/>
  <c r="X11" i="19"/>
  <c r="N93" i="9"/>
  <c r="N100" i="9"/>
  <c r="N98" i="10"/>
  <c r="N36" i="11"/>
  <c r="N99" i="11"/>
  <c r="R23" i="13"/>
  <c r="N67" i="13"/>
  <c r="N37" i="17"/>
  <c r="N38" i="22"/>
  <c r="N8" i="15"/>
  <c r="V80" i="16"/>
  <c r="N97" i="17"/>
  <c r="R23" i="20"/>
  <c r="R109" i="21"/>
  <c r="N11" i="17"/>
  <c r="N93" i="17"/>
  <c r="N70" i="14"/>
  <c r="X17" i="15"/>
  <c r="Y37" i="15"/>
  <c r="Z37" i="15" s="1"/>
  <c r="T109" i="15"/>
  <c r="X68" i="16"/>
  <c r="R109" i="17"/>
  <c r="N38" i="19"/>
  <c r="V109" i="17"/>
  <c r="P24" i="20"/>
  <c r="N40" i="9"/>
  <c r="N42" i="9"/>
  <c r="N95" i="10"/>
  <c r="N97" i="12"/>
  <c r="N66" i="13"/>
  <c r="N8" i="14"/>
  <c r="N68" i="14"/>
  <c r="N69" i="15"/>
  <c r="X41" i="16"/>
  <c r="X93" i="17"/>
  <c r="Y93" i="17"/>
  <c r="Z93" i="17" s="1"/>
  <c r="Y95" i="17"/>
  <c r="Z95" i="17" s="1"/>
  <c r="X93" i="19"/>
  <c r="N9" i="21"/>
  <c r="T52" i="19"/>
  <c r="Y65" i="9"/>
  <c r="Z65" i="9" s="1"/>
  <c r="X76" i="9"/>
  <c r="N94" i="9"/>
  <c r="N44" i="11"/>
  <c r="N65" i="11"/>
  <c r="X69" i="11"/>
  <c r="Y12" i="13"/>
  <c r="Z12" i="13" s="1"/>
  <c r="Y38" i="14"/>
  <c r="Z38" i="14" s="1"/>
  <c r="X38" i="14"/>
  <c r="N40" i="14"/>
  <c r="N66" i="14"/>
  <c r="X7" i="17"/>
  <c r="N10" i="17"/>
  <c r="X40" i="19"/>
  <c r="W56" i="19" s="1"/>
  <c r="X56" i="19" s="1"/>
  <c r="R23" i="9"/>
  <c r="N36" i="9"/>
  <c r="N16" i="11"/>
  <c r="N68" i="11"/>
  <c r="T23" i="19"/>
  <c r="P53" i="21"/>
  <c r="N41" i="19"/>
  <c r="R109" i="23"/>
  <c r="N8" i="20"/>
  <c r="T23" i="23"/>
  <c r="Y69" i="27"/>
  <c r="Z69" i="27" s="1"/>
  <c r="Z81" i="27" s="1"/>
  <c r="X69" i="27"/>
  <c r="Y37" i="29"/>
  <c r="Z37" i="29" s="1"/>
  <c r="X37" i="29"/>
  <c r="N10" i="15"/>
  <c r="N25" i="15" s="1"/>
  <c r="N9" i="17"/>
  <c r="Y8" i="20"/>
  <c r="Z8" i="20" s="1"/>
  <c r="X8" i="20"/>
  <c r="N7" i="18"/>
  <c r="N95" i="22"/>
  <c r="Y41" i="24"/>
  <c r="Z41" i="24" s="1"/>
  <c r="X41" i="24"/>
  <c r="V109" i="18"/>
  <c r="Y98" i="20"/>
  <c r="Z98" i="20" s="1"/>
  <c r="X98" i="20"/>
  <c r="V23" i="24"/>
  <c r="X12" i="20"/>
  <c r="Y14" i="20"/>
  <c r="Z14" i="20" s="1"/>
  <c r="X14" i="20"/>
  <c r="Y40" i="21"/>
  <c r="Z40" i="21" s="1"/>
  <c r="X40" i="21"/>
  <c r="X72" i="22"/>
  <c r="Y72" i="22"/>
  <c r="Z72" i="22" s="1"/>
  <c r="V52" i="23"/>
  <c r="N12" i="24"/>
  <c r="P12" i="24"/>
  <c r="X95" i="21"/>
  <c r="Y95" i="21"/>
  <c r="Z95" i="21" s="1"/>
  <c r="Y46" i="22"/>
  <c r="Z46" i="22" s="1"/>
  <c r="X46" i="22"/>
  <c r="N67" i="22"/>
  <c r="X13" i="28"/>
  <c r="Y13" i="28"/>
  <c r="Z13" i="28" s="1"/>
  <c r="X68" i="23"/>
  <c r="X95" i="24"/>
  <c r="Y95" i="24"/>
  <c r="Z95" i="24" s="1"/>
  <c r="Z111" i="24" s="1"/>
  <c r="Y39" i="20"/>
  <c r="Z39" i="20" s="1"/>
  <c r="N45" i="22"/>
  <c r="P45" i="22"/>
  <c r="T80" i="22"/>
  <c r="X12" i="18"/>
  <c r="Y37" i="18"/>
  <c r="Z37" i="18" s="1"/>
  <c r="R80" i="21"/>
  <c r="N70" i="13"/>
  <c r="X38" i="16"/>
  <c r="X67" i="19"/>
  <c r="X97" i="19"/>
  <c r="X99" i="19"/>
  <c r="Y99" i="19"/>
  <c r="Z99" i="19" s="1"/>
  <c r="Y15" i="25"/>
  <c r="Z15" i="25" s="1"/>
  <c r="X15" i="25"/>
  <c r="R80" i="20"/>
  <c r="R23" i="17"/>
  <c r="Y67" i="20"/>
  <c r="Z67" i="20" s="1"/>
  <c r="T52" i="21"/>
  <c r="N95" i="12"/>
  <c r="N12" i="13"/>
  <c r="V80" i="20"/>
  <c r="X8" i="21"/>
  <c r="V52" i="21"/>
  <c r="Y104" i="22"/>
  <c r="Z104" i="22" s="1"/>
  <c r="X104" i="22"/>
  <c r="N36" i="17"/>
  <c r="N96" i="17"/>
  <c r="N8" i="18"/>
  <c r="T52" i="18"/>
  <c r="X65" i="20"/>
  <c r="Y65" i="20"/>
  <c r="Z65" i="20" s="1"/>
  <c r="N94" i="22"/>
  <c r="N14" i="25"/>
  <c r="P14" i="25"/>
  <c r="P24" i="25" s="1"/>
  <c r="N13" i="24"/>
  <c r="P13" i="24"/>
  <c r="X7" i="29"/>
  <c r="Y7" i="29"/>
  <c r="Z7" i="29" s="1"/>
  <c r="Y40" i="23"/>
  <c r="Z40" i="23" s="1"/>
  <c r="X40" i="23"/>
  <c r="Y96" i="23"/>
  <c r="Z96" i="23" s="1"/>
  <c r="N16" i="24"/>
  <c r="P16" i="24"/>
  <c r="X9" i="26"/>
  <c r="Y9" i="26"/>
  <c r="Z9" i="26" s="1"/>
  <c r="Y11" i="27"/>
  <c r="Z11" i="27" s="1"/>
  <c r="X11" i="27"/>
  <c r="X95" i="27"/>
  <c r="N40" i="22"/>
  <c r="N47" i="22"/>
  <c r="X103" i="24"/>
  <c r="Y103" i="24"/>
  <c r="Z103" i="24" s="1"/>
  <c r="V52" i="25"/>
  <c r="V80" i="21"/>
  <c r="T109" i="22"/>
  <c r="R52" i="24"/>
  <c r="N71" i="22"/>
  <c r="Y99" i="24"/>
  <c r="Z99" i="24" s="1"/>
  <c r="R23" i="27"/>
  <c r="Y96" i="25"/>
  <c r="Z96" i="25" s="1"/>
  <c r="R52" i="20"/>
  <c r="N96" i="21"/>
  <c r="T23" i="25"/>
  <c r="V23" i="27"/>
  <c r="N98" i="21"/>
  <c r="N111" i="21" s="1"/>
  <c r="N100" i="22"/>
  <c r="N102" i="22"/>
  <c r="N41" i="23"/>
  <c r="X66" i="24"/>
  <c r="Y66" i="24"/>
  <c r="Z66" i="24" s="1"/>
  <c r="N65" i="28"/>
  <c r="Y47" i="22"/>
  <c r="Z47" i="22" s="1"/>
  <c r="X47" i="22"/>
  <c r="Y69" i="22"/>
  <c r="Z69" i="22" s="1"/>
  <c r="Y84" i="22" s="1"/>
  <c r="Z84" i="22" s="1"/>
  <c r="X69" i="22"/>
  <c r="V23" i="21"/>
  <c r="N42" i="22"/>
  <c r="X43" i="22"/>
  <c r="X66" i="27"/>
  <c r="P42" i="22"/>
  <c r="Y38" i="24"/>
  <c r="Z38" i="24" s="1"/>
  <c r="X38" i="24"/>
  <c r="X11" i="25"/>
  <c r="X95" i="26"/>
  <c r="R52" i="28"/>
  <c r="X67" i="28"/>
  <c r="Y67" i="28"/>
  <c r="Z67" i="28" s="1"/>
  <c r="N10" i="18"/>
  <c r="Y7" i="21"/>
  <c r="Z7" i="21" s="1"/>
  <c r="Y11" i="21"/>
  <c r="Z11" i="21" s="1"/>
  <c r="Y27" i="21" s="1"/>
  <c r="Z27" i="21" s="1"/>
  <c r="N39" i="22"/>
  <c r="P72" i="24"/>
  <c r="P80" i="24" s="1"/>
  <c r="N72" i="24"/>
  <c r="Y42" i="24"/>
  <c r="Z42" i="24" s="1"/>
  <c r="Y56" i="24" s="1"/>
  <c r="Z56" i="24" s="1"/>
  <c r="X42" i="24"/>
  <c r="W56" i="24" s="1"/>
  <c r="X56" i="24" s="1"/>
  <c r="X70" i="25"/>
  <c r="X36" i="23"/>
  <c r="T80" i="26"/>
  <c r="N36" i="22"/>
  <c r="N70" i="22"/>
  <c r="P17" i="24"/>
  <c r="Z53" i="26"/>
  <c r="Y41" i="28"/>
  <c r="Z41" i="28" s="1"/>
  <c r="X41" i="28"/>
  <c r="W56" i="28" s="1"/>
  <c r="X56" i="28" s="1"/>
  <c r="Y38" i="29"/>
  <c r="Z38" i="29" s="1"/>
  <c r="X38" i="29"/>
  <c r="Y96" i="29"/>
  <c r="Z96" i="29" s="1"/>
  <c r="X96" i="29"/>
  <c r="X98" i="29"/>
  <c r="Y98" i="29"/>
  <c r="Z98" i="29" s="1"/>
  <c r="T80" i="27"/>
  <c r="N38" i="17"/>
  <c r="N94" i="18"/>
  <c r="N7" i="19"/>
  <c r="N74" i="22"/>
  <c r="N39" i="24"/>
  <c r="X13" i="25"/>
  <c r="V80" i="27"/>
  <c r="N40" i="28"/>
  <c r="X18" i="30"/>
  <c r="Y18" i="30"/>
  <c r="Z18" i="30" s="1"/>
  <c r="N95" i="21"/>
  <c r="P96" i="23"/>
  <c r="N96" i="23"/>
  <c r="X65" i="24"/>
  <c r="Y65" i="24"/>
  <c r="Z65" i="24" s="1"/>
  <c r="V109" i="21"/>
  <c r="Y70" i="22"/>
  <c r="Z70" i="22" s="1"/>
  <c r="X70" i="22"/>
  <c r="R23" i="24"/>
  <c r="N37" i="26"/>
  <c r="P37" i="26"/>
  <c r="Y12" i="27"/>
  <c r="Z12" i="27" s="1"/>
  <c r="Y27" i="27" s="1"/>
  <c r="Z27" i="27" s="1"/>
  <c r="Y17" i="28"/>
  <c r="Z17" i="28" s="1"/>
  <c r="X11" i="29"/>
  <c r="Y11" i="29"/>
  <c r="Z11" i="29" s="1"/>
  <c r="N93" i="16"/>
  <c r="N95" i="16"/>
  <c r="N97" i="16"/>
  <c r="N7" i="17"/>
  <c r="N37" i="21"/>
  <c r="Y41" i="21"/>
  <c r="Z41" i="21" s="1"/>
  <c r="V52" i="22"/>
  <c r="N99" i="22"/>
  <c r="N103" i="22"/>
  <c r="T23" i="24"/>
  <c r="Z111" i="26"/>
  <c r="N93" i="28"/>
  <c r="X93" i="31"/>
  <c r="Y93" i="31"/>
  <c r="Z93" i="31" s="1"/>
  <c r="V80" i="31"/>
  <c r="Y70" i="31"/>
  <c r="Z70" i="31" s="1"/>
  <c r="N97" i="24"/>
  <c r="T109" i="26"/>
  <c r="N7" i="27"/>
  <c r="N101" i="28"/>
  <c r="N70" i="29"/>
  <c r="N82" i="29"/>
  <c r="N46" i="22"/>
  <c r="Y94" i="22"/>
  <c r="Z94" i="22" s="1"/>
  <c r="X94" i="22"/>
  <c r="T23" i="28"/>
  <c r="Y71" i="30"/>
  <c r="Z71" i="30" s="1"/>
  <c r="X71" i="30"/>
  <c r="N7" i="24"/>
  <c r="N11" i="24"/>
  <c r="N15" i="24"/>
  <c r="M27" i="24" s="1"/>
  <c r="N27" i="24" s="1"/>
  <c r="T80" i="24"/>
  <c r="N12" i="25"/>
  <c r="N42" i="28"/>
  <c r="N72" i="28"/>
  <c r="V109" i="23"/>
  <c r="X94" i="27"/>
  <c r="X39" i="21"/>
  <c r="Y66" i="21"/>
  <c r="Z66" i="21" s="1"/>
  <c r="V109" i="22"/>
  <c r="X93" i="23"/>
  <c r="X15" i="24"/>
  <c r="W27" i="24" s="1"/>
  <c r="X27" i="24" s="1"/>
  <c r="X43" i="24"/>
  <c r="Y97" i="25"/>
  <c r="Z97" i="25" s="1"/>
  <c r="Y12" i="26"/>
  <c r="Z12" i="26" s="1"/>
  <c r="X10" i="27"/>
  <c r="N66" i="28"/>
  <c r="N96" i="18"/>
  <c r="X45" i="22"/>
  <c r="Y66" i="22"/>
  <c r="Z66" i="22" s="1"/>
  <c r="X66" i="22"/>
  <c r="X93" i="22"/>
  <c r="X9" i="25"/>
  <c r="X10" i="26"/>
  <c r="X37" i="26"/>
  <c r="N9" i="27"/>
  <c r="P9" i="27"/>
  <c r="X70" i="28"/>
  <c r="W84" i="28" s="1"/>
  <c r="X84" i="28" s="1"/>
  <c r="Y70" i="28"/>
  <c r="Z70" i="28" s="1"/>
  <c r="X74" i="30"/>
  <c r="X72" i="28"/>
  <c r="Y72" i="28"/>
  <c r="Z72" i="28" s="1"/>
  <c r="V52" i="19"/>
  <c r="P43" i="22"/>
  <c r="X103" i="22"/>
  <c r="N14" i="24"/>
  <c r="P14" i="24"/>
  <c r="X94" i="19"/>
  <c r="R109" i="20"/>
  <c r="N98" i="20"/>
  <c r="N68" i="27"/>
  <c r="X74" i="28"/>
  <c r="Y74" i="28"/>
  <c r="Z74" i="28" s="1"/>
  <c r="X13" i="30"/>
  <c r="Y13" i="30"/>
  <c r="Z13" i="30" s="1"/>
  <c r="N69" i="31"/>
  <c r="P53" i="31"/>
  <c r="R52" i="22"/>
  <c r="N44" i="22"/>
  <c r="N93" i="23"/>
  <c r="N10" i="24"/>
  <c r="R23" i="25"/>
  <c r="N42" i="24"/>
  <c r="M56" i="24" s="1"/>
  <c r="N56" i="24" s="1"/>
  <c r="N47" i="24"/>
  <c r="R23" i="26"/>
  <c r="N96" i="27"/>
  <c r="N9" i="28"/>
  <c r="N13" i="28"/>
  <c r="N13" i="29"/>
  <c r="X10" i="30"/>
  <c r="Y10" i="30"/>
  <c r="Z10" i="30" s="1"/>
  <c r="N10" i="25"/>
  <c r="N94" i="25"/>
  <c r="N98" i="25"/>
  <c r="T23" i="26"/>
  <c r="N70" i="27"/>
  <c r="R23" i="28"/>
  <c r="N11" i="28"/>
  <c r="N9" i="29"/>
  <c r="Y94" i="30"/>
  <c r="Z94" i="30" s="1"/>
  <c r="X94" i="30"/>
  <c r="X94" i="31"/>
  <c r="Y94" i="31"/>
  <c r="Z94" i="31" s="1"/>
  <c r="V109" i="29"/>
  <c r="P38" i="30"/>
  <c r="N38" i="30"/>
  <c r="R109" i="27"/>
  <c r="X40" i="26"/>
  <c r="N36" i="27"/>
  <c r="X94" i="28"/>
  <c r="Y94" i="28"/>
  <c r="Z94" i="28" s="1"/>
  <c r="Y96" i="28"/>
  <c r="Z96" i="28" s="1"/>
  <c r="N66" i="21"/>
  <c r="X93" i="21"/>
  <c r="X42" i="22"/>
  <c r="X98" i="22"/>
  <c r="Y95" i="23"/>
  <c r="Z95" i="23" s="1"/>
  <c r="N65" i="24"/>
  <c r="X66" i="25"/>
  <c r="N46" i="28"/>
  <c r="R109" i="31"/>
  <c r="R23" i="23"/>
  <c r="X41" i="27"/>
  <c r="V109" i="27"/>
  <c r="R80" i="31"/>
  <c r="N65" i="20"/>
  <c r="N8" i="21"/>
  <c r="N37" i="22"/>
  <c r="X38" i="22"/>
  <c r="N75" i="22"/>
  <c r="N93" i="22"/>
  <c r="X8" i="24"/>
  <c r="X14" i="24"/>
  <c r="N18" i="24"/>
  <c r="P18" i="24"/>
  <c r="N38" i="24"/>
  <c r="X9" i="27"/>
  <c r="T52" i="27"/>
  <c r="X37" i="27"/>
  <c r="R52" i="30"/>
  <c r="N97" i="29"/>
  <c r="N40" i="30"/>
  <c r="X97" i="30"/>
  <c r="Y97" i="30"/>
  <c r="Z97" i="30" s="1"/>
  <c r="Y99" i="30"/>
  <c r="Z99" i="30" s="1"/>
  <c r="X99" i="30"/>
  <c r="N36" i="30"/>
  <c r="V23" i="30"/>
  <c r="V52" i="30"/>
  <c r="R52" i="31"/>
  <c r="N44" i="24"/>
  <c r="R52" i="25"/>
  <c r="V23" i="26"/>
  <c r="N40" i="27"/>
  <c r="N96" i="28"/>
  <c r="N65" i="30"/>
  <c r="Y66" i="30"/>
  <c r="Z66" i="30" s="1"/>
  <c r="X66" i="30"/>
  <c r="X14" i="31"/>
  <c r="Y14" i="31"/>
  <c r="Z14" i="31" s="1"/>
  <c r="Y27" i="31" s="1"/>
  <c r="Z27" i="31" s="1"/>
  <c r="N65" i="31"/>
  <c r="X12" i="31"/>
  <c r="Y12" i="31"/>
  <c r="Z12" i="31" s="1"/>
  <c r="Y9" i="30"/>
  <c r="Z9" i="30" s="1"/>
  <c r="Y70" i="30"/>
  <c r="Z70" i="30" s="1"/>
  <c r="T23" i="30"/>
  <c r="N37" i="30"/>
  <c r="T80" i="30"/>
  <c r="V23" i="25"/>
  <c r="R109" i="30"/>
  <c r="N36" i="23"/>
  <c r="X37" i="23"/>
  <c r="X7" i="24"/>
  <c r="N11" i="25"/>
  <c r="Y41" i="25"/>
  <c r="Z41" i="25" s="1"/>
  <c r="N97" i="25"/>
  <c r="X97" i="26"/>
  <c r="N16" i="28"/>
  <c r="N37" i="29"/>
  <c r="N99" i="30"/>
  <c r="T80" i="31"/>
  <c r="N66" i="26"/>
  <c r="X7" i="27"/>
  <c r="X39" i="27"/>
  <c r="X67" i="27"/>
  <c r="X103" i="30"/>
  <c r="N66" i="27"/>
  <c r="X45" i="28"/>
  <c r="Y93" i="28"/>
  <c r="Z93" i="28" s="1"/>
  <c r="X93" i="28"/>
  <c r="X69" i="30"/>
  <c r="X101" i="30"/>
  <c r="Y101" i="30"/>
  <c r="Z101" i="30" s="1"/>
  <c r="X13" i="31"/>
  <c r="Y13" i="31"/>
  <c r="Z13" i="31" s="1"/>
  <c r="N71" i="30"/>
  <c r="N67" i="31"/>
  <c r="N39" i="31"/>
  <c r="X97" i="31"/>
  <c r="N75" i="30"/>
  <c r="N93" i="30"/>
  <c r="N66" i="31"/>
  <c r="N70" i="31"/>
  <c r="R23" i="30"/>
  <c r="N102" i="30"/>
  <c r="N47" i="30"/>
  <c r="N12" i="28"/>
  <c r="N18" i="28"/>
  <c r="N104" i="30"/>
  <c r="N39" i="30"/>
  <c r="N68" i="31"/>
  <c r="M84" i="31" s="1"/>
  <c r="N84" i="31" s="1"/>
  <c r="N103" i="30"/>
  <c r="N94" i="30"/>
  <c r="N14" i="31"/>
  <c r="M27" i="31" s="1"/>
  <c r="N27" i="31" s="1"/>
  <c r="N97" i="31"/>
  <c r="V23" i="31"/>
  <c r="Y9" i="31"/>
  <c r="Z9" i="31" s="1"/>
  <c r="T52" i="31"/>
  <c r="R23" i="31"/>
  <c r="T23" i="31"/>
  <c r="Y7" i="31"/>
  <c r="Z7" i="31" s="1"/>
  <c r="V52" i="31"/>
  <c r="T109" i="31"/>
  <c r="X36" i="31"/>
  <c r="X37" i="31"/>
  <c r="X38" i="31"/>
  <c r="X39" i="31"/>
  <c r="X40" i="31"/>
  <c r="X41" i="31"/>
  <c r="V109" i="31"/>
  <c r="Y96" i="31"/>
  <c r="Z96" i="31" s="1"/>
  <c r="X96" i="31"/>
  <c r="N96" i="31"/>
  <c r="N94" i="31"/>
  <c r="N98" i="31"/>
  <c r="Y39" i="30"/>
  <c r="Z39" i="30" s="1"/>
  <c r="Y42" i="30"/>
  <c r="Z42" i="30" s="1"/>
  <c r="Y44" i="30"/>
  <c r="Z44" i="30" s="1"/>
  <c r="Y46" i="30"/>
  <c r="Z46" i="30" s="1"/>
  <c r="X76" i="30"/>
  <c r="T52" i="30"/>
  <c r="Y36" i="30"/>
  <c r="Z36" i="30" s="1"/>
  <c r="Y40" i="30"/>
  <c r="Z40" i="30" s="1"/>
  <c r="R80" i="30"/>
  <c r="V80" i="30"/>
  <c r="T109" i="30"/>
  <c r="Y72" i="30"/>
  <c r="Z72" i="30" s="1"/>
  <c r="X72" i="30"/>
  <c r="Y96" i="30"/>
  <c r="Z96" i="30" s="1"/>
  <c r="X96" i="30"/>
  <c r="Y37" i="30"/>
  <c r="Z37" i="30" s="1"/>
  <c r="Y41" i="30"/>
  <c r="Z41" i="30" s="1"/>
  <c r="N42" i="30"/>
  <c r="Y43" i="30"/>
  <c r="Z43" i="30" s="1"/>
  <c r="N44" i="30"/>
  <c r="Y45" i="30"/>
  <c r="Z45" i="30" s="1"/>
  <c r="N46" i="30"/>
  <c r="Y47" i="30"/>
  <c r="Z47" i="30" s="1"/>
  <c r="V109" i="30"/>
  <c r="N72" i="30"/>
  <c r="N76" i="30"/>
  <c r="N70" i="30"/>
  <c r="N74" i="30"/>
  <c r="N95" i="30"/>
  <c r="N98" i="30"/>
  <c r="X100" i="30"/>
  <c r="X111" i="30" s="1"/>
  <c r="N97" i="30"/>
  <c r="N101" i="30"/>
  <c r="V23" i="29"/>
  <c r="R23" i="29"/>
  <c r="Y65" i="29"/>
  <c r="Z65" i="29" s="1"/>
  <c r="X65" i="29"/>
  <c r="X9" i="29"/>
  <c r="X13" i="29"/>
  <c r="T52" i="29"/>
  <c r="R80" i="29"/>
  <c r="Y66" i="29"/>
  <c r="Z66" i="29" s="1"/>
  <c r="X66" i="29"/>
  <c r="Y69" i="29"/>
  <c r="Z69" i="29" s="1"/>
  <c r="X69" i="29"/>
  <c r="X10" i="29"/>
  <c r="X14" i="29"/>
  <c r="T80" i="29"/>
  <c r="Y67" i="29"/>
  <c r="Z67" i="29" s="1"/>
  <c r="X67" i="29"/>
  <c r="T23" i="29"/>
  <c r="N7" i="29"/>
  <c r="N11" i="29"/>
  <c r="R52" i="29"/>
  <c r="V52" i="29"/>
  <c r="N65" i="29"/>
  <c r="V80" i="29"/>
  <c r="Y68" i="29"/>
  <c r="Z68" i="29" s="1"/>
  <c r="Y84" i="29" s="1"/>
  <c r="Z84" i="29" s="1"/>
  <c r="X68" i="29"/>
  <c r="W84" i="29" s="1"/>
  <c r="X84" i="29" s="1"/>
  <c r="N69" i="29"/>
  <c r="T109" i="29"/>
  <c r="R109" i="29"/>
  <c r="Y97" i="29"/>
  <c r="Z97" i="29" s="1"/>
  <c r="X97" i="29"/>
  <c r="N94" i="29"/>
  <c r="N98" i="29"/>
  <c r="N95" i="29"/>
  <c r="R80" i="28"/>
  <c r="T52" i="28"/>
  <c r="T80" i="28"/>
  <c r="V23" i="28"/>
  <c r="Y10" i="28"/>
  <c r="Z10" i="28" s="1"/>
  <c r="Y14" i="28"/>
  <c r="Z14" i="28" s="1"/>
  <c r="Y18" i="28"/>
  <c r="Z18" i="28" s="1"/>
  <c r="P36" i="28"/>
  <c r="X36" i="28"/>
  <c r="P40" i="28"/>
  <c r="X40" i="28"/>
  <c r="P44" i="28"/>
  <c r="O56" i="28" s="1"/>
  <c r="P56" i="28" s="1"/>
  <c r="X44" i="28"/>
  <c r="X65" i="28"/>
  <c r="Y69" i="28"/>
  <c r="Z69" i="28" s="1"/>
  <c r="X75" i="28"/>
  <c r="Y75" i="28"/>
  <c r="Z75" i="28" s="1"/>
  <c r="X7" i="28"/>
  <c r="Y11" i="28"/>
  <c r="Z11" i="28" s="1"/>
  <c r="Y15" i="28"/>
  <c r="Z15" i="28" s="1"/>
  <c r="X39" i="28"/>
  <c r="X43" i="28"/>
  <c r="X47" i="28"/>
  <c r="X66" i="28"/>
  <c r="R109" i="28"/>
  <c r="V109" i="28"/>
  <c r="Y8" i="28"/>
  <c r="Z8" i="28" s="1"/>
  <c r="Y12" i="28"/>
  <c r="Z12" i="28" s="1"/>
  <c r="Y16" i="28"/>
  <c r="Z16" i="28" s="1"/>
  <c r="V52" i="28"/>
  <c r="X38" i="28"/>
  <c r="X42" i="28"/>
  <c r="X46" i="28"/>
  <c r="V80" i="28"/>
  <c r="N67" i="28"/>
  <c r="Y68" i="28"/>
  <c r="Z68" i="28" s="1"/>
  <c r="Y84" i="28" s="1"/>
  <c r="Z84" i="28" s="1"/>
  <c r="N69" i="28"/>
  <c r="X71" i="28"/>
  <c r="Y71" i="28"/>
  <c r="Z71" i="28" s="1"/>
  <c r="N73" i="28"/>
  <c r="X99" i="28"/>
  <c r="Y99" i="28"/>
  <c r="Z99" i="28" s="1"/>
  <c r="N103" i="28"/>
  <c r="T109" i="28"/>
  <c r="X95" i="28"/>
  <c r="Y95" i="28"/>
  <c r="Z95" i="28" s="1"/>
  <c r="X101" i="28"/>
  <c r="Y101" i="28"/>
  <c r="Z101" i="28" s="1"/>
  <c r="Y73" i="28"/>
  <c r="Z73" i="28" s="1"/>
  <c r="N95" i="28"/>
  <c r="M113" i="28" s="1"/>
  <c r="N113" i="28" s="1"/>
  <c r="Y97" i="28"/>
  <c r="Z97" i="28" s="1"/>
  <c r="Y98" i="28"/>
  <c r="Z98" i="28" s="1"/>
  <c r="Y103" i="28"/>
  <c r="Z103" i="28" s="1"/>
  <c r="R52" i="27"/>
  <c r="P36" i="27"/>
  <c r="X36" i="27"/>
  <c r="N38" i="27"/>
  <c r="P40" i="27"/>
  <c r="O56" i="27" s="1"/>
  <c r="P56" i="27" s="1"/>
  <c r="X40" i="27"/>
  <c r="T23" i="27"/>
  <c r="R80" i="27"/>
  <c r="V52" i="27"/>
  <c r="X38" i="27"/>
  <c r="T109" i="27"/>
  <c r="X96" i="27"/>
  <c r="N97" i="27"/>
  <c r="X97" i="27"/>
  <c r="N94" i="27"/>
  <c r="M113" i="27" s="1"/>
  <c r="N113" i="27" s="1"/>
  <c r="N98" i="27"/>
  <c r="N10" i="26"/>
  <c r="T52" i="26"/>
  <c r="R80" i="26"/>
  <c r="X66" i="26"/>
  <c r="W84" i="26" s="1"/>
  <c r="X84" i="26" s="1"/>
  <c r="X70" i="26"/>
  <c r="X8" i="26"/>
  <c r="V52" i="26"/>
  <c r="N9" i="26"/>
  <c r="Y11" i="26"/>
  <c r="Z11" i="26" s="1"/>
  <c r="N12" i="26"/>
  <c r="Y27" i="26"/>
  <c r="Z27" i="26" s="1"/>
  <c r="N68" i="26"/>
  <c r="R52" i="26"/>
  <c r="V80" i="26"/>
  <c r="N93" i="26"/>
  <c r="R109" i="26"/>
  <c r="V109" i="26"/>
  <c r="N96" i="26"/>
  <c r="X93" i="26"/>
  <c r="N94" i="26"/>
  <c r="X94" i="26"/>
  <c r="N98" i="26"/>
  <c r="X98" i="26"/>
  <c r="N95" i="26"/>
  <c r="N65" i="25"/>
  <c r="P65" i="25"/>
  <c r="N69" i="25"/>
  <c r="P69" i="25"/>
  <c r="Y36" i="25"/>
  <c r="Z36" i="25" s="1"/>
  <c r="N37" i="25"/>
  <c r="Y38" i="25"/>
  <c r="Z38" i="25" s="1"/>
  <c r="N39" i="25"/>
  <c r="Y40" i="25"/>
  <c r="Z40" i="25" s="1"/>
  <c r="N41" i="25"/>
  <c r="T109" i="25"/>
  <c r="T52" i="25"/>
  <c r="R80" i="25"/>
  <c r="Y65" i="25"/>
  <c r="Z65" i="25" s="1"/>
  <c r="Z82" i="25" s="1"/>
  <c r="X65" i="25"/>
  <c r="Y69" i="25"/>
  <c r="Z69" i="25" s="1"/>
  <c r="X69" i="25"/>
  <c r="Y37" i="25"/>
  <c r="Z37" i="25" s="1"/>
  <c r="N38" i="25"/>
  <c r="Y39" i="25"/>
  <c r="Z39" i="25" s="1"/>
  <c r="N40" i="25"/>
  <c r="T80" i="25"/>
  <c r="V109" i="25"/>
  <c r="X68" i="25"/>
  <c r="Y93" i="25"/>
  <c r="Z93" i="25" s="1"/>
  <c r="X93" i="25"/>
  <c r="V80" i="25"/>
  <c r="X67" i="25"/>
  <c r="R109" i="25"/>
  <c r="Y94" i="25"/>
  <c r="Z94" i="25" s="1"/>
  <c r="X94" i="25"/>
  <c r="X95" i="25"/>
  <c r="Y98" i="25"/>
  <c r="Z98" i="25" s="1"/>
  <c r="N96" i="25"/>
  <c r="V52" i="24"/>
  <c r="R80" i="24"/>
  <c r="T52" i="24"/>
  <c r="V80" i="24"/>
  <c r="N71" i="24"/>
  <c r="N75" i="24"/>
  <c r="R109" i="24"/>
  <c r="V109" i="24"/>
  <c r="X97" i="24"/>
  <c r="X101" i="24"/>
  <c r="X93" i="24"/>
  <c r="X94" i="24"/>
  <c r="X98" i="24"/>
  <c r="X102" i="24"/>
  <c r="N95" i="24"/>
  <c r="N99" i="24"/>
  <c r="N103" i="24"/>
  <c r="R52" i="23"/>
  <c r="V23" i="23"/>
  <c r="T52" i="23"/>
  <c r="Y7" i="23"/>
  <c r="Z7" i="23" s="1"/>
  <c r="Y8" i="23"/>
  <c r="Z8" i="23" s="1"/>
  <c r="Y9" i="23"/>
  <c r="Z9" i="23" s="1"/>
  <c r="Z25" i="23" s="1"/>
  <c r="Y10" i="23"/>
  <c r="Z10" i="23" s="1"/>
  <c r="Y11" i="23"/>
  <c r="Z11" i="23" s="1"/>
  <c r="Y12" i="23"/>
  <c r="Z12" i="23" s="1"/>
  <c r="Y13" i="23"/>
  <c r="Z13" i="23" s="1"/>
  <c r="Y14" i="23"/>
  <c r="Z14" i="23" s="1"/>
  <c r="N7" i="23"/>
  <c r="N8" i="23"/>
  <c r="N9" i="23"/>
  <c r="N10" i="23"/>
  <c r="N11" i="23"/>
  <c r="N12" i="23"/>
  <c r="N13" i="23"/>
  <c r="N14" i="23"/>
  <c r="R80" i="23"/>
  <c r="V80" i="23"/>
  <c r="Y70" i="23"/>
  <c r="Z70" i="23" s="1"/>
  <c r="X70" i="23"/>
  <c r="W84" i="23" s="1"/>
  <c r="X84" i="23" s="1"/>
  <c r="X97" i="23"/>
  <c r="Y97" i="23"/>
  <c r="Z97" i="23" s="1"/>
  <c r="T80" i="23"/>
  <c r="N70" i="23"/>
  <c r="P95" i="23"/>
  <c r="N95" i="23"/>
  <c r="T109" i="23"/>
  <c r="N94" i="23"/>
  <c r="N98" i="23"/>
  <c r="V80" i="22"/>
  <c r="R23" i="22"/>
  <c r="R80" i="22"/>
  <c r="T23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73" i="22"/>
  <c r="T52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71" i="22"/>
  <c r="X75" i="22"/>
  <c r="R109" i="22"/>
  <c r="Y95" i="22"/>
  <c r="Z95" i="22" s="1"/>
  <c r="X95" i="22"/>
  <c r="N72" i="22"/>
  <c r="N76" i="22"/>
  <c r="X76" i="22"/>
  <c r="X99" i="22"/>
  <c r="X96" i="22"/>
  <c r="X100" i="22"/>
  <c r="N97" i="22"/>
  <c r="N101" i="22"/>
  <c r="R23" i="21"/>
  <c r="T23" i="21"/>
  <c r="X9" i="21"/>
  <c r="X97" i="21"/>
  <c r="Y97" i="21"/>
  <c r="Z97" i="21" s="1"/>
  <c r="X10" i="21"/>
  <c r="Y65" i="21"/>
  <c r="Z65" i="21" s="1"/>
  <c r="Y67" i="21"/>
  <c r="Z67" i="21" s="1"/>
  <c r="Y69" i="21"/>
  <c r="Z69" i="21" s="1"/>
  <c r="T109" i="21"/>
  <c r="R52" i="21"/>
  <c r="N11" i="21"/>
  <c r="T80" i="21"/>
  <c r="N94" i="21"/>
  <c r="N97" i="21"/>
  <c r="V23" i="20"/>
  <c r="N9" i="20"/>
  <c r="X9" i="20"/>
  <c r="N13" i="20"/>
  <c r="X13" i="20"/>
  <c r="T52" i="20"/>
  <c r="T80" i="20"/>
  <c r="N7" i="20"/>
  <c r="X7" i="20"/>
  <c r="N11" i="20"/>
  <c r="X11" i="20"/>
  <c r="T23" i="20"/>
  <c r="N70" i="20"/>
  <c r="X70" i="20"/>
  <c r="V109" i="20"/>
  <c r="Y97" i="20"/>
  <c r="Z97" i="20" s="1"/>
  <c r="X97" i="20"/>
  <c r="N97" i="20"/>
  <c r="N95" i="20"/>
  <c r="N99" i="20"/>
  <c r="R23" i="19"/>
  <c r="R52" i="19"/>
  <c r="N8" i="19"/>
  <c r="P10" i="19"/>
  <c r="X10" i="19"/>
  <c r="P14" i="19"/>
  <c r="X14" i="19"/>
  <c r="X37" i="19"/>
  <c r="T80" i="19"/>
  <c r="X95" i="19"/>
  <c r="Y95" i="19"/>
  <c r="Z95" i="19" s="1"/>
  <c r="V23" i="19"/>
  <c r="X9" i="19"/>
  <c r="X13" i="19"/>
  <c r="X38" i="19"/>
  <c r="T109" i="19"/>
  <c r="X8" i="19"/>
  <c r="X12" i="19"/>
  <c r="N39" i="19"/>
  <c r="R80" i="19"/>
  <c r="V80" i="19"/>
  <c r="Y98" i="19"/>
  <c r="Z98" i="19" s="1"/>
  <c r="X98" i="19"/>
  <c r="R109" i="19"/>
  <c r="V109" i="19"/>
  <c r="N97" i="19"/>
  <c r="N95" i="19"/>
  <c r="N99" i="19"/>
  <c r="T23" i="18"/>
  <c r="R80" i="18"/>
  <c r="V23" i="18"/>
  <c r="R52" i="18"/>
  <c r="T80" i="18"/>
  <c r="V52" i="18"/>
  <c r="N66" i="18"/>
  <c r="N67" i="18"/>
  <c r="N68" i="18"/>
  <c r="N69" i="18"/>
  <c r="R109" i="18"/>
  <c r="X65" i="18"/>
  <c r="X66" i="18"/>
  <c r="X67" i="18"/>
  <c r="X68" i="18"/>
  <c r="X69" i="18"/>
  <c r="T109" i="18"/>
  <c r="N70" i="18"/>
  <c r="Y95" i="18"/>
  <c r="Z95" i="18" s="1"/>
  <c r="N97" i="18"/>
  <c r="N95" i="18"/>
  <c r="R52" i="17"/>
  <c r="V52" i="17"/>
  <c r="T52" i="17"/>
  <c r="N40" i="17"/>
  <c r="T23" i="17"/>
  <c r="T80" i="17"/>
  <c r="N41" i="17"/>
  <c r="R80" i="17"/>
  <c r="V80" i="17"/>
  <c r="N70" i="17"/>
  <c r="T109" i="17"/>
  <c r="Y96" i="17"/>
  <c r="Z96" i="17" s="1"/>
  <c r="X96" i="17"/>
  <c r="X97" i="17"/>
  <c r="N94" i="17"/>
  <c r="N98" i="17"/>
  <c r="R23" i="16"/>
  <c r="V23" i="16"/>
  <c r="T23" i="16"/>
  <c r="Y7" i="16"/>
  <c r="Z7" i="16" s="1"/>
  <c r="Y11" i="16"/>
  <c r="Z11" i="16" s="1"/>
  <c r="R80" i="16"/>
  <c r="P80" i="16"/>
  <c r="Y96" i="16"/>
  <c r="Z96" i="16" s="1"/>
  <c r="X96" i="16"/>
  <c r="Y9" i="16"/>
  <c r="Z9" i="16" s="1"/>
  <c r="T80" i="16"/>
  <c r="V109" i="16"/>
  <c r="R109" i="16"/>
  <c r="T109" i="16"/>
  <c r="X97" i="16"/>
  <c r="N94" i="16"/>
  <c r="N98" i="16"/>
  <c r="V23" i="15"/>
  <c r="R52" i="15"/>
  <c r="R23" i="15"/>
  <c r="V52" i="15"/>
  <c r="X65" i="15"/>
  <c r="Y65" i="15"/>
  <c r="Z65" i="15" s="1"/>
  <c r="P93" i="15"/>
  <c r="N93" i="15"/>
  <c r="X7" i="15"/>
  <c r="X8" i="15"/>
  <c r="X9" i="15"/>
  <c r="X10" i="15"/>
  <c r="O27" i="15"/>
  <c r="P27" i="15" s="1"/>
  <c r="P24" i="15"/>
  <c r="T52" i="15"/>
  <c r="Y36" i="15"/>
  <c r="Z36" i="15" s="1"/>
  <c r="R80" i="15"/>
  <c r="X67" i="15"/>
  <c r="Y67" i="15"/>
  <c r="Z67" i="15" s="1"/>
  <c r="V80" i="15"/>
  <c r="N67" i="15"/>
  <c r="Y93" i="15"/>
  <c r="Z93" i="15" s="1"/>
  <c r="X93" i="15"/>
  <c r="T80" i="15"/>
  <c r="Y69" i="15"/>
  <c r="Z69" i="15" s="1"/>
  <c r="R109" i="15"/>
  <c r="V109" i="15"/>
  <c r="N96" i="15"/>
  <c r="N98" i="15"/>
  <c r="N94" i="15"/>
  <c r="X94" i="15"/>
  <c r="Y96" i="15"/>
  <c r="Z96" i="15" s="1"/>
  <c r="N97" i="15"/>
  <c r="Y98" i="15"/>
  <c r="Z98" i="15" s="1"/>
  <c r="N99" i="15"/>
  <c r="N95" i="15"/>
  <c r="R52" i="14"/>
  <c r="V80" i="14"/>
  <c r="V23" i="14"/>
  <c r="V52" i="14"/>
  <c r="T52" i="14"/>
  <c r="R80" i="14"/>
  <c r="X8" i="14"/>
  <c r="X12" i="14"/>
  <c r="Y66" i="14"/>
  <c r="Z66" i="14" s="1"/>
  <c r="X111" i="14"/>
  <c r="T109" i="14"/>
  <c r="Y97" i="14"/>
  <c r="Z97" i="14" s="1"/>
  <c r="X97" i="14"/>
  <c r="X9" i="14"/>
  <c r="Y67" i="14"/>
  <c r="Z67" i="14" s="1"/>
  <c r="Y69" i="14"/>
  <c r="Z69" i="14" s="1"/>
  <c r="T80" i="14"/>
  <c r="X70" i="14"/>
  <c r="Y70" i="14"/>
  <c r="Z70" i="14" s="1"/>
  <c r="N10" i="14"/>
  <c r="N14" i="14"/>
  <c r="Y94" i="14"/>
  <c r="Z94" i="14" s="1"/>
  <c r="X94" i="14"/>
  <c r="N93" i="14"/>
  <c r="R109" i="14"/>
  <c r="V109" i="14"/>
  <c r="P109" i="14"/>
  <c r="X93" i="14"/>
  <c r="N96" i="14"/>
  <c r="Y113" i="14"/>
  <c r="Z113" i="14" s="1"/>
  <c r="N95" i="14"/>
  <c r="T23" i="13"/>
  <c r="R52" i="13"/>
  <c r="V23" i="13"/>
  <c r="V80" i="13"/>
  <c r="T52" i="13"/>
  <c r="Y41" i="13"/>
  <c r="Z41" i="13" s="1"/>
  <c r="X41" i="13"/>
  <c r="R80" i="13"/>
  <c r="N41" i="13"/>
  <c r="Y70" i="13"/>
  <c r="Z70" i="13" s="1"/>
  <c r="R109" i="13"/>
  <c r="T109" i="13"/>
  <c r="Y97" i="13"/>
  <c r="Z97" i="13" s="1"/>
  <c r="X93" i="13"/>
  <c r="X94" i="13"/>
  <c r="W113" i="13" s="1"/>
  <c r="X113" i="13" s="1"/>
  <c r="N95" i="13"/>
  <c r="Y96" i="13"/>
  <c r="Z96" i="13" s="1"/>
  <c r="N97" i="13"/>
  <c r="Y98" i="13"/>
  <c r="Z98" i="13" s="1"/>
  <c r="R23" i="12"/>
  <c r="T23" i="12"/>
  <c r="V23" i="12"/>
  <c r="P9" i="12"/>
  <c r="X9" i="12"/>
  <c r="O27" i="12"/>
  <c r="P27" i="12" s="1"/>
  <c r="T52" i="12"/>
  <c r="Y41" i="12"/>
  <c r="Z41" i="12" s="1"/>
  <c r="X41" i="12"/>
  <c r="R80" i="12"/>
  <c r="Y68" i="12"/>
  <c r="Z68" i="12" s="1"/>
  <c r="X68" i="12"/>
  <c r="X12" i="12"/>
  <c r="V52" i="12"/>
  <c r="Y37" i="12"/>
  <c r="Z37" i="12" s="1"/>
  <c r="Y39" i="12"/>
  <c r="Z39" i="12" s="1"/>
  <c r="T109" i="12"/>
  <c r="X8" i="12"/>
  <c r="X7" i="12"/>
  <c r="X11" i="12"/>
  <c r="T80" i="12"/>
  <c r="N68" i="12"/>
  <c r="P68" i="12"/>
  <c r="O84" i="12" s="1"/>
  <c r="P84" i="12" s="1"/>
  <c r="V109" i="12"/>
  <c r="Y98" i="12"/>
  <c r="Z98" i="12" s="1"/>
  <c r="X98" i="12"/>
  <c r="V80" i="12"/>
  <c r="X67" i="12"/>
  <c r="Y93" i="12"/>
  <c r="Z93" i="12" s="1"/>
  <c r="X93" i="12"/>
  <c r="X66" i="12"/>
  <c r="X70" i="12"/>
  <c r="R109" i="12"/>
  <c r="Y94" i="12"/>
  <c r="Z94" i="12" s="1"/>
  <c r="X94" i="12"/>
  <c r="X95" i="12"/>
  <c r="N96" i="12"/>
  <c r="Y18" i="11"/>
  <c r="Z18" i="11" s="1"/>
  <c r="P36" i="11"/>
  <c r="X36" i="11"/>
  <c r="N38" i="11"/>
  <c r="P40" i="11"/>
  <c r="X40" i="11"/>
  <c r="N42" i="11"/>
  <c r="P44" i="11"/>
  <c r="X44" i="11"/>
  <c r="T80" i="11"/>
  <c r="R52" i="11"/>
  <c r="V80" i="11"/>
  <c r="R109" i="11"/>
  <c r="T109" i="11"/>
  <c r="T23" i="11"/>
  <c r="Y16" i="11"/>
  <c r="Z16" i="11" s="1"/>
  <c r="V52" i="11"/>
  <c r="X38" i="11"/>
  <c r="X42" i="11"/>
  <c r="P47" i="11"/>
  <c r="X47" i="11"/>
  <c r="R80" i="11"/>
  <c r="P109" i="11"/>
  <c r="X96" i="11"/>
  <c r="X100" i="11"/>
  <c r="N97" i="11"/>
  <c r="X97" i="11"/>
  <c r="N101" i="11"/>
  <c r="X101" i="11"/>
  <c r="N94" i="11"/>
  <c r="N98" i="11"/>
  <c r="N102" i="11"/>
  <c r="V23" i="10"/>
  <c r="R23" i="10"/>
  <c r="V52" i="10"/>
  <c r="T23" i="10"/>
  <c r="R52" i="10"/>
  <c r="T52" i="10"/>
  <c r="Y7" i="10"/>
  <c r="Z7" i="10" s="1"/>
  <c r="Y8" i="10"/>
  <c r="Z8" i="10" s="1"/>
  <c r="Y9" i="10"/>
  <c r="Z9" i="10" s="1"/>
  <c r="Y10" i="10"/>
  <c r="Z10" i="10" s="1"/>
  <c r="Y11" i="10"/>
  <c r="Z11" i="10" s="1"/>
  <c r="Y12" i="10"/>
  <c r="Z12" i="10" s="1"/>
  <c r="Y13" i="10"/>
  <c r="Z13" i="10" s="1"/>
  <c r="Y40" i="10"/>
  <c r="Z40" i="10" s="1"/>
  <c r="R80" i="10"/>
  <c r="X70" i="10"/>
  <c r="X82" i="10" s="1"/>
  <c r="Y70" i="10"/>
  <c r="Z70" i="10" s="1"/>
  <c r="Y95" i="10"/>
  <c r="Z95" i="10" s="1"/>
  <c r="X95" i="10"/>
  <c r="V80" i="10"/>
  <c r="X65" i="10"/>
  <c r="X66" i="10"/>
  <c r="X67" i="10"/>
  <c r="X68" i="10"/>
  <c r="R109" i="10"/>
  <c r="V109" i="10"/>
  <c r="N96" i="10"/>
  <c r="X96" i="10"/>
  <c r="N97" i="10"/>
  <c r="V52" i="9"/>
  <c r="R52" i="9"/>
  <c r="N68" i="9"/>
  <c r="T23" i="9"/>
  <c r="R80" i="9"/>
  <c r="V80" i="9"/>
  <c r="R109" i="9"/>
  <c r="T109" i="9"/>
  <c r="X93" i="9"/>
  <c r="X94" i="9"/>
  <c r="X95" i="9"/>
  <c r="X96" i="9"/>
  <c r="X97" i="9"/>
  <c r="X98" i="9"/>
  <c r="X99" i="9"/>
  <c r="X100" i="9"/>
  <c r="R52" i="8"/>
  <c r="Y38" i="8"/>
  <c r="Z38" i="8" s="1"/>
  <c r="Y40" i="8"/>
  <c r="Z40" i="8" s="1"/>
  <c r="N41" i="8"/>
  <c r="T52" i="8"/>
  <c r="Y36" i="8"/>
  <c r="Z36" i="8" s="1"/>
  <c r="N40" i="8"/>
  <c r="Y41" i="8"/>
  <c r="Z41" i="8" s="1"/>
  <c r="V109" i="8"/>
  <c r="N93" i="8"/>
  <c r="X93" i="8"/>
  <c r="T109" i="8"/>
  <c r="Y95" i="8"/>
  <c r="Z95" i="8" s="1"/>
  <c r="X95" i="8"/>
  <c r="N97" i="8"/>
  <c r="V52" i="7"/>
  <c r="R23" i="7"/>
  <c r="R52" i="7"/>
  <c r="T23" i="7"/>
  <c r="N7" i="7"/>
  <c r="N8" i="7"/>
  <c r="N9" i="7"/>
  <c r="N10" i="7"/>
  <c r="N11" i="7"/>
  <c r="N12" i="7"/>
  <c r="N13" i="7"/>
  <c r="N14" i="7"/>
  <c r="N18" i="7"/>
  <c r="T52" i="7"/>
  <c r="X72" i="7"/>
  <c r="Y72" i="7"/>
  <c r="Z72" i="7" s="1"/>
  <c r="V80" i="7"/>
  <c r="X68" i="7"/>
  <c r="Y68" i="7"/>
  <c r="Z68" i="7" s="1"/>
  <c r="P70" i="7"/>
  <c r="O84" i="7" s="1"/>
  <c r="P84" i="7" s="1"/>
  <c r="N70" i="7"/>
  <c r="X7" i="7"/>
  <c r="X8" i="7"/>
  <c r="X9" i="7"/>
  <c r="X10" i="7"/>
  <c r="X11" i="7"/>
  <c r="X12" i="7"/>
  <c r="X13" i="7"/>
  <c r="N16" i="7"/>
  <c r="X16" i="7"/>
  <c r="R80" i="7"/>
  <c r="P66" i="7"/>
  <c r="N66" i="7"/>
  <c r="N17" i="7"/>
  <c r="P93" i="7"/>
  <c r="N93" i="7"/>
  <c r="Y94" i="7"/>
  <c r="Z94" i="7" s="1"/>
  <c r="X94" i="7"/>
  <c r="N65" i="7"/>
  <c r="T80" i="7"/>
  <c r="N69" i="7"/>
  <c r="N73" i="7"/>
  <c r="Y93" i="7"/>
  <c r="Z93" i="7" s="1"/>
  <c r="X93" i="7"/>
  <c r="R109" i="7"/>
  <c r="V109" i="7"/>
  <c r="N96" i="7"/>
  <c r="N98" i="7"/>
  <c r="N100" i="7"/>
  <c r="N102" i="7"/>
  <c r="N104" i="7"/>
  <c r="N94" i="7"/>
  <c r="N97" i="7"/>
  <c r="Y98" i="7"/>
  <c r="Z98" i="7" s="1"/>
  <c r="N99" i="7"/>
  <c r="Y100" i="7"/>
  <c r="Z100" i="7" s="1"/>
  <c r="N101" i="7"/>
  <c r="Y102" i="7"/>
  <c r="Z102" i="7" s="1"/>
  <c r="N103" i="7"/>
  <c r="Y104" i="7"/>
  <c r="Z104" i="7" s="1"/>
  <c r="N95" i="7"/>
  <c r="R23" i="6"/>
  <c r="Y41" i="6"/>
  <c r="Z41" i="6" s="1"/>
  <c r="X41" i="6"/>
  <c r="N65" i="6"/>
  <c r="P65" i="6"/>
  <c r="N69" i="6"/>
  <c r="P69" i="6"/>
  <c r="V23" i="6"/>
  <c r="Y37" i="6"/>
  <c r="Z37" i="6" s="1"/>
  <c r="N38" i="6"/>
  <c r="Y39" i="6"/>
  <c r="Z39" i="6" s="1"/>
  <c r="N40" i="6"/>
  <c r="T109" i="6"/>
  <c r="R52" i="6"/>
  <c r="R80" i="6"/>
  <c r="Y65" i="6"/>
  <c r="Z65" i="6" s="1"/>
  <c r="X65" i="6"/>
  <c r="Y69" i="6"/>
  <c r="Z69" i="6" s="1"/>
  <c r="X69" i="6"/>
  <c r="V109" i="6"/>
  <c r="Y98" i="6"/>
  <c r="Z98" i="6" s="1"/>
  <c r="X98" i="6"/>
  <c r="X68" i="6"/>
  <c r="Y93" i="6"/>
  <c r="Z93" i="6" s="1"/>
  <c r="X93" i="6"/>
  <c r="V80" i="6"/>
  <c r="X67" i="6"/>
  <c r="R109" i="6"/>
  <c r="Y94" i="6"/>
  <c r="Z94" i="6" s="1"/>
  <c r="X94" i="6"/>
  <c r="X95" i="6"/>
  <c r="N96" i="6"/>
  <c r="V52" i="5"/>
  <c r="R23" i="5"/>
  <c r="V23" i="5"/>
  <c r="N9" i="5"/>
  <c r="N13" i="5"/>
  <c r="N17" i="5"/>
  <c r="T52" i="5"/>
  <c r="Y68" i="5"/>
  <c r="Z68" i="5" s="1"/>
  <c r="X68" i="5"/>
  <c r="Y94" i="5"/>
  <c r="Z94" i="5" s="1"/>
  <c r="X94" i="5"/>
  <c r="X7" i="5"/>
  <c r="X11" i="5"/>
  <c r="X15" i="5"/>
  <c r="V109" i="5"/>
  <c r="N8" i="5"/>
  <c r="N12" i="5"/>
  <c r="N16" i="5"/>
  <c r="N68" i="5"/>
  <c r="P68" i="5"/>
  <c r="P81" i="5" s="1"/>
  <c r="N66" i="5"/>
  <c r="N70" i="5"/>
  <c r="Y98" i="5"/>
  <c r="Z98" i="5" s="1"/>
  <c r="X98" i="5"/>
  <c r="R80" i="5"/>
  <c r="V80" i="5"/>
  <c r="R109" i="5"/>
  <c r="X66" i="5"/>
  <c r="X70" i="5"/>
  <c r="T109" i="5"/>
  <c r="N94" i="5"/>
  <c r="N98" i="5"/>
  <c r="N96" i="5"/>
  <c r="X111" i="5"/>
  <c r="T23" i="4"/>
  <c r="T52" i="4"/>
  <c r="V23" i="4"/>
  <c r="R52" i="4"/>
  <c r="X7" i="4"/>
  <c r="X8" i="4"/>
  <c r="X9" i="4"/>
  <c r="N36" i="4"/>
  <c r="V52" i="4"/>
  <c r="N40" i="4"/>
  <c r="N42" i="4"/>
  <c r="N43" i="4"/>
  <c r="N44" i="4"/>
  <c r="N45" i="4"/>
  <c r="P45" i="4"/>
  <c r="O56" i="4" s="1"/>
  <c r="P56" i="4" s="1"/>
  <c r="Y46" i="4"/>
  <c r="Z46" i="4" s="1"/>
  <c r="X46" i="4"/>
  <c r="N47" i="4"/>
  <c r="P47" i="4"/>
  <c r="P54" i="4" s="1"/>
  <c r="X36" i="4"/>
  <c r="X40" i="4"/>
  <c r="Y45" i="4"/>
  <c r="Z45" i="4" s="1"/>
  <c r="X45" i="4"/>
  <c r="N46" i="4"/>
  <c r="P46" i="4"/>
  <c r="Y47" i="4"/>
  <c r="Z47" i="4" s="1"/>
  <c r="Z54" i="4" s="1"/>
  <c r="X47" i="4"/>
  <c r="X54" i="4" s="1"/>
  <c r="Y42" i="4"/>
  <c r="Z42" i="4" s="1"/>
  <c r="X42" i="4"/>
  <c r="Y43" i="4"/>
  <c r="Z43" i="4" s="1"/>
  <c r="X43" i="4"/>
  <c r="Y44" i="4"/>
  <c r="Z44" i="4" s="1"/>
  <c r="X44" i="4"/>
  <c r="T80" i="4"/>
  <c r="R109" i="4"/>
  <c r="X96" i="4"/>
  <c r="X100" i="4"/>
  <c r="N97" i="4"/>
  <c r="X97" i="4"/>
  <c r="N101" i="4"/>
  <c r="X101" i="4"/>
  <c r="N94" i="4"/>
  <c r="N98" i="4"/>
  <c r="N102" i="4"/>
  <c r="V23" i="3"/>
  <c r="R23" i="3"/>
  <c r="R52" i="3"/>
  <c r="Y93" i="3"/>
  <c r="Z93" i="3" s="1"/>
  <c r="X93" i="3"/>
  <c r="P38" i="3"/>
  <c r="X38" i="3"/>
  <c r="P42" i="3"/>
  <c r="X42" i="3"/>
  <c r="P46" i="3"/>
  <c r="X46" i="3"/>
  <c r="V80" i="3"/>
  <c r="Y17" i="3"/>
  <c r="Z17" i="3" s="1"/>
  <c r="X37" i="3"/>
  <c r="X41" i="3"/>
  <c r="X45" i="3"/>
  <c r="T23" i="3"/>
  <c r="V52" i="3"/>
  <c r="Y18" i="3"/>
  <c r="Z18" i="3" s="1"/>
  <c r="X36" i="3"/>
  <c r="X40" i="3"/>
  <c r="X44" i="3"/>
  <c r="R80" i="3"/>
  <c r="R109" i="3"/>
  <c r="T109" i="3"/>
  <c r="N93" i="3"/>
  <c r="V109" i="3"/>
  <c r="X94" i="3"/>
  <c r="X98" i="3"/>
  <c r="X95" i="3"/>
  <c r="X99" i="3"/>
  <c r="N96" i="3"/>
  <c r="N100" i="3"/>
  <c r="T52" i="2"/>
  <c r="V52" i="2"/>
  <c r="T23" i="2"/>
  <c r="V80" i="2"/>
  <c r="T109" i="2"/>
  <c r="P81" i="2"/>
  <c r="V109" i="2"/>
  <c r="T80" i="2"/>
  <c r="R109" i="2"/>
  <c r="Z111" i="30" l="1"/>
  <c r="N111" i="30"/>
  <c r="W113" i="29"/>
  <c r="X113" i="29" s="1"/>
  <c r="Y113" i="29"/>
  <c r="Z113" i="29" s="1"/>
  <c r="M113" i="29"/>
  <c r="N113" i="29" s="1"/>
  <c r="X82" i="29"/>
  <c r="M84" i="29"/>
  <c r="N84" i="29" s="1"/>
  <c r="Z111" i="28"/>
  <c r="X111" i="28"/>
  <c r="N111" i="28"/>
  <c r="M84" i="28"/>
  <c r="N84" i="28" s="1"/>
  <c r="V28" i="29"/>
  <c r="K113" i="1" s="1"/>
  <c r="Z53" i="28"/>
  <c r="Y56" i="28"/>
  <c r="Z56" i="28" s="1"/>
  <c r="V57" i="27"/>
  <c r="K106" i="1" s="1"/>
  <c r="R114" i="27"/>
  <c r="G108" i="1" s="1"/>
  <c r="T114" i="27"/>
  <c r="I108" i="1" s="1"/>
  <c r="W113" i="27"/>
  <c r="X113" i="27" s="1"/>
  <c r="X111" i="24"/>
  <c r="N111" i="24"/>
  <c r="T85" i="24"/>
  <c r="I95" i="1" s="1"/>
  <c r="M84" i="24"/>
  <c r="N84" i="24" s="1"/>
  <c r="P57" i="25"/>
  <c r="E98" i="1" s="1"/>
  <c r="T85" i="26"/>
  <c r="I103" i="1" s="1"/>
  <c r="Z25" i="26"/>
  <c r="P52" i="26"/>
  <c r="N25" i="26"/>
  <c r="W27" i="26"/>
  <c r="X27" i="26" s="1"/>
  <c r="X25" i="26"/>
  <c r="R28" i="26"/>
  <c r="G101" i="1" s="1"/>
  <c r="O84" i="25"/>
  <c r="P84" i="25" s="1"/>
  <c r="P82" i="25"/>
  <c r="M56" i="25"/>
  <c r="N56" i="25" s="1"/>
  <c r="R57" i="25"/>
  <c r="G98" i="1" s="1"/>
  <c r="P85" i="23"/>
  <c r="E91" i="1" s="1"/>
  <c r="V85" i="23"/>
  <c r="K91" i="1" s="1"/>
  <c r="Y56" i="23"/>
  <c r="Z56" i="23" s="1"/>
  <c r="T85" i="23"/>
  <c r="I91" i="1" s="1"/>
  <c r="R85" i="22"/>
  <c r="G87" i="1" s="1"/>
  <c r="N111" i="22"/>
  <c r="M84" i="22"/>
  <c r="N84" i="22" s="1"/>
  <c r="X111" i="22"/>
  <c r="W84" i="22"/>
  <c r="X84" i="22" s="1"/>
  <c r="M113" i="21"/>
  <c r="N113" i="21" s="1"/>
  <c r="R114" i="21"/>
  <c r="G84" i="1" s="1"/>
  <c r="Y56" i="21"/>
  <c r="Z56" i="21" s="1"/>
  <c r="R28" i="21"/>
  <c r="G81" i="1" s="1"/>
  <c r="V114" i="20"/>
  <c r="K80" i="1" s="1"/>
  <c r="T114" i="20"/>
  <c r="I80" i="1" s="1"/>
  <c r="Z111" i="20"/>
  <c r="N111" i="20"/>
  <c r="X111" i="20"/>
  <c r="V28" i="21"/>
  <c r="K81" i="1" s="1"/>
  <c r="R114" i="20"/>
  <c r="G80" i="1" s="1"/>
  <c r="T28" i="21"/>
  <c r="I81" i="1" s="1"/>
  <c r="W27" i="21"/>
  <c r="X27" i="21" s="1"/>
  <c r="M27" i="21"/>
  <c r="N27" i="21" s="1"/>
  <c r="V57" i="21"/>
  <c r="K82" i="1" s="1"/>
  <c r="T57" i="21"/>
  <c r="I82" i="1" s="1"/>
  <c r="R57" i="21"/>
  <c r="G82" i="1" s="1"/>
  <c r="T57" i="19"/>
  <c r="I74" i="1" s="1"/>
  <c r="R85" i="19"/>
  <c r="G75" i="1" s="1"/>
  <c r="P28" i="18"/>
  <c r="E69" i="1" s="1"/>
  <c r="P114" i="16"/>
  <c r="E64" i="1" s="1"/>
  <c r="N111" i="16"/>
  <c r="X111" i="16"/>
  <c r="R114" i="16"/>
  <c r="G64" i="1" s="1"/>
  <c r="X82" i="16"/>
  <c r="Z82" i="16"/>
  <c r="N82" i="16"/>
  <c r="P28" i="16"/>
  <c r="E61" i="1" s="1"/>
  <c r="V114" i="15"/>
  <c r="K60" i="1" s="1"/>
  <c r="O27" i="13"/>
  <c r="P27" i="13" s="1"/>
  <c r="R85" i="7"/>
  <c r="G27" i="1" s="1"/>
  <c r="V85" i="7"/>
  <c r="K27" i="1" s="1"/>
  <c r="P81" i="12"/>
  <c r="P85" i="12" s="1"/>
  <c r="E47" i="1" s="1"/>
  <c r="R57" i="12"/>
  <c r="G46" i="1" s="1"/>
  <c r="V85" i="11"/>
  <c r="K43" i="1" s="1"/>
  <c r="N82" i="10"/>
  <c r="P28" i="10"/>
  <c r="E37" i="1" s="1"/>
  <c r="W113" i="9"/>
  <c r="X113" i="9" s="1"/>
  <c r="V57" i="10"/>
  <c r="K38" i="1" s="1"/>
  <c r="Y84" i="9"/>
  <c r="Z84" i="9" s="1"/>
  <c r="X25" i="9"/>
  <c r="N25" i="9"/>
  <c r="V28" i="9"/>
  <c r="K33" i="1" s="1"/>
  <c r="P114" i="8"/>
  <c r="E32" i="1" s="1"/>
  <c r="Z24" i="8"/>
  <c r="X82" i="7"/>
  <c r="N82" i="7"/>
  <c r="T85" i="7"/>
  <c r="I27" i="1" s="1"/>
  <c r="Y27" i="3"/>
  <c r="Z27" i="3" s="1"/>
  <c r="V85" i="4"/>
  <c r="K15" i="1" s="1"/>
  <c r="R28" i="28"/>
  <c r="G109" i="1" s="1"/>
  <c r="V85" i="27"/>
  <c r="K107" i="1" s="1"/>
  <c r="P57" i="31"/>
  <c r="E122" i="1" s="1"/>
  <c r="V85" i="31"/>
  <c r="K123" i="1" s="1"/>
  <c r="T85" i="31"/>
  <c r="I123" i="1" s="1"/>
  <c r="R57" i="31"/>
  <c r="G122" i="1" s="1"/>
  <c r="V57" i="31"/>
  <c r="K122" i="1" s="1"/>
  <c r="T28" i="29"/>
  <c r="I113" i="1" s="1"/>
  <c r="R28" i="29"/>
  <c r="G113" i="1" s="1"/>
  <c r="R28" i="27"/>
  <c r="G105" i="1" s="1"/>
  <c r="V114" i="26"/>
  <c r="K104" i="1" s="1"/>
  <c r="V85" i="26"/>
  <c r="K103" i="1" s="1"/>
  <c r="N82" i="25"/>
  <c r="R85" i="23"/>
  <c r="G91" i="1" s="1"/>
  <c r="T57" i="23"/>
  <c r="I90" i="1" s="1"/>
  <c r="M113" i="22"/>
  <c r="N113" i="22" s="1"/>
  <c r="V114" i="21"/>
  <c r="K84" i="1" s="1"/>
  <c r="M56" i="21"/>
  <c r="N56" i="21" s="1"/>
  <c r="T114" i="19"/>
  <c r="I76" i="1" s="1"/>
  <c r="T85" i="19"/>
  <c r="I75" i="1" s="1"/>
  <c r="V57" i="18"/>
  <c r="K70" i="1" s="1"/>
  <c r="R114" i="14"/>
  <c r="G56" i="1" s="1"/>
  <c r="R85" i="13"/>
  <c r="G51" i="1" s="1"/>
  <c r="R28" i="13"/>
  <c r="G49" i="1" s="1"/>
  <c r="V28" i="13"/>
  <c r="K49" i="1" s="1"/>
  <c r="V85" i="10"/>
  <c r="K39" i="1" s="1"/>
  <c r="R114" i="9"/>
  <c r="G36" i="1" s="1"/>
  <c r="R28" i="9"/>
  <c r="G33" i="1" s="1"/>
  <c r="V57" i="8"/>
  <c r="K30" i="1" s="1"/>
  <c r="W84" i="7"/>
  <c r="X84" i="7" s="1"/>
  <c r="M84" i="7"/>
  <c r="N84" i="7" s="1"/>
  <c r="P57" i="6"/>
  <c r="E22" i="1" s="1"/>
  <c r="V114" i="4"/>
  <c r="K16" i="1" s="1"/>
  <c r="T85" i="10"/>
  <c r="I39" i="1" s="1"/>
  <c r="T57" i="10"/>
  <c r="I38" i="1" s="1"/>
  <c r="T57" i="17"/>
  <c r="I66" i="1" s="1"/>
  <c r="T28" i="20"/>
  <c r="I77" i="1" s="1"/>
  <c r="T57" i="31"/>
  <c r="I122" i="1" s="1"/>
  <c r="Z82" i="31"/>
  <c r="V28" i="31"/>
  <c r="K121" i="1" s="1"/>
  <c r="X110" i="31"/>
  <c r="X114" i="31" s="1"/>
  <c r="M124" i="1" s="1"/>
  <c r="Z109" i="31"/>
  <c r="Z110" i="31"/>
  <c r="Z114" i="31" s="1"/>
  <c r="O124" i="1" s="1"/>
  <c r="N109" i="31"/>
  <c r="N110" i="31"/>
  <c r="N114" i="31" s="1"/>
  <c r="C124" i="1" s="1"/>
  <c r="R85" i="31"/>
  <c r="G123" i="1" s="1"/>
  <c r="Z80" i="31"/>
  <c r="Z81" i="31"/>
  <c r="Z85" i="31" s="1"/>
  <c r="O123" i="1" s="1"/>
  <c r="N82" i="31"/>
  <c r="X82" i="31"/>
  <c r="X85" i="31" s="1"/>
  <c r="M123" i="1" s="1"/>
  <c r="N80" i="31"/>
  <c r="N81" i="31"/>
  <c r="M56" i="31"/>
  <c r="N56" i="31" s="1"/>
  <c r="W56" i="31"/>
  <c r="X56" i="31" s="1"/>
  <c r="R28" i="31"/>
  <c r="G121" i="1" s="1"/>
  <c r="T28" i="31"/>
  <c r="I121" i="1" s="1"/>
  <c r="P52" i="31"/>
  <c r="X53" i="31"/>
  <c r="P28" i="31"/>
  <c r="E121" i="1" s="1"/>
  <c r="W27" i="31"/>
  <c r="X27" i="31" s="1"/>
  <c r="X24" i="31"/>
  <c r="N24" i="31"/>
  <c r="N28" i="31" s="1"/>
  <c r="C121" i="1" s="1"/>
  <c r="N52" i="31"/>
  <c r="N53" i="31"/>
  <c r="N23" i="31"/>
  <c r="Z23" i="31"/>
  <c r="Z24" i="31"/>
  <c r="Z28" i="31" s="1"/>
  <c r="O121" i="1" s="1"/>
  <c r="N110" i="30"/>
  <c r="X110" i="30"/>
  <c r="X114" i="30" s="1"/>
  <c r="M120" i="1" s="1"/>
  <c r="Z109" i="30"/>
  <c r="Z110" i="30"/>
  <c r="Z114" i="30" s="1"/>
  <c r="O120" i="1" s="1"/>
  <c r="N109" i="30"/>
  <c r="Z81" i="30"/>
  <c r="Z85" i="30" s="1"/>
  <c r="O119" i="1" s="1"/>
  <c r="N81" i="30"/>
  <c r="N85" i="30" s="1"/>
  <c r="C119" i="1" s="1"/>
  <c r="X81" i="30"/>
  <c r="X85" i="30" s="1"/>
  <c r="M119" i="1" s="1"/>
  <c r="Z80" i="30"/>
  <c r="N80" i="30"/>
  <c r="P53" i="30"/>
  <c r="P57" i="30" s="1"/>
  <c r="E118" i="1" s="1"/>
  <c r="P52" i="30"/>
  <c r="N53" i="30"/>
  <c r="N57" i="30" s="1"/>
  <c r="C118" i="1" s="1"/>
  <c r="Z52" i="30"/>
  <c r="Z53" i="30"/>
  <c r="Z57" i="30" s="1"/>
  <c r="O118" i="1" s="1"/>
  <c r="N52" i="30"/>
  <c r="N24" i="30"/>
  <c r="N28" i="30" s="1"/>
  <c r="C117" i="1" s="1"/>
  <c r="P23" i="30"/>
  <c r="X24" i="30"/>
  <c r="X28" i="30" s="1"/>
  <c r="M117" i="1" s="1"/>
  <c r="Z23" i="30"/>
  <c r="Z24" i="30"/>
  <c r="Z28" i="30" s="1"/>
  <c r="O117" i="1" s="1"/>
  <c r="N23" i="30"/>
  <c r="X110" i="29"/>
  <c r="X81" i="29"/>
  <c r="X85" i="29" s="1"/>
  <c r="M115" i="1" s="1"/>
  <c r="V57" i="29"/>
  <c r="K114" i="1" s="1"/>
  <c r="T57" i="29"/>
  <c r="I114" i="1" s="1"/>
  <c r="M27" i="29"/>
  <c r="N27" i="29" s="1"/>
  <c r="R57" i="29"/>
  <c r="G114" i="1" s="1"/>
  <c r="W27" i="29"/>
  <c r="X27" i="29" s="1"/>
  <c r="V28" i="28"/>
  <c r="K109" i="1" s="1"/>
  <c r="R85" i="27"/>
  <c r="G107" i="1" s="1"/>
  <c r="T85" i="27"/>
  <c r="I107" i="1" s="1"/>
  <c r="X82" i="25"/>
  <c r="R85" i="25"/>
  <c r="G99" i="1" s="1"/>
  <c r="R57" i="27"/>
  <c r="G106" i="1" s="1"/>
  <c r="T57" i="27"/>
  <c r="I106" i="1" s="1"/>
  <c r="V28" i="27"/>
  <c r="K105" i="1" s="1"/>
  <c r="P24" i="27"/>
  <c r="P28" i="27" s="1"/>
  <c r="E105" i="1" s="1"/>
  <c r="T28" i="27"/>
  <c r="I105" i="1" s="1"/>
  <c r="W84" i="27"/>
  <c r="X84" i="27" s="1"/>
  <c r="M84" i="26"/>
  <c r="N84" i="26" s="1"/>
  <c r="Y84" i="26"/>
  <c r="Z84" i="26" s="1"/>
  <c r="T57" i="26"/>
  <c r="I102" i="1" s="1"/>
  <c r="V57" i="26"/>
  <c r="K102" i="1" s="1"/>
  <c r="M27" i="26"/>
  <c r="N27" i="26" s="1"/>
  <c r="T28" i="26"/>
  <c r="I101" i="1" s="1"/>
  <c r="V57" i="25"/>
  <c r="K98" i="1" s="1"/>
  <c r="V85" i="25"/>
  <c r="K99" i="1" s="1"/>
  <c r="Y84" i="25"/>
  <c r="Z84" i="25" s="1"/>
  <c r="M84" i="25"/>
  <c r="N84" i="25" s="1"/>
  <c r="T85" i="25"/>
  <c r="I99" i="1" s="1"/>
  <c r="V28" i="25"/>
  <c r="K97" i="1" s="1"/>
  <c r="T57" i="25"/>
  <c r="I98" i="1" s="1"/>
  <c r="Y56" i="25"/>
  <c r="Z56" i="25" s="1"/>
  <c r="Z110" i="24"/>
  <c r="Z114" i="24" s="1"/>
  <c r="O96" i="1" s="1"/>
  <c r="R57" i="23"/>
  <c r="G90" i="1" s="1"/>
  <c r="Y84" i="23"/>
  <c r="Z84" i="23" s="1"/>
  <c r="M84" i="23"/>
  <c r="N84" i="23" s="1"/>
  <c r="V57" i="23"/>
  <c r="K90" i="1" s="1"/>
  <c r="M56" i="23"/>
  <c r="N56" i="23" s="1"/>
  <c r="W56" i="23"/>
  <c r="X56" i="23" s="1"/>
  <c r="V28" i="22"/>
  <c r="K85" i="1" s="1"/>
  <c r="T114" i="21"/>
  <c r="I84" i="1" s="1"/>
  <c r="V28" i="23"/>
  <c r="K89" i="1" s="1"/>
  <c r="T28" i="23"/>
  <c r="I89" i="1" s="1"/>
  <c r="W113" i="22"/>
  <c r="X113" i="22" s="1"/>
  <c r="R28" i="22"/>
  <c r="G85" i="1" s="1"/>
  <c r="R57" i="22"/>
  <c r="G86" i="1" s="1"/>
  <c r="Z111" i="21"/>
  <c r="V85" i="21"/>
  <c r="K83" i="1" s="1"/>
  <c r="T85" i="21"/>
  <c r="I83" i="1" s="1"/>
  <c r="N81" i="21"/>
  <c r="M84" i="21"/>
  <c r="N84" i="21" s="1"/>
  <c r="W56" i="21"/>
  <c r="X56" i="21" s="1"/>
  <c r="T57" i="20"/>
  <c r="I78" i="1" s="1"/>
  <c r="P28" i="20"/>
  <c r="E77" i="1" s="1"/>
  <c r="P85" i="20"/>
  <c r="E79" i="1" s="1"/>
  <c r="T85" i="20"/>
  <c r="I79" i="1" s="1"/>
  <c r="V85" i="20"/>
  <c r="K79" i="1" s="1"/>
  <c r="P57" i="20"/>
  <c r="E78" i="1" s="1"/>
  <c r="V28" i="20"/>
  <c r="K77" i="1" s="1"/>
  <c r="R57" i="20"/>
  <c r="G78" i="1" s="1"/>
  <c r="R28" i="20"/>
  <c r="G77" i="1" s="1"/>
  <c r="V114" i="19"/>
  <c r="K76" i="1" s="1"/>
  <c r="R114" i="19"/>
  <c r="G76" i="1" s="1"/>
  <c r="R85" i="20"/>
  <c r="G79" i="1" s="1"/>
  <c r="V85" i="19"/>
  <c r="K75" i="1" s="1"/>
  <c r="V114" i="18"/>
  <c r="K72" i="1" s="1"/>
  <c r="T114" i="18"/>
  <c r="I72" i="1" s="1"/>
  <c r="P114" i="18"/>
  <c r="E72" i="1" s="1"/>
  <c r="T57" i="18"/>
  <c r="I70" i="1" s="1"/>
  <c r="Y56" i="18"/>
  <c r="Z56" i="18" s="1"/>
  <c r="M56" i="18"/>
  <c r="N56" i="18" s="1"/>
  <c r="R57" i="18"/>
  <c r="G70" i="1" s="1"/>
  <c r="R114" i="17"/>
  <c r="G68" i="1" s="1"/>
  <c r="V85" i="17"/>
  <c r="K67" i="1" s="1"/>
  <c r="T85" i="17"/>
  <c r="I67" i="1" s="1"/>
  <c r="R85" i="17"/>
  <c r="G67" i="1" s="1"/>
  <c r="R57" i="17"/>
  <c r="G66" i="1" s="1"/>
  <c r="R114" i="15"/>
  <c r="G60" i="1" s="1"/>
  <c r="V57" i="17"/>
  <c r="K66" i="1" s="1"/>
  <c r="R28" i="17"/>
  <c r="G65" i="1" s="1"/>
  <c r="V28" i="17"/>
  <c r="K65" i="1" s="1"/>
  <c r="T114" i="16"/>
  <c r="I64" i="1" s="1"/>
  <c r="Y56" i="16"/>
  <c r="Z56" i="16" s="1"/>
  <c r="W56" i="16"/>
  <c r="X56" i="16" s="1"/>
  <c r="V57" i="16"/>
  <c r="K62" i="1" s="1"/>
  <c r="M56" i="16"/>
  <c r="N56" i="16" s="1"/>
  <c r="T28" i="16"/>
  <c r="I61" i="1" s="1"/>
  <c r="V28" i="16"/>
  <c r="K61" i="1" s="1"/>
  <c r="T114" i="15"/>
  <c r="I60" i="1" s="1"/>
  <c r="R57" i="15"/>
  <c r="G58" i="1" s="1"/>
  <c r="P57" i="15"/>
  <c r="E58" i="1" s="1"/>
  <c r="T114" i="14"/>
  <c r="I56" i="1" s="1"/>
  <c r="M113" i="14"/>
  <c r="N113" i="14" s="1"/>
  <c r="W113" i="14"/>
  <c r="X113" i="14" s="1"/>
  <c r="V85" i="13"/>
  <c r="K51" i="1" s="1"/>
  <c r="T28" i="13"/>
  <c r="I49" i="1" s="1"/>
  <c r="T57" i="12"/>
  <c r="I46" i="1" s="1"/>
  <c r="R85" i="14"/>
  <c r="G55" i="1" s="1"/>
  <c r="P85" i="9"/>
  <c r="E35" i="1" s="1"/>
  <c r="R114" i="13"/>
  <c r="G52" i="1" s="1"/>
  <c r="P85" i="11"/>
  <c r="E43" i="1" s="1"/>
  <c r="R114" i="11"/>
  <c r="G44" i="1" s="1"/>
  <c r="V57" i="12"/>
  <c r="K46" i="1" s="1"/>
  <c r="V114" i="11"/>
  <c r="K44" i="1" s="1"/>
  <c r="V85" i="12"/>
  <c r="K47" i="1" s="1"/>
  <c r="T85" i="12"/>
  <c r="I47" i="1" s="1"/>
  <c r="R85" i="12"/>
  <c r="G47" i="1" s="1"/>
  <c r="Z81" i="12"/>
  <c r="M56" i="12"/>
  <c r="N56" i="12" s="1"/>
  <c r="Y56" i="12"/>
  <c r="Z56" i="12" s="1"/>
  <c r="W56" i="12"/>
  <c r="X56" i="12" s="1"/>
  <c r="T114" i="11"/>
  <c r="I44" i="1" s="1"/>
  <c r="R85" i="11"/>
  <c r="G43" i="1" s="1"/>
  <c r="R28" i="12"/>
  <c r="G45" i="1" s="1"/>
  <c r="T85" i="11"/>
  <c r="I43" i="1" s="1"/>
  <c r="M84" i="10"/>
  <c r="N84" i="10" s="1"/>
  <c r="Y84" i="10"/>
  <c r="Z84" i="10" s="1"/>
  <c r="N25" i="10"/>
  <c r="W84" i="10"/>
  <c r="X84" i="10" s="1"/>
  <c r="M56" i="10"/>
  <c r="N56" i="10" s="1"/>
  <c r="Y56" i="10"/>
  <c r="Z56" i="10" s="1"/>
  <c r="Z25" i="10"/>
  <c r="T114" i="9"/>
  <c r="I36" i="1" s="1"/>
  <c r="V114" i="9"/>
  <c r="K36" i="1" s="1"/>
  <c r="V28" i="10"/>
  <c r="K37" i="1" s="1"/>
  <c r="R28" i="10"/>
  <c r="G37" i="1" s="1"/>
  <c r="Y27" i="9"/>
  <c r="Z27" i="9" s="1"/>
  <c r="R114" i="8"/>
  <c r="G32" i="1" s="1"/>
  <c r="V114" i="8"/>
  <c r="K32" i="1" s="1"/>
  <c r="V85" i="9"/>
  <c r="K35" i="1" s="1"/>
  <c r="R85" i="9"/>
  <c r="G35" i="1" s="1"/>
  <c r="M56" i="9"/>
  <c r="N56" i="9" s="1"/>
  <c r="P57" i="9"/>
  <c r="E34" i="1" s="1"/>
  <c r="M84" i="9"/>
  <c r="N84" i="9" s="1"/>
  <c r="V57" i="9"/>
  <c r="K34" i="1" s="1"/>
  <c r="T28" i="9"/>
  <c r="I33" i="1" s="1"/>
  <c r="W27" i="9"/>
  <c r="X27" i="9" s="1"/>
  <c r="M27" i="9"/>
  <c r="N27" i="9" s="1"/>
  <c r="T114" i="8"/>
  <c r="I32" i="1" s="1"/>
  <c r="V85" i="8"/>
  <c r="K31" i="1" s="1"/>
  <c r="R57" i="8"/>
  <c r="G30" i="1" s="1"/>
  <c r="Y56" i="8"/>
  <c r="Z56" i="8" s="1"/>
  <c r="M56" i="8"/>
  <c r="N56" i="8" s="1"/>
  <c r="T57" i="8"/>
  <c r="I30" i="1" s="1"/>
  <c r="P25" i="8"/>
  <c r="Y84" i="7"/>
  <c r="Z84" i="7" s="1"/>
  <c r="R85" i="8"/>
  <c r="G31" i="1" s="1"/>
  <c r="T85" i="8"/>
  <c r="I31" i="1" s="1"/>
  <c r="R28" i="8"/>
  <c r="G29" i="1" s="1"/>
  <c r="T28" i="8"/>
  <c r="I29" i="1" s="1"/>
  <c r="T57" i="7"/>
  <c r="I26" i="1" s="1"/>
  <c r="Y56" i="7"/>
  <c r="Z56" i="7" s="1"/>
  <c r="W56" i="7"/>
  <c r="X56" i="7" s="1"/>
  <c r="M56" i="7"/>
  <c r="N56" i="7" s="1"/>
  <c r="R57" i="7"/>
  <c r="G26" i="1" s="1"/>
  <c r="V57" i="7"/>
  <c r="K26" i="1" s="1"/>
  <c r="W56" i="6"/>
  <c r="X56" i="6" s="1"/>
  <c r="R85" i="6"/>
  <c r="G23" i="1" s="1"/>
  <c r="T57" i="6"/>
  <c r="I22" i="1" s="1"/>
  <c r="R114" i="6"/>
  <c r="G24" i="1" s="1"/>
  <c r="T85" i="6"/>
  <c r="I23" i="1" s="1"/>
  <c r="Y56" i="6"/>
  <c r="Z56" i="6" s="1"/>
  <c r="V57" i="6"/>
  <c r="K22" i="1" s="1"/>
  <c r="M56" i="6"/>
  <c r="N56" i="6" s="1"/>
  <c r="R57" i="6"/>
  <c r="G22" i="1" s="1"/>
  <c r="O27" i="6"/>
  <c r="P27" i="6" s="1"/>
  <c r="V85" i="6"/>
  <c r="K23" i="1" s="1"/>
  <c r="T28" i="6"/>
  <c r="I21" i="1" s="1"/>
  <c r="V114" i="5"/>
  <c r="K20" i="1" s="1"/>
  <c r="P114" i="5"/>
  <c r="E20" i="1" s="1"/>
  <c r="P53" i="5"/>
  <c r="Z53" i="5"/>
  <c r="R114" i="5"/>
  <c r="G20" i="1" s="1"/>
  <c r="T114" i="5"/>
  <c r="I20" i="1" s="1"/>
  <c r="N111" i="5"/>
  <c r="P52" i="5"/>
  <c r="T114" i="4"/>
  <c r="I16" i="1" s="1"/>
  <c r="R114" i="4"/>
  <c r="G16" i="1" s="1"/>
  <c r="X111" i="4"/>
  <c r="N111" i="4"/>
  <c r="M84" i="4"/>
  <c r="N84" i="4" s="1"/>
  <c r="W84" i="4"/>
  <c r="X84" i="4" s="1"/>
  <c r="Y56" i="4"/>
  <c r="Z56" i="4" s="1"/>
  <c r="W56" i="4"/>
  <c r="X56" i="4" s="1"/>
  <c r="M56" i="4"/>
  <c r="N56" i="4" s="1"/>
  <c r="T57" i="4"/>
  <c r="I14" i="1" s="1"/>
  <c r="R57" i="4"/>
  <c r="G14" i="1" s="1"/>
  <c r="V57" i="4"/>
  <c r="K14" i="1" s="1"/>
  <c r="Z24" i="3"/>
  <c r="R28" i="3"/>
  <c r="G9" i="1" s="1"/>
  <c r="T28" i="3"/>
  <c r="I9" i="1" s="1"/>
  <c r="R114" i="2"/>
  <c r="G8" i="1" s="1"/>
  <c r="P114" i="2"/>
  <c r="E8" i="1" s="1"/>
  <c r="Z82" i="13"/>
  <c r="W56" i="27"/>
  <c r="X56" i="27" s="1"/>
  <c r="V114" i="2"/>
  <c r="K8" i="1" s="1"/>
  <c r="P28" i="7"/>
  <c r="E25" i="1" s="1"/>
  <c r="X24" i="24"/>
  <c r="X28" i="24" s="1"/>
  <c r="M93" i="1" s="1"/>
  <c r="R28" i="25"/>
  <c r="G97" i="1" s="1"/>
  <c r="V57" i="20"/>
  <c r="K78" i="1" s="1"/>
  <c r="N25" i="23"/>
  <c r="Y27" i="8"/>
  <c r="Z27" i="8" s="1"/>
  <c r="P81" i="27"/>
  <c r="P85" i="27" s="1"/>
  <c r="E107" i="1" s="1"/>
  <c r="N110" i="24"/>
  <c r="Z24" i="24"/>
  <c r="Z28" i="24" s="1"/>
  <c r="O93" i="1" s="1"/>
  <c r="Z80" i="28"/>
  <c r="V28" i="26"/>
  <c r="K101" i="1" s="1"/>
  <c r="M113" i="13"/>
  <c r="N113" i="13" s="1"/>
  <c r="M113" i="16"/>
  <c r="N113" i="16" s="1"/>
  <c r="P28" i="3"/>
  <c r="E9" i="1" s="1"/>
  <c r="V114" i="14"/>
  <c r="K56" i="1" s="1"/>
  <c r="N111" i="18"/>
  <c r="V28" i="3"/>
  <c r="K9" i="1" s="1"/>
  <c r="P80" i="26"/>
  <c r="Y56" i="20"/>
  <c r="Z56" i="20" s="1"/>
  <c r="V114" i="17"/>
  <c r="K68" i="1" s="1"/>
  <c r="P82" i="13"/>
  <c r="P85" i="13" s="1"/>
  <c r="E51" i="1" s="1"/>
  <c r="V57" i="22"/>
  <c r="K86" i="1" s="1"/>
  <c r="M27" i="27"/>
  <c r="N27" i="27" s="1"/>
  <c r="O56" i="22"/>
  <c r="P56" i="22" s="1"/>
  <c r="Z52" i="24"/>
  <c r="R28" i="23"/>
  <c r="G89" i="1" s="1"/>
  <c r="Y84" i="21"/>
  <c r="Z84" i="21" s="1"/>
  <c r="W56" i="29"/>
  <c r="X56" i="29" s="1"/>
  <c r="N53" i="28"/>
  <c r="N57" i="28" s="1"/>
  <c r="C110" i="1" s="1"/>
  <c r="T28" i="22"/>
  <c r="I85" i="1" s="1"/>
  <c r="P54" i="5"/>
  <c r="Z109" i="23"/>
  <c r="T28" i="25"/>
  <c r="I97" i="1" s="1"/>
  <c r="P110" i="25"/>
  <c r="P114" i="25" s="1"/>
  <c r="E100" i="1" s="1"/>
  <c r="Z24" i="27"/>
  <c r="Z28" i="27" s="1"/>
  <c r="O105" i="1" s="1"/>
  <c r="P110" i="26"/>
  <c r="P114" i="26" s="1"/>
  <c r="E104" i="1" s="1"/>
  <c r="Y56" i="29"/>
  <c r="Z56" i="29" s="1"/>
  <c r="M56" i="29"/>
  <c r="N56" i="29" s="1"/>
  <c r="P53" i="29"/>
  <c r="P57" i="29" s="1"/>
  <c r="E114" i="1" s="1"/>
  <c r="X53" i="29"/>
  <c r="N24" i="29"/>
  <c r="X24" i="29"/>
  <c r="N110" i="28"/>
  <c r="X110" i="28"/>
  <c r="X114" i="28" s="1"/>
  <c r="M112" i="1" s="1"/>
  <c r="Z52" i="28"/>
  <c r="X53" i="28"/>
  <c r="X57" i="28" s="1"/>
  <c r="M110" i="1" s="1"/>
  <c r="P53" i="28"/>
  <c r="P57" i="28" s="1"/>
  <c r="E110" i="1" s="1"/>
  <c r="Z81" i="28"/>
  <c r="Z85" i="28" s="1"/>
  <c r="O111" i="1" s="1"/>
  <c r="N81" i="28"/>
  <c r="X81" i="28"/>
  <c r="X85" i="28" s="1"/>
  <c r="M111" i="1" s="1"/>
  <c r="N109" i="29"/>
  <c r="N110" i="29"/>
  <c r="Z109" i="29"/>
  <c r="Z110" i="29"/>
  <c r="Z114" i="29" s="1"/>
  <c r="O116" i="1" s="1"/>
  <c r="N80" i="29"/>
  <c r="N81" i="29"/>
  <c r="N85" i="29" s="1"/>
  <c r="C115" i="1" s="1"/>
  <c r="Z80" i="29"/>
  <c r="Z81" i="29"/>
  <c r="Z85" i="29" s="1"/>
  <c r="O115" i="1" s="1"/>
  <c r="Z52" i="29"/>
  <c r="Z53" i="29"/>
  <c r="N52" i="29"/>
  <c r="N53" i="29"/>
  <c r="Z23" i="29"/>
  <c r="Z24" i="29"/>
  <c r="Z28" i="29" s="1"/>
  <c r="O113" i="1" s="1"/>
  <c r="Z109" i="28"/>
  <c r="Z110" i="28"/>
  <c r="Z114" i="28" s="1"/>
  <c r="O112" i="1" s="1"/>
  <c r="N109" i="28"/>
  <c r="N80" i="28"/>
  <c r="N52" i="28"/>
  <c r="Z23" i="28"/>
  <c r="Y27" i="28"/>
  <c r="Z27" i="28" s="1"/>
  <c r="W27" i="28"/>
  <c r="X27" i="28" s="1"/>
  <c r="M27" i="28"/>
  <c r="N27" i="28" s="1"/>
  <c r="Z24" i="28"/>
  <c r="Z28" i="28" s="1"/>
  <c r="O109" i="1" s="1"/>
  <c r="X24" i="28"/>
  <c r="N23" i="28"/>
  <c r="N24" i="28"/>
  <c r="N28" i="28" s="1"/>
  <c r="C109" i="1" s="1"/>
  <c r="X110" i="27"/>
  <c r="Z109" i="27"/>
  <c r="N110" i="27"/>
  <c r="N114" i="27" s="1"/>
  <c r="C108" i="1" s="1"/>
  <c r="Z110" i="27"/>
  <c r="Z114" i="27" s="1"/>
  <c r="O108" i="1" s="1"/>
  <c r="P110" i="27"/>
  <c r="P114" i="27" s="1"/>
  <c r="E108" i="1" s="1"/>
  <c r="M84" i="27"/>
  <c r="N84" i="27" s="1"/>
  <c r="Y84" i="27"/>
  <c r="Z84" i="27" s="1"/>
  <c r="Z85" i="27" s="1"/>
  <c r="O107" i="1" s="1"/>
  <c r="Z80" i="27"/>
  <c r="N81" i="27"/>
  <c r="N85" i="27" s="1"/>
  <c r="C107" i="1" s="1"/>
  <c r="X81" i="27"/>
  <c r="M56" i="27"/>
  <c r="N56" i="27" s="1"/>
  <c r="X53" i="27"/>
  <c r="Z53" i="27"/>
  <c r="Z57" i="27" s="1"/>
  <c r="O106" i="1" s="1"/>
  <c r="P53" i="27"/>
  <c r="P57" i="27" s="1"/>
  <c r="E106" i="1" s="1"/>
  <c r="N53" i="27"/>
  <c r="Z52" i="27"/>
  <c r="Z23" i="27"/>
  <c r="X24" i="27"/>
  <c r="X28" i="27" s="1"/>
  <c r="M105" i="1" s="1"/>
  <c r="N24" i="27"/>
  <c r="X111" i="26"/>
  <c r="N111" i="26"/>
  <c r="X110" i="26"/>
  <c r="N110" i="26"/>
  <c r="Z109" i="26"/>
  <c r="Z110" i="26"/>
  <c r="Z114" i="26" s="1"/>
  <c r="O104" i="1" s="1"/>
  <c r="N109" i="27"/>
  <c r="P109" i="27"/>
  <c r="N80" i="27"/>
  <c r="P52" i="27"/>
  <c r="N52" i="27"/>
  <c r="N23" i="27"/>
  <c r="P23" i="27"/>
  <c r="N109" i="26"/>
  <c r="R57" i="26"/>
  <c r="G102" i="1" s="1"/>
  <c r="P85" i="26"/>
  <c r="E103" i="1" s="1"/>
  <c r="N81" i="26"/>
  <c r="Y56" i="26"/>
  <c r="Z56" i="26" s="1"/>
  <c r="Z57" i="26" s="1"/>
  <c r="O102" i="1" s="1"/>
  <c r="P53" i="26"/>
  <c r="P57" i="26" s="1"/>
  <c r="E102" i="1" s="1"/>
  <c r="M56" i="26"/>
  <c r="N56" i="26" s="1"/>
  <c r="W56" i="26"/>
  <c r="X56" i="26" s="1"/>
  <c r="Z52" i="26"/>
  <c r="Z24" i="26"/>
  <c r="Z23" i="26"/>
  <c r="P109" i="25"/>
  <c r="X81" i="26"/>
  <c r="X85" i="26" s="1"/>
  <c r="M103" i="1" s="1"/>
  <c r="Z80" i="26"/>
  <c r="Z81" i="26"/>
  <c r="N80" i="26"/>
  <c r="X53" i="26"/>
  <c r="N52" i="26"/>
  <c r="N53" i="26"/>
  <c r="X24" i="26"/>
  <c r="N23" i="26"/>
  <c r="N24" i="26"/>
  <c r="X110" i="25"/>
  <c r="X114" i="25" s="1"/>
  <c r="M100" i="1" s="1"/>
  <c r="N110" i="25"/>
  <c r="N114" i="25" s="1"/>
  <c r="C100" i="1" s="1"/>
  <c r="Z109" i="25"/>
  <c r="Z110" i="25"/>
  <c r="Z114" i="25" s="1"/>
  <c r="O100" i="1" s="1"/>
  <c r="W84" i="25"/>
  <c r="X84" i="25" s="1"/>
  <c r="N81" i="25"/>
  <c r="X81" i="25"/>
  <c r="Z80" i="25"/>
  <c r="Z81" i="25"/>
  <c r="Z85" i="25" s="1"/>
  <c r="O99" i="1" s="1"/>
  <c r="P80" i="25"/>
  <c r="P81" i="25"/>
  <c r="N109" i="25"/>
  <c r="Y27" i="25"/>
  <c r="Z27" i="25" s="1"/>
  <c r="X53" i="25"/>
  <c r="X57" i="25" s="1"/>
  <c r="M98" i="1" s="1"/>
  <c r="O27" i="25"/>
  <c r="P27" i="25" s="1"/>
  <c r="P28" i="25" s="1"/>
  <c r="E97" i="1" s="1"/>
  <c r="N80" i="25"/>
  <c r="N53" i="25"/>
  <c r="N52" i="25"/>
  <c r="W27" i="25"/>
  <c r="X27" i="25" s="1"/>
  <c r="N24" i="25"/>
  <c r="Z52" i="25"/>
  <c r="Z53" i="25"/>
  <c r="N23" i="25"/>
  <c r="M27" i="25"/>
  <c r="N27" i="25" s="1"/>
  <c r="X24" i="25"/>
  <c r="Z109" i="24"/>
  <c r="X110" i="24"/>
  <c r="N81" i="24"/>
  <c r="N85" i="24" s="1"/>
  <c r="C95" i="1" s="1"/>
  <c r="X81" i="24"/>
  <c r="X85" i="24" s="1"/>
  <c r="M95" i="1" s="1"/>
  <c r="P81" i="24"/>
  <c r="P85" i="24" s="1"/>
  <c r="E95" i="1" s="1"/>
  <c r="Z53" i="24"/>
  <c r="Z57" i="24" s="1"/>
  <c r="O94" i="1" s="1"/>
  <c r="N53" i="24"/>
  <c r="N57" i="24" s="1"/>
  <c r="C94" i="1" s="1"/>
  <c r="X53" i="24"/>
  <c r="X57" i="24" s="1"/>
  <c r="M94" i="1" s="1"/>
  <c r="Z23" i="25"/>
  <c r="Z24" i="25"/>
  <c r="Z80" i="24"/>
  <c r="Z81" i="24"/>
  <c r="Z85" i="24" s="1"/>
  <c r="O95" i="1" s="1"/>
  <c r="P23" i="25"/>
  <c r="N109" i="24"/>
  <c r="N80" i="24"/>
  <c r="N52" i="24"/>
  <c r="Z23" i="24"/>
  <c r="P23" i="24"/>
  <c r="N24" i="24"/>
  <c r="N28" i="24" s="1"/>
  <c r="C93" i="1" s="1"/>
  <c r="P24" i="24"/>
  <c r="P28" i="24" s="1"/>
  <c r="E93" i="1" s="1"/>
  <c r="Z110" i="23"/>
  <c r="Z114" i="23" s="1"/>
  <c r="O92" i="1" s="1"/>
  <c r="X110" i="23"/>
  <c r="X114" i="23" s="1"/>
  <c r="M92" i="1" s="1"/>
  <c r="N110" i="23"/>
  <c r="N114" i="23" s="1"/>
  <c r="C92" i="1" s="1"/>
  <c r="P109" i="23"/>
  <c r="P110" i="23"/>
  <c r="P114" i="23" s="1"/>
  <c r="E92" i="1" s="1"/>
  <c r="N81" i="23"/>
  <c r="X81" i="23"/>
  <c r="X85" i="23" s="1"/>
  <c r="M91" i="1" s="1"/>
  <c r="Z80" i="23"/>
  <c r="Z81" i="23"/>
  <c r="Z53" i="23"/>
  <c r="Z57" i="23" s="1"/>
  <c r="O90" i="1" s="1"/>
  <c r="Z52" i="23"/>
  <c r="X53" i="23"/>
  <c r="N53" i="23"/>
  <c r="N57" i="23" s="1"/>
  <c r="C90" i="1" s="1"/>
  <c r="P53" i="23"/>
  <c r="P57" i="23" s="1"/>
  <c r="E90" i="1" s="1"/>
  <c r="P28" i="23"/>
  <c r="E89" i="1" s="1"/>
  <c r="N23" i="24"/>
  <c r="N109" i="23"/>
  <c r="N80" i="23"/>
  <c r="N52" i="23"/>
  <c r="P52" i="23"/>
  <c r="M27" i="23"/>
  <c r="N27" i="23" s="1"/>
  <c r="Y27" i="23"/>
  <c r="Z27" i="23" s="1"/>
  <c r="X24" i="23"/>
  <c r="X28" i="23" s="1"/>
  <c r="M89" i="1" s="1"/>
  <c r="N24" i="23"/>
  <c r="Z23" i="23"/>
  <c r="Z24" i="23"/>
  <c r="X110" i="22"/>
  <c r="Z110" i="22"/>
  <c r="Z114" i="22" s="1"/>
  <c r="O88" i="1" s="1"/>
  <c r="N110" i="22"/>
  <c r="Z109" i="22"/>
  <c r="X23" i="23"/>
  <c r="N23" i="23"/>
  <c r="N109" i="22"/>
  <c r="Z52" i="22"/>
  <c r="P52" i="22"/>
  <c r="M56" i="22"/>
  <c r="N56" i="22" s="1"/>
  <c r="T57" i="22"/>
  <c r="I86" i="1" s="1"/>
  <c r="W56" i="22"/>
  <c r="X56" i="22" s="1"/>
  <c r="P53" i="22"/>
  <c r="Z53" i="22"/>
  <c r="Y56" i="22"/>
  <c r="Z56" i="22" s="1"/>
  <c r="Y27" i="22"/>
  <c r="Z27" i="22" s="1"/>
  <c r="M27" i="22"/>
  <c r="N27" i="22" s="1"/>
  <c r="W27" i="22"/>
  <c r="X27" i="22" s="1"/>
  <c r="X53" i="21"/>
  <c r="N53" i="21"/>
  <c r="Z52" i="21"/>
  <c r="Z53" i="21"/>
  <c r="Z57" i="21" s="1"/>
  <c r="O82" i="1" s="1"/>
  <c r="Z80" i="21"/>
  <c r="Z81" i="21"/>
  <c r="N110" i="21"/>
  <c r="N114" i="21" s="1"/>
  <c r="C84" i="1" s="1"/>
  <c r="Z110" i="21"/>
  <c r="X110" i="21"/>
  <c r="X114" i="21" s="1"/>
  <c r="M84" i="1" s="1"/>
  <c r="P110" i="21"/>
  <c r="P114" i="21" s="1"/>
  <c r="E84" i="1" s="1"/>
  <c r="Z109" i="21"/>
  <c r="Z23" i="22"/>
  <c r="X24" i="22"/>
  <c r="Z24" i="22"/>
  <c r="N23" i="22"/>
  <c r="N24" i="22"/>
  <c r="X53" i="22"/>
  <c r="N52" i="22"/>
  <c r="N53" i="22"/>
  <c r="X81" i="22"/>
  <c r="Z80" i="22"/>
  <c r="Z81" i="22"/>
  <c r="Z85" i="22" s="1"/>
  <c r="O87" i="1" s="1"/>
  <c r="N80" i="22"/>
  <c r="N81" i="22"/>
  <c r="N85" i="22" s="1"/>
  <c r="C87" i="1" s="1"/>
  <c r="N109" i="21"/>
  <c r="N80" i="21"/>
  <c r="P52" i="21"/>
  <c r="N52" i="21"/>
  <c r="P28" i="21"/>
  <c r="E81" i="1" s="1"/>
  <c r="Z24" i="15"/>
  <c r="Z28" i="15" s="1"/>
  <c r="O57" i="1" s="1"/>
  <c r="Z81" i="4"/>
  <c r="Z85" i="4" s="1"/>
  <c r="O15" i="1" s="1"/>
  <c r="X111" i="19"/>
  <c r="V114" i="16"/>
  <c r="K64" i="1" s="1"/>
  <c r="X85" i="21"/>
  <c r="M83" i="1" s="1"/>
  <c r="T114" i="17"/>
  <c r="I68" i="1" s="1"/>
  <c r="W113" i="2"/>
  <c r="X113" i="2" s="1"/>
  <c r="T28" i="10"/>
  <c r="I37" i="1" s="1"/>
  <c r="M56" i="13"/>
  <c r="N56" i="13" s="1"/>
  <c r="X110" i="5"/>
  <c r="W84" i="11"/>
  <c r="X84" i="11" s="1"/>
  <c r="X110" i="6"/>
  <c r="P114" i="29"/>
  <c r="E116" i="1" s="1"/>
  <c r="P52" i="17"/>
  <c r="P23" i="2"/>
  <c r="N82" i="13"/>
  <c r="X111" i="17"/>
  <c r="X52" i="23"/>
  <c r="P110" i="6"/>
  <c r="P114" i="6" s="1"/>
  <c r="E24" i="1" s="1"/>
  <c r="N54" i="18"/>
  <c r="M27" i="13"/>
  <c r="N27" i="13" s="1"/>
  <c r="P81" i="10"/>
  <c r="P85" i="10" s="1"/>
  <c r="E39" i="1" s="1"/>
  <c r="X52" i="26"/>
  <c r="X25" i="15"/>
  <c r="Z25" i="8"/>
  <c r="Z28" i="8" s="1"/>
  <c r="O29" i="1" s="1"/>
  <c r="N24" i="11"/>
  <c r="M113" i="5"/>
  <c r="N113" i="5" s="1"/>
  <c r="W27" i="3"/>
  <c r="X27" i="3" s="1"/>
  <c r="W27" i="13"/>
  <c r="X27" i="13" s="1"/>
  <c r="R28" i="7"/>
  <c r="G25" i="1" s="1"/>
  <c r="N23" i="4"/>
  <c r="W56" i="20"/>
  <c r="X56" i="20" s="1"/>
  <c r="M27" i="17"/>
  <c r="N27" i="17" s="1"/>
  <c r="Y27" i="18"/>
  <c r="Z27" i="18" s="1"/>
  <c r="P53" i="7"/>
  <c r="P54" i="7"/>
  <c r="P114" i="9"/>
  <c r="E36" i="1" s="1"/>
  <c r="W27" i="19"/>
  <c r="X27" i="19" s="1"/>
  <c r="Z23" i="7"/>
  <c r="V28" i="18"/>
  <c r="K69" i="1" s="1"/>
  <c r="V28" i="8"/>
  <c r="K29" i="1" s="1"/>
  <c r="R28" i="18"/>
  <c r="G69" i="1" s="1"/>
  <c r="P23" i="20"/>
  <c r="P53" i="17"/>
  <c r="P57" i="17" s="1"/>
  <c r="E66" i="1" s="1"/>
  <c r="M56" i="20"/>
  <c r="N56" i="20" s="1"/>
  <c r="X110" i="7"/>
  <c r="X114" i="7" s="1"/>
  <c r="M28" i="1" s="1"/>
  <c r="Z57" i="28"/>
  <c r="O110" i="1" s="1"/>
  <c r="T57" i="13"/>
  <c r="I50" i="1" s="1"/>
  <c r="P24" i="17"/>
  <c r="P28" i="17" s="1"/>
  <c r="E65" i="1" s="1"/>
  <c r="X53" i="18"/>
  <c r="N82" i="17"/>
  <c r="T57" i="9"/>
  <c r="I34" i="1" s="1"/>
  <c r="X54" i="18"/>
  <c r="X54" i="6"/>
  <c r="P52" i="2"/>
  <c r="Y113" i="2"/>
  <c r="Z113" i="2" s="1"/>
  <c r="X111" i="8"/>
  <c r="Y27" i="10"/>
  <c r="Z27" i="10" s="1"/>
  <c r="M84" i="14"/>
  <c r="N84" i="14" s="1"/>
  <c r="Z25" i="11"/>
  <c r="P53" i="2"/>
  <c r="P57" i="2" s="1"/>
  <c r="E6" i="1" s="1"/>
  <c r="Z111" i="8"/>
  <c r="Y56" i="17"/>
  <c r="Z56" i="17" s="1"/>
  <c r="X80" i="21"/>
  <c r="X81" i="3"/>
  <c r="X85" i="3" s="1"/>
  <c r="M11" i="1" s="1"/>
  <c r="V57" i="13"/>
  <c r="K50" i="1" s="1"/>
  <c r="Z111" i="19"/>
  <c r="X52" i="22"/>
  <c r="Z23" i="15"/>
  <c r="N110" i="19"/>
  <c r="T114" i="6"/>
  <c r="I24" i="1" s="1"/>
  <c r="R57" i="9"/>
  <c r="G34" i="1" s="1"/>
  <c r="P23" i="11"/>
  <c r="T85" i="13"/>
  <c r="I51" i="1" s="1"/>
  <c r="M113" i="2"/>
  <c r="N113" i="2" s="1"/>
  <c r="X24" i="10"/>
  <c r="T28" i="12"/>
  <c r="I45" i="1" s="1"/>
  <c r="Y27" i="13"/>
  <c r="Z27" i="13" s="1"/>
  <c r="P28" i="14"/>
  <c r="E53" i="1" s="1"/>
  <c r="T28" i="18"/>
  <c r="I69" i="1" s="1"/>
  <c r="Y113" i="13"/>
  <c r="Z113" i="13" s="1"/>
  <c r="P81" i="15"/>
  <c r="P85" i="15" s="1"/>
  <c r="E59" i="1" s="1"/>
  <c r="N110" i="20"/>
  <c r="N110" i="12"/>
  <c r="N114" i="12" s="1"/>
  <c r="C48" i="1" s="1"/>
  <c r="Z52" i="11"/>
  <c r="M56" i="17"/>
  <c r="N56" i="17" s="1"/>
  <c r="W84" i="9"/>
  <c r="X84" i="9" s="1"/>
  <c r="Z52" i="3"/>
  <c r="P85" i="31"/>
  <c r="E123" i="1" s="1"/>
  <c r="X111" i="9"/>
  <c r="X109" i="22"/>
  <c r="X57" i="30"/>
  <c r="M118" i="1" s="1"/>
  <c r="P52" i="14"/>
  <c r="N81" i="15"/>
  <c r="N85" i="15" s="1"/>
  <c r="C59" i="1" s="1"/>
  <c r="X52" i="29"/>
  <c r="N24" i="6"/>
  <c r="N81" i="13"/>
  <c r="Z110" i="8"/>
  <c r="Z81" i="8"/>
  <c r="Z24" i="6"/>
  <c r="N54" i="4"/>
  <c r="Z111" i="11"/>
  <c r="P110" i="17"/>
  <c r="P114" i="17" s="1"/>
  <c r="E68" i="1" s="1"/>
  <c r="M27" i="8"/>
  <c r="N27" i="8" s="1"/>
  <c r="Z54" i="6"/>
  <c r="X23" i="26"/>
  <c r="W27" i="17"/>
  <c r="X27" i="17" s="1"/>
  <c r="X24" i="21"/>
  <c r="R57" i="16"/>
  <c r="G62" i="1" s="1"/>
  <c r="M27" i="18"/>
  <c r="N27" i="18" s="1"/>
  <c r="W84" i="12"/>
  <c r="X84" i="12" s="1"/>
  <c r="N24" i="17"/>
  <c r="X24" i="13"/>
  <c r="T57" i="16"/>
  <c r="I62" i="1" s="1"/>
  <c r="X82" i="19"/>
  <c r="W56" i="14"/>
  <c r="X56" i="14" s="1"/>
  <c r="Y84" i="14"/>
  <c r="Z84" i="14" s="1"/>
  <c r="X53" i="12"/>
  <c r="Z25" i="7"/>
  <c r="Z28" i="7" s="1"/>
  <c r="O25" i="1" s="1"/>
  <c r="P53" i="4"/>
  <c r="P57" i="4" s="1"/>
  <c r="E14" i="1" s="1"/>
  <c r="Z53" i="4"/>
  <c r="V85" i="14"/>
  <c r="K55" i="1" s="1"/>
  <c r="R28" i="19"/>
  <c r="G73" i="1" s="1"/>
  <c r="X109" i="28"/>
  <c r="W84" i="14"/>
  <c r="X84" i="14" s="1"/>
  <c r="N53" i="12"/>
  <c r="P81" i="18"/>
  <c r="P85" i="18" s="1"/>
  <c r="E71" i="1" s="1"/>
  <c r="N110" i="2"/>
  <c r="W56" i="13"/>
  <c r="X56" i="13" s="1"/>
  <c r="P110" i="13"/>
  <c r="P114" i="13" s="1"/>
  <c r="E52" i="1" s="1"/>
  <c r="R57" i="19"/>
  <c r="G74" i="1" s="1"/>
  <c r="N111" i="6"/>
  <c r="Z23" i="4"/>
  <c r="R28" i="6"/>
  <c r="G21" i="1" s="1"/>
  <c r="Z80" i="18"/>
  <c r="N53" i="18"/>
  <c r="X81" i="19"/>
  <c r="V57" i="5"/>
  <c r="K18" i="1" s="1"/>
  <c r="M27" i="12"/>
  <c r="N27" i="12" s="1"/>
  <c r="Z52" i="20"/>
  <c r="P53" i="10"/>
  <c r="P57" i="10" s="1"/>
  <c r="E38" i="1" s="1"/>
  <c r="N25" i="7"/>
  <c r="Z23" i="11"/>
  <c r="P80" i="2"/>
  <c r="T28" i="17"/>
  <c r="I65" i="1" s="1"/>
  <c r="N111" i="15"/>
  <c r="W113" i="5"/>
  <c r="X113" i="5" s="1"/>
  <c r="W27" i="7"/>
  <c r="X27" i="7" s="1"/>
  <c r="X81" i="9"/>
  <c r="P80" i="13"/>
  <c r="P23" i="13"/>
  <c r="Z111" i="18"/>
  <c r="Z111" i="9"/>
  <c r="Z114" i="9" s="1"/>
  <c r="O36" i="1" s="1"/>
  <c r="Z111" i="2"/>
  <c r="X25" i="7"/>
  <c r="W56" i="17"/>
  <c r="X56" i="17" s="1"/>
  <c r="M84" i="11"/>
  <c r="N84" i="11" s="1"/>
  <c r="M84" i="8"/>
  <c r="N84" i="8" s="1"/>
  <c r="P24" i="2"/>
  <c r="P28" i="2" s="1"/>
  <c r="E5" i="1" s="1"/>
  <c r="R28" i="11"/>
  <c r="G41" i="1" s="1"/>
  <c r="Z24" i="12"/>
  <c r="M84" i="12"/>
  <c r="N84" i="12" s="1"/>
  <c r="P24" i="13"/>
  <c r="P28" i="13" s="1"/>
  <c r="E49" i="1" s="1"/>
  <c r="X111" i="11"/>
  <c r="P110" i="10"/>
  <c r="P114" i="10" s="1"/>
  <c r="E40" i="1" s="1"/>
  <c r="N53" i="20"/>
  <c r="O27" i="19"/>
  <c r="P27" i="19" s="1"/>
  <c r="Z82" i="6"/>
  <c r="T85" i="9"/>
  <c r="I35" i="1" s="1"/>
  <c r="N111" i="19"/>
  <c r="Y84" i="12"/>
  <c r="Z84" i="12" s="1"/>
  <c r="N23" i="21"/>
  <c r="N24" i="21"/>
  <c r="N28" i="21" s="1"/>
  <c r="C81" i="1" s="1"/>
  <c r="X110" i="20"/>
  <c r="X114" i="20" s="1"/>
  <c r="M80" i="1" s="1"/>
  <c r="M84" i="20"/>
  <c r="N84" i="20" s="1"/>
  <c r="Y84" i="20"/>
  <c r="Z84" i="20" s="1"/>
  <c r="W84" i="20"/>
  <c r="X84" i="20" s="1"/>
  <c r="X81" i="20"/>
  <c r="N81" i="20"/>
  <c r="Z23" i="21"/>
  <c r="Z24" i="21"/>
  <c r="Z28" i="21" s="1"/>
  <c r="O81" i="1" s="1"/>
  <c r="Z109" i="20"/>
  <c r="Z110" i="20"/>
  <c r="Z114" i="20" s="1"/>
  <c r="O80" i="1" s="1"/>
  <c r="Z80" i="20"/>
  <c r="Z81" i="20"/>
  <c r="Z53" i="20"/>
  <c r="N52" i="20"/>
  <c r="P52" i="20"/>
  <c r="X53" i="20"/>
  <c r="N109" i="20"/>
  <c r="N80" i="20"/>
  <c r="W27" i="20"/>
  <c r="X27" i="20" s="1"/>
  <c r="Y27" i="20"/>
  <c r="Z27" i="20" s="1"/>
  <c r="M27" i="20"/>
  <c r="N27" i="20" s="1"/>
  <c r="Z24" i="20"/>
  <c r="X24" i="20"/>
  <c r="N24" i="20"/>
  <c r="Z23" i="20"/>
  <c r="Z109" i="19"/>
  <c r="P110" i="19"/>
  <c r="P114" i="19" s="1"/>
  <c r="E76" i="1" s="1"/>
  <c r="X110" i="19"/>
  <c r="Z110" i="19"/>
  <c r="N81" i="19"/>
  <c r="N85" i="19" s="1"/>
  <c r="C75" i="1" s="1"/>
  <c r="P81" i="19"/>
  <c r="P85" i="19" s="1"/>
  <c r="E75" i="1" s="1"/>
  <c r="Z80" i="19"/>
  <c r="Z81" i="19"/>
  <c r="Z85" i="19" s="1"/>
  <c r="O75" i="1" s="1"/>
  <c r="N23" i="20"/>
  <c r="N109" i="19"/>
  <c r="P109" i="19"/>
  <c r="P80" i="19"/>
  <c r="N80" i="19"/>
  <c r="V57" i="19"/>
  <c r="K74" i="1" s="1"/>
  <c r="N52" i="19"/>
  <c r="N53" i="19"/>
  <c r="M56" i="19"/>
  <c r="N56" i="19" s="1"/>
  <c r="Z52" i="19"/>
  <c r="Y56" i="19"/>
  <c r="Z56" i="19" s="1"/>
  <c r="P53" i="19"/>
  <c r="P57" i="19" s="1"/>
  <c r="E74" i="1" s="1"/>
  <c r="Z53" i="19"/>
  <c r="T28" i="19"/>
  <c r="I73" i="1" s="1"/>
  <c r="V28" i="19"/>
  <c r="K73" i="1" s="1"/>
  <c r="X52" i="19"/>
  <c r="X53" i="19"/>
  <c r="X57" i="19" s="1"/>
  <c r="M74" i="1" s="1"/>
  <c r="M27" i="19"/>
  <c r="N27" i="19" s="1"/>
  <c r="Y27" i="19"/>
  <c r="Z27" i="19" s="1"/>
  <c r="P23" i="19"/>
  <c r="N24" i="19"/>
  <c r="X24" i="19"/>
  <c r="Z24" i="19"/>
  <c r="P24" i="19"/>
  <c r="Z23" i="19"/>
  <c r="X110" i="18"/>
  <c r="X114" i="18" s="1"/>
  <c r="M72" i="1" s="1"/>
  <c r="Z109" i="18"/>
  <c r="N110" i="18"/>
  <c r="Z110" i="18"/>
  <c r="N81" i="18"/>
  <c r="N85" i="18" s="1"/>
  <c r="C71" i="1" s="1"/>
  <c r="P80" i="18"/>
  <c r="X81" i="18"/>
  <c r="X85" i="18" s="1"/>
  <c r="M71" i="1" s="1"/>
  <c r="Z81" i="18"/>
  <c r="Z85" i="18" s="1"/>
  <c r="O71" i="1" s="1"/>
  <c r="Z54" i="18"/>
  <c r="Z82" i="17"/>
  <c r="R28" i="16"/>
  <c r="G61" i="1" s="1"/>
  <c r="N52" i="18"/>
  <c r="Z52" i="18"/>
  <c r="Z53" i="18"/>
  <c r="Z23" i="18"/>
  <c r="W27" i="18"/>
  <c r="X27" i="18" s="1"/>
  <c r="X24" i="18"/>
  <c r="Z24" i="18"/>
  <c r="N23" i="18"/>
  <c r="N24" i="18"/>
  <c r="X110" i="17"/>
  <c r="N110" i="17"/>
  <c r="N114" i="17" s="1"/>
  <c r="C68" i="1" s="1"/>
  <c r="Z109" i="17"/>
  <c r="Z110" i="17"/>
  <c r="Z114" i="17" s="1"/>
  <c r="O68" i="1" s="1"/>
  <c r="Z80" i="17"/>
  <c r="X81" i="17"/>
  <c r="X85" i="17" s="1"/>
  <c r="M67" i="1" s="1"/>
  <c r="N81" i="17"/>
  <c r="Z81" i="17"/>
  <c r="P81" i="17"/>
  <c r="P85" i="17" s="1"/>
  <c r="E67" i="1" s="1"/>
  <c r="N53" i="17"/>
  <c r="X53" i="17"/>
  <c r="Z52" i="17"/>
  <c r="Z53" i="17"/>
  <c r="Z23" i="17"/>
  <c r="X24" i="17"/>
  <c r="P23" i="17"/>
  <c r="Z24" i="17"/>
  <c r="Z28" i="17" s="1"/>
  <c r="O65" i="1" s="1"/>
  <c r="Y113" i="16"/>
  <c r="Z113" i="16" s="1"/>
  <c r="W113" i="16"/>
  <c r="X113" i="16" s="1"/>
  <c r="N110" i="16"/>
  <c r="N114" i="16" s="1"/>
  <c r="C64" i="1" s="1"/>
  <c r="X110" i="16"/>
  <c r="Z109" i="16"/>
  <c r="Z110" i="16"/>
  <c r="N81" i="16"/>
  <c r="N85" i="16" s="1"/>
  <c r="C63" i="1" s="1"/>
  <c r="X81" i="16"/>
  <c r="X85" i="16" s="1"/>
  <c r="M63" i="1" s="1"/>
  <c r="P81" i="16"/>
  <c r="P85" i="16" s="1"/>
  <c r="E63" i="1" s="1"/>
  <c r="Z80" i="16"/>
  <c r="Z81" i="16"/>
  <c r="Z85" i="16" s="1"/>
  <c r="O63" i="1" s="1"/>
  <c r="Z53" i="16"/>
  <c r="Z57" i="16" s="1"/>
  <c r="O62" i="1" s="1"/>
  <c r="P52" i="16"/>
  <c r="P53" i="16"/>
  <c r="P57" i="16" s="1"/>
  <c r="E62" i="1" s="1"/>
  <c r="X53" i="16"/>
  <c r="Z52" i="16"/>
  <c r="N53" i="16"/>
  <c r="N23" i="19"/>
  <c r="N109" i="18"/>
  <c r="N80" i="18"/>
  <c r="P57" i="18"/>
  <c r="E70" i="1" s="1"/>
  <c r="X52" i="18"/>
  <c r="X109" i="17"/>
  <c r="N109" i="17"/>
  <c r="N80" i="17"/>
  <c r="X80" i="17"/>
  <c r="P80" i="17"/>
  <c r="N52" i="17"/>
  <c r="N23" i="17"/>
  <c r="X23" i="17"/>
  <c r="N109" i="16"/>
  <c r="N80" i="16"/>
  <c r="N52" i="16"/>
  <c r="X52" i="16"/>
  <c r="M27" i="16"/>
  <c r="N27" i="16" s="1"/>
  <c r="W27" i="16"/>
  <c r="X27" i="16" s="1"/>
  <c r="N23" i="16"/>
  <c r="Y27" i="16"/>
  <c r="Z27" i="16" s="1"/>
  <c r="X24" i="16"/>
  <c r="N24" i="16"/>
  <c r="Z23" i="16"/>
  <c r="Z24" i="16"/>
  <c r="Z111" i="15"/>
  <c r="N110" i="15"/>
  <c r="Z109" i="15"/>
  <c r="Z110" i="15"/>
  <c r="X109" i="15"/>
  <c r="X110" i="15"/>
  <c r="X114" i="15" s="1"/>
  <c r="M60" i="1" s="1"/>
  <c r="P109" i="15"/>
  <c r="P110" i="15"/>
  <c r="P114" i="15" s="1"/>
  <c r="E60" i="1" s="1"/>
  <c r="X81" i="15"/>
  <c r="X85" i="15" s="1"/>
  <c r="M59" i="1" s="1"/>
  <c r="Z80" i="15"/>
  <c r="Z81" i="15"/>
  <c r="Z85" i="15" s="1"/>
  <c r="O59" i="1" s="1"/>
  <c r="X23" i="16"/>
  <c r="N109" i="15"/>
  <c r="P80" i="15"/>
  <c r="N80" i="15"/>
  <c r="V57" i="15"/>
  <c r="K58" i="1" s="1"/>
  <c r="N52" i="15"/>
  <c r="W56" i="15"/>
  <c r="X56" i="15" s="1"/>
  <c r="N53" i="15"/>
  <c r="T57" i="15"/>
  <c r="I58" i="1" s="1"/>
  <c r="M56" i="15"/>
  <c r="N56" i="15" s="1"/>
  <c r="Y56" i="15"/>
  <c r="Z56" i="15" s="1"/>
  <c r="T28" i="15"/>
  <c r="I57" i="1" s="1"/>
  <c r="M27" i="15"/>
  <c r="N27" i="15" s="1"/>
  <c r="V28" i="15"/>
  <c r="K57" i="1" s="1"/>
  <c r="R28" i="15"/>
  <c r="G57" i="1" s="1"/>
  <c r="P23" i="15"/>
  <c r="X53" i="15"/>
  <c r="X52" i="15"/>
  <c r="Z52" i="15"/>
  <c r="Z53" i="15"/>
  <c r="W27" i="15"/>
  <c r="X27" i="15" s="1"/>
  <c r="X24" i="15"/>
  <c r="N23" i="15"/>
  <c r="N24" i="15"/>
  <c r="N111" i="14"/>
  <c r="Z111" i="14"/>
  <c r="Z110" i="14"/>
  <c r="X110" i="14"/>
  <c r="N110" i="14"/>
  <c r="P110" i="14"/>
  <c r="P114" i="14" s="1"/>
  <c r="E56" i="1" s="1"/>
  <c r="Z109" i="14"/>
  <c r="R57" i="14"/>
  <c r="G54" i="1" s="1"/>
  <c r="T85" i="14"/>
  <c r="I55" i="1" s="1"/>
  <c r="Z53" i="14"/>
  <c r="M56" i="14"/>
  <c r="N56" i="14" s="1"/>
  <c r="T57" i="14"/>
  <c r="I54" i="1" s="1"/>
  <c r="P53" i="14"/>
  <c r="P57" i="14" s="1"/>
  <c r="E54" i="1" s="1"/>
  <c r="V57" i="14"/>
  <c r="K54" i="1" s="1"/>
  <c r="Z52" i="14"/>
  <c r="Y56" i="14"/>
  <c r="Z56" i="14" s="1"/>
  <c r="R28" i="14"/>
  <c r="G53" i="1" s="1"/>
  <c r="Z24" i="14"/>
  <c r="T28" i="14"/>
  <c r="I53" i="1" s="1"/>
  <c r="Y27" i="14"/>
  <c r="Z27" i="14" s="1"/>
  <c r="V28" i="14"/>
  <c r="K53" i="1" s="1"/>
  <c r="N23" i="14"/>
  <c r="W27" i="14"/>
  <c r="X27" i="14" s="1"/>
  <c r="N24" i="14"/>
  <c r="Z23" i="14"/>
  <c r="M27" i="14"/>
  <c r="N27" i="14" s="1"/>
  <c r="T114" i="13"/>
  <c r="I52" i="1" s="1"/>
  <c r="V114" i="13"/>
  <c r="K52" i="1" s="1"/>
  <c r="X81" i="14"/>
  <c r="Z80" i="14"/>
  <c r="Z81" i="14"/>
  <c r="P80" i="14"/>
  <c r="P81" i="14"/>
  <c r="P85" i="14" s="1"/>
  <c r="E55" i="1" s="1"/>
  <c r="N80" i="14"/>
  <c r="N81" i="14"/>
  <c r="X53" i="14"/>
  <c r="N52" i="14"/>
  <c r="N53" i="14"/>
  <c r="X23" i="14"/>
  <c r="X24" i="14"/>
  <c r="Z109" i="13"/>
  <c r="Z110" i="13"/>
  <c r="N110" i="13"/>
  <c r="X110" i="13"/>
  <c r="X114" i="13" s="1"/>
  <c r="M52" i="1" s="1"/>
  <c r="Z81" i="13"/>
  <c r="X81" i="13"/>
  <c r="X85" i="13" s="1"/>
  <c r="M51" i="1" s="1"/>
  <c r="Z80" i="13"/>
  <c r="Z53" i="13"/>
  <c r="Z57" i="13" s="1"/>
  <c r="O50" i="1" s="1"/>
  <c r="X53" i="13"/>
  <c r="N52" i="13"/>
  <c r="N53" i="13"/>
  <c r="Z52" i="13"/>
  <c r="N24" i="13"/>
  <c r="Z23" i="13"/>
  <c r="Z24" i="13"/>
  <c r="X110" i="12"/>
  <c r="X114" i="12" s="1"/>
  <c r="M48" i="1" s="1"/>
  <c r="Z109" i="12"/>
  <c r="Z110" i="12"/>
  <c r="Z114" i="12" s="1"/>
  <c r="O48" i="1" s="1"/>
  <c r="N81" i="12"/>
  <c r="X81" i="12"/>
  <c r="Z80" i="12"/>
  <c r="Z52" i="12"/>
  <c r="Z53" i="12"/>
  <c r="N109" i="13"/>
  <c r="N80" i="13"/>
  <c r="N23" i="13"/>
  <c r="N109" i="12"/>
  <c r="P80" i="12"/>
  <c r="N80" i="12"/>
  <c r="N52" i="12"/>
  <c r="W27" i="12"/>
  <c r="X27" i="12" s="1"/>
  <c r="Y27" i="12"/>
  <c r="Z27" i="12" s="1"/>
  <c r="V28" i="12"/>
  <c r="K45" i="1" s="1"/>
  <c r="V28" i="11"/>
  <c r="K41" i="1" s="1"/>
  <c r="Z23" i="12"/>
  <c r="P23" i="12"/>
  <c r="N24" i="12"/>
  <c r="X24" i="12"/>
  <c r="P24" i="12"/>
  <c r="P28" i="12" s="1"/>
  <c r="E45" i="1" s="1"/>
  <c r="N111" i="11"/>
  <c r="N110" i="11"/>
  <c r="X110" i="11"/>
  <c r="P110" i="11"/>
  <c r="P114" i="11" s="1"/>
  <c r="E44" i="1" s="1"/>
  <c r="Z109" i="11"/>
  <c r="Z110" i="11"/>
  <c r="Z81" i="11"/>
  <c r="Z85" i="11" s="1"/>
  <c r="O43" i="1" s="1"/>
  <c r="Z80" i="11"/>
  <c r="X81" i="11"/>
  <c r="N81" i="11"/>
  <c r="N23" i="12"/>
  <c r="N109" i="11"/>
  <c r="N80" i="11"/>
  <c r="Z53" i="11"/>
  <c r="Z57" i="11" s="1"/>
  <c r="O42" i="1" s="1"/>
  <c r="T28" i="11"/>
  <c r="I41" i="1" s="1"/>
  <c r="W27" i="11"/>
  <c r="X27" i="11" s="1"/>
  <c r="X25" i="11"/>
  <c r="Z24" i="11"/>
  <c r="N25" i="11"/>
  <c r="M27" i="11"/>
  <c r="N27" i="11" s="1"/>
  <c r="X24" i="11"/>
  <c r="N23" i="11"/>
  <c r="Z109" i="10"/>
  <c r="N110" i="10"/>
  <c r="N114" i="10" s="1"/>
  <c r="C40" i="1" s="1"/>
  <c r="X110" i="10"/>
  <c r="X114" i="10" s="1"/>
  <c r="M40" i="1" s="1"/>
  <c r="P109" i="10"/>
  <c r="Z110" i="10"/>
  <c r="Z114" i="10" s="1"/>
  <c r="O40" i="1" s="1"/>
  <c r="N109" i="10"/>
  <c r="P80" i="10"/>
  <c r="Z81" i="10"/>
  <c r="Z80" i="10"/>
  <c r="N80" i="10"/>
  <c r="P52" i="10"/>
  <c r="Z52" i="10"/>
  <c r="X53" i="11"/>
  <c r="X57" i="11" s="1"/>
  <c r="M42" i="1" s="1"/>
  <c r="P52" i="11"/>
  <c r="P53" i="11"/>
  <c r="P57" i="11" s="1"/>
  <c r="E42" i="1" s="1"/>
  <c r="N52" i="11"/>
  <c r="N53" i="11"/>
  <c r="N57" i="11" s="1"/>
  <c r="C42" i="1" s="1"/>
  <c r="P28" i="11"/>
  <c r="E41" i="1" s="1"/>
  <c r="X23" i="11"/>
  <c r="N24" i="10"/>
  <c r="N81" i="10"/>
  <c r="W27" i="10"/>
  <c r="X27" i="10" s="1"/>
  <c r="X81" i="10"/>
  <c r="Z53" i="10"/>
  <c r="Z57" i="10" s="1"/>
  <c r="O38" i="1" s="1"/>
  <c r="N53" i="10"/>
  <c r="X53" i="10"/>
  <c r="X57" i="10" s="1"/>
  <c r="M38" i="1" s="1"/>
  <c r="N52" i="10"/>
  <c r="M27" i="10"/>
  <c r="N27" i="10" s="1"/>
  <c r="X23" i="10"/>
  <c r="N111" i="9"/>
  <c r="X110" i="9"/>
  <c r="N110" i="9"/>
  <c r="X54" i="9"/>
  <c r="Z54" i="9"/>
  <c r="Z24" i="9"/>
  <c r="N81" i="9"/>
  <c r="N54" i="9"/>
  <c r="N53" i="9"/>
  <c r="X53" i="9"/>
  <c r="X24" i="9"/>
  <c r="N24" i="9"/>
  <c r="P24" i="9"/>
  <c r="P28" i="9" s="1"/>
  <c r="E33" i="1" s="1"/>
  <c r="Z23" i="9"/>
  <c r="N111" i="8"/>
  <c r="Z109" i="8"/>
  <c r="X110" i="8"/>
  <c r="N110" i="8"/>
  <c r="Y84" i="8"/>
  <c r="Z84" i="8" s="1"/>
  <c r="W84" i="8"/>
  <c r="X84" i="8" s="1"/>
  <c r="O84" i="8"/>
  <c r="P84" i="8" s="1"/>
  <c r="Z80" i="8"/>
  <c r="N81" i="8"/>
  <c r="X81" i="8"/>
  <c r="P81" i="8"/>
  <c r="N53" i="8"/>
  <c r="X53" i="8"/>
  <c r="X57" i="8" s="1"/>
  <c r="M30" i="1" s="1"/>
  <c r="P53" i="8"/>
  <c r="P57" i="8" s="1"/>
  <c r="E30" i="1" s="1"/>
  <c r="Z23" i="10"/>
  <c r="Z24" i="10"/>
  <c r="Z80" i="9"/>
  <c r="Z81" i="9"/>
  <c r="Z85" i="9" s="1"/>
  <c r="O35" i="1" s="1"/>
  <c r="N52" i="9"/>
  <c r="Z52" i="9"/>
  <c r="Z53" i="9"/>
  <c r="Z52" i="8"/>
  <c r="Z53" i="8"/>
  <c r="N23" i="10"/>
  <c r="N109" i="9"/>
  <c r="X80" i="9"/>
  <c r="N80" i="9"/>
  <c r="P23" i="9"/>
  <c r="X23" i="9"/>
  <c r="N23" i="9"/>
  <c r="N109" i="8"/>
  <c r="N80" i="8"/>
  <c r="N52" i="8"/>
  <c r="X52" i="8"/>
  <c r="P52" i="8"/>
  <c r="P23" i="8"/>
  <c r="N25" i="8"/>
  <c r="X25" i="8"/>
  <c r="W27" i="8"/>
  <c r="X27" i="8" s="1"/>
  <c r="Z23" i="8"/>
  <c r="X24" i="8"/>
  <c r="P24" i="8"/>
  <c r="P28" i="8" s="1"/>
  <c r="E29" i="1" s="1"/>
  <c r="N23" i="8"/>
  <c r="N24" i="8"/>
  <c r="Z109" i="7"/>
  <c r="Z110" i="7"/>
  <c r="Z114" i="7" s="1"/>
  <c r="O28" i="1" s="1"/>
  <c r="P109" i="7"/>
  <c r="P110" i="7"/>
  <c r="P114" i="7" s="1"/>
  <c r="E28" i="1" s="1"/>
  <c r="N109" i="7"/>
  <c r="N110" i="7"/>
  <c r="N114" i="7" s="1"/>
  <c r="C28" i="1" s="1"/>
  <c r="P81" i="7"/>
  <c r="P85" i="7" s="1"/>
  <c r="E27" i="1" s="1"/>
  <c r="N81" i="7"/>
  <c r="X81" i="7"/>
  <c r="Z80" i="7"/>
  <c r="Z81" i="7"/>
  <c r="Z54" i="7"/>
  <c r="N53" i="7"/>
  <c r="X54" i="7"/>
  <c r="N54" i="7"/>
  <c r="X53" i="7"/>
  <c r="Z52" i="7"/>
  <c r="Z53" i="7"/>
  <c r="X23" i="8"/>
  <c r="X109" i="7"/>
  <c r="P80" i="7"/>
  <c r="P52" i="7"/>
  <c r="N52" i="7"/>
  <c r="M27" i="7"/>
  <c r="N27" i="7" s="1"/>
  <c r="V28" i="7"/>
  <c r="K25" i="1" s="1"/>
  <c r="T28" i="7"/>
  <c r="I25" i="1" s="1"/>
  <c r="V114" i="6"/>
  <c r="K24" i="1" s="1"/>
  <c r="X111" i="6"/>
  <c r="Z111" i="6"/>
  <c r="N82" i="6"/>
  <c r="P82" i="6"/>
  <c r="X82" i="6"/>
  <c r="N54" i="6"/>
  <c r="N23" i="6"/>
  <c r="Y27" i="6"/>
  <c r="Z27" i="6" s="1"/>
  <c r="W27" i="6"/>
  <c r="X27" i="6" s="1"/>
  <c r="X24" i="7"/>
  <c r="N23" i="7"/>
  <c r="N24" i="7"/>
  <c r="Z109" i="6"/>
  <c r="Z110" i="6"/>
  <c r="N109" i="6"/>
  <c r="N110" i="6"/>
  <c r="M27" i="6"/>
  <c r="N27" i="6" s="1"/>
  <c r="V28" i="6"/>
  <c r="K21" i="1" s="1"/>
  <c r="Z23" i="6"/>
  <c r="Z111" i="5"/>
  <c r="X81" i="6"/>
  <c r="Z80" i="6"/>
  <c r="Z81" i="6"/>
  <c r="P80" i="6"/>
  <c r="P81" i="6"/>
  <c r="N80" i="6"/>
  <c r="N81" i="6"/>
  <c r="X53" i="6"/>
  <c r="Z52" i="6"/>
  <c r="Z53" i="6"/>
  <c r="N52" i="6"/>
  <c r="N53" i="6"/>
  <c r="X24" i="6"/>
  <c r="P23" i="6"/>
  <c r="P24" i="6"/>
  <c r="Y113" i="5"/>
  <c r="Z113" i="5" s="1"/>
  <c r="N110" i="5"/>
  <c r="Z109" i="5"/>
  <c r="Z110" i="5"/>
  <c r="T28" i="5"/>
  <c r="I17" i="1" s="1"/>
  <c r="N53" i="5"/>
  <c r="N109" i="5"/>
  <c r="N54" i="5"/>
  <c r="V28" i="5"/>
  <c r="K17" i="1" s="1"/>
  <c r="R28" i="5"/>
  <c r="G17" i="1" s="1"/>
  <c r="Z81" i="5"/>
  <c r="Z85" i="5" s="1"/>
  <c r="O19" i="1" s="1"/>
  <c r="N81" i="5"/>
  <c r="N85" i="5" s="1"/>
  <c r="C19" i="1" s="1"/>
  <c r="T57" i="5"/>
  <c r="I18" i="1" s="1"/>
  <c r="R57" i="5"/>
  <c r="G18" i="1" s="1"/>
  <c r="P85" i="5"/>
  <c r="E19" i="1" s="1"/>
  <c r="N80" i="5"/>
  <c r="Z80" i="5"/>
  <c r="P80" i="5"/>
  <c r="Y27" i="5"/>
  <c r="Z27" i="5" s="1"/>
  <c r="W27" i="5"/>
  <c r="X27" i="5" s="1"/>
  <c r="X24" i="5"/>
  <c r="X80" i="5"/>
  <c r="X81" i="5"/>
  <c r="X85" i="5" s="1"/>
  <c r="M19" i="1" s="1"/>
  <c r="Z54" i="5"/>
  <c r="Z52" i="5"/>
  <c r="N52" i="5"/>
  <c r="X53" i="5"/>
  <c r="X54" i="5"/>
  <c r="Z23" i="5"/>
  <c r="Z24" i="5"/>
  <c r="M27" i="5"/>
  <c r="N27" i="5" s="1"/>
  <c r="N110" i="4"/>
  <c r="Z110" i="4"/>
  <c r="Z114" i="4" s="1"/>
  <c r="O16" i="1" s="1"/>
  <c r="N23" i="5"/>
  <c r="P23" i="5"/>
  <c r="P24" i="5"/>
  <c r="P28" i="5" s="1"/>
  <c r="E17" i="1" s="1"/>
  <c r="N24" i="5"/>
  <c r="Z109" i="4"/>
  <c r="N109" i="4"/>
  <c r="X110" i="4"/>
  <c r="P110" i="4"/>
  <c r="P114" i="4" s="1"/>
  <c r="E16" i="1" s="1"/>
  <c r="Z80" i="4"/>
  <c r="X81" i="4"/>
  <c r="N81" i="4"/>
  <c r="Z52" i="4"/>
  <c r="N53" i="4"/>
  <c r="X53" i="4"/>
  <c r="P109" i="4"/>
  <c r="N80" i="4"/>
  <c r="N52" i="4"/>
  <c r="P52" i="4"/>
  <c r="N24" i="4"/>
  <c r="N28" i="4" s="1"/>
  <c r="C13" i="1" s="1"/>
  <c r="Z24" i="4"/>
  <c r="Z28" i="4" s="1"/>
  <c r="O13" i="1" s="1"/>
  <c r="X24" i="4"/>
  <c r="X28" i="4" s="1"/>
  <c r="M13" i="1" s="1"/>
  <c r="N110" i="3"/>
  <c r="N114" i="3" s="1"/>
  <c r="C12" i="1" s="1"/>
  <c r="X110" i="3"/>
  <c r="X114" i="3" s="1"/>
  <c r="M12" i="1" s="1"/>
  <c r="Z109" i="3"/>
  <c r="Z110" i="3"/>
  <c r="Z114" i="3" s="1"/>
  <c r="O12" i="1" s="1"/>
  <c r="N81" i="3"/>
  <c r="N85" i="3" s="1"/>
  <c r="C11" i="1" s="1"/>
  <c r="P80" i="3"/>
  <c r="P81" i="3"/>
  <c r="P85" i="3" s="1"/>
  <c r="E11" i="1" s="1"/>
  <c r="Z80" i="3"/>
  <c r="Z81" i="3"/>
  <c r="Z85" i="3" s="1"/>
  <c r="O11" i="1" s="1"/>
  <c r="N109" i="3"/>
  <c r="N80" i="3"/>
  <c r="P53" i="3"/>
  <c r="P57" i="3" s="1"/>
  <c r="E10" i="1" s="1"/>
  <c r="N52" i="3"/>
  <c r="N53" i="3"/>
  <c r="N57" i="3" s="1"/>
  <c r="C10" i="1" s="1"/>
  <c r="P52" i="3"/>
  <c r="Z53" i="3"/>
  <c r="Z57" i="3" s="1"/>
  <c r="O10" i="1" s="1"/>
  <c r="X53" i="3"/>
  <c r="X57" i="3" s="1"/>
  <c r="M10" i="1" s="1"/>
  <c r="N25" i="3"/>
  <c r="Z25" i="3"/>
  <c r="X25" i="3"/>
  <c r="M27" i="3"/>
  <c r="N27" i="3" s="1"/>
  <c r="Z23" i="3"/>
  <c r="N23" i="3"/>
  <c r="N24" i="3"/>
  <c r="T114" i="2"/>
  <c r="I8" i="1" s="1"/>
  <c r="N111" i="2"/>
  <c r="Z109" i="2"/>
  <c r="Z110" i="2"/>
  <c r="X111" i="2"/>
  <c r="N109" i="2"/>
  <c r="N81" i="2"/>
  <c r="N85" i="2" s="1"/>
  <c r="C7" i="1" s="1"/>
  <c r="N80" i="2"/>
  <c r="X24" i="3"/>
  <c r="X110" i="2"/>
  <c r="X80" i="2"/>
  <c r="X81" i="2"/>
  <c r="X85" i="2" s="1"/>
  <c r="M7" i="1" s="1"/>
  <c r="P85" i="2"/>
  <c r="E7" i="1" s="1"/>
  <c r="Z80" i="2"/>
  <c r="Z81" i="2"/>
  <c r="Z85" i="2" s="1"/>
  <c r="O7" i="1" s="1"/>
  <c r="Z52" i="2"/>
  <c r="Z53" i="2"/>
  <c r="Z57" i="2" s="1"/>
  <c r="O6" i="1" s="1"/>
  <c r="N53" i="2"/>
  <c r="N57" i="2" s="1"/>
  <c r="C6" i="1" s="1"/>
  <c r="X53" i="2"/>
  <c r="X57" i="2" s="1"/>
  <c r="M6" i="1" s="1"/>
  <c r="N52" i="2"/>
  <c r="X24" i="2"/>
  <c r="X28" i="2" s="1"/>
  <c r="M5" i="1" s="1"/>
  <c r="N24" i="2"/>
  <c r="N28" i="2" s="1"/>
  <c r="C5" i="1" s="1"/>
  <c r="Z23" i="2"/>
  <c r="Z24" i="2"/>
  <c r="Z28" i="2" s="1"/>
  <c r="O5" i="1" s="1"/>
  <c r="X23" i="2"/>
  <c r="N23" i="2"/>
  <c r="X23" i="19"/>
  <c r="X52" i="21"/>
  <c r="X52" i="2"/>
  <c r="X109" i="27"/>
  <c r="X109" i="5"/>
  <c r="X80" i="7"/>
  <c r="X109" i="19"/>
  <c r="X109" i="31"/>
  <c r="X52" i="6"/>
  <c r="X80" i="14"/>
  <c r="X23" i="29"/>
  <c r="X52" i="25"/>
  <c r="X109" i="29"/>
  <c r="X23" i="18"/>
  <c r="X80" i="20"/>
  <c r="X52" i="30"/>
  <c r="X52" i="24"/>
  <c r="X52" i="20"/>
  <c r="P57" i="13"/>
  <c r="E50" i="1" s="1"/>
  <c r="X109" i="20"/>
  <c r="P28" i="15"/>
  <c r="E57" i="1" s="1"/>
  <c r="X109" i="16"/>
  <c r="X23" i="24"/>
  <c r="X23" i="6"/>
  <c r="X80" i="3"/>
  <c r="X109" i="4"/>
  <c r="X80" i="8"/>
  <c r="X80" i="11"/>
  <c r="X23" i="13"/>
  <c r="P28" i="30"/>
  <c r="E117" i="1" s="1"/>
  <c r="X80" i="31"/>
  <c r="X52" i="12"/>
  <c r="X23" i="25"/>
  <c r="Z57" i="31"/>
  <c r="O122" i="1" s="1"/>
  <c r="X52" i="17"/>
  <c r="P57" i="21"/>
  <c r="E82" i="1" s="1"/>
  <c r="X80" i="23"/>
  <c r="X80" i="26"/>
  <c r="X80" i="27"/>
  <c r="X23" i="3"/>
  <c r="X23" i="31"/>
  <c r="X52" i="5"/>
  <c r="X52" i="10"/>
  <c r="X80" i="13"/>
  <c r="X80" i="19"/>
  <c r="X109" i="21"/>
  <c r="X109" i="10"/>
  <c r="X109" i="23"/>
  <c r="X23" i="21"/>
  <c r="X52" i="31"/>
  <c r="X109" i="30"/>
  <c r="X80" i="30"/>
  <c r="X23" i="30"/>
  <c r="N23" i="29"/>
  <c r="X80" i="29"/>
  <c r="X52" i="28"/>
  <c r="X80" i="28"/>
  <c r="P52" i="28"/>
  <c r="X23" i="28"/>
  <c r="X52" i="27"/>
  <c r="X23" i="27"/>
  <c r="X109" i="26"/>
  <c r="X109" i="25"/>
  <c r="X80" i="25"/>
  <c r="X109" i="24"/>
  <c r="X80" i="24"/>
  <c r="X80" i="22"/>
  <c r="X23" i="22"/>
  <c r="X23" i="20"/>
  <c r="X109" i="18"/>
  <c r="X80" i="18"/>
  <c r="X80" i="16"/>
  <c r="X23" i="15"/>
  <c r="X80" i="15"/>
  <c r="X52" i="14"/>
  <c r="X109" i="14"/>
  <c r="N109" i="14"/>
  <c r="X52" i="13"/>
  <c r="X109" i="13"/>
  <c r="X80" i="12"/>
  <c r="X23" i="12"/>
  <c r="X109" i="12"/>
  <c r="X109" i="11"/>
  <c r="X52" i="11"/>
  <c r="X80" i="10"/>
  <c r="X109" i="9"/>
  <c r="X52" i="9"/>
  <c r="X109" i="8"/>
  <c r="X52" i="7"/>
  <c r="N80" i="7"/>
  <c r="X23" i="7"/>
  <c r="X109" i="6"/>
  <c r="X80" i="6"/>
  <c r="X23" i="5"/>
  <c r="X23" i="4"/>
  <c r="X80" i="4"/>
  <c r="X52" i="4"/>
  <c r="X52" i="3"/>
  <c r="X109" i="3"/>
  <c r="X109" i="2"/>
  <c r="N57" i="21" l="1"/>
  <c r="C82" i="1" s="1"/>
  <c r="N114" i="30"/>
  <c r="C120" i="1" s="1"/>
  <c r="X57" i="31"/>
  <c r="M122" i="1" s="1"/>
  <c r="N114" i="29"/>
  <c r="C116" i="1" s="1"/>
  <c r="X114" i="29"/>
  <c r="M116" i="1" s="1"/>
  <c r="N114" i="28"/>
  <c r="C112" i="1" s="1"/>
  <c r="N85" i="28"/>
  <c r="C111" i="1" s="1"/>
  <c r="X28" i="28"/>
  <c r="M109" i="1" s="1"/>
  <c r="X114" i="27"/>
  <c r="M108" i="1" s="1"/>
  <c r="X114" i="24"/>
  <c r="M96" i="1" s="1"/>
  <c r="N85" i="23"/>
  <c r="C91" i="1" s="1"/>
  <c r="N114" i="24"/>
  <c r="C96" i="1" s="1"/>
  <c r="Z57" i="25"/>
  <c r="O98" i="1" s="1"/>
  <c r="N57" i="25"/>
  <c r="C98" i="1" s="1"/>
  <c r="X57" i="27"/>
  <c r="M106" i="1" s="1"/>
  <c r="X28" i="26"/>
  <c r="M101" i="1" s="1"/>
  <c r="Z28" i="26"/>
  <c r="O101" i="1" s="1"/>
  <c r="N85" i="26"/>
  <c r="C103" i="1" s="1"/>
  <c r="P85" i="25"/>
  <c r="E99" i="1" s="1"/>
  <c r="N28" i="25"/>
  <c r="C97" i="1" s="1"/>
  <c r="X85" i="22"/>
  <c r="M87" i="1" s="1"/>
  <c r="P57" i="22"/>
  <c r="E86" i="1" s="1"/>
  <c r="X57" i="23"/>
  <c r="M90" i="1" s="1"/>
  <c r="N114" i="20"/>
  <c r="C80" i="1" s="1"/>
  <c r="X28" i="21"/>
  <c r="M81" i="1" s="1"/>
  <c r="X57" i="20"/>
  <c r="M78" i="1" s="1"/>
  <c r="N85" i="7"/>
  <c r="C27" i="1" s="1"/>
  <c r="Z28" i="9"/>
  <c r="O33" i="1" s="1"/>
  <c r="X85" i="7"/>
  <c r="M27" i="1" s="1"/>
  <c r="Z57" i="4"/>
  <c r="O14" i="1" s="1"/>
  <c r="P57" i="5"/>
  <c r="E18" i="1" s="1"/>
  <c r="Z57" i="5"/>
  <c r="O18" i="1" s="1"/>
  <c r="X28" i="29"/>
  <c r="M113" i="1" s="1"/>
  <c r="N28" i="29"/>
  <c r="C113" i="1" s="1"/>
  <c r="N85" i="31"/>
  <c r="C123" i="1" s="1"/>
  <c r="N57" i="31"/>
  <c r="C122" i="1" s="1"/>
  <c r="X28" i="31"/>
  <c r="M121" i="1" s="1"/>
  <c r="X57" i="29"/>
  <c r="M114" i="1" s="1"/>
  <c r="N57" i="29"/>
  <c r="C114" i="1" s="1"/>
  <c r="X85" i="27"/>
  <c r="M107" i="1" s="1"/>
  <c r="X114" i="22"/>
  <c r="M88" i="1" s="1"/>
  <c r="N114" i="22"/>
  <c r="C88" i="1" s="1"/>
  <c r="X28" i="22"/>
  <c r="M85" i="1" s="1"/>
  <c r="N85" i="21"/>
  <c r="C83" i="1" s="1"/>
  <c r="N114" i="19"/>
  <c r="C76" i="1" s="1"/>
  <c r="X28" i="19"/>
  <c r="M73" i="1" s="1"/>
  <c r="N114" i="18"/>
  <c r="C72" i="1" s="1"/>
  <c r="N114" i="11"/>
  <c r="C44" i="1" s="1"/>
  <c r="X85" i="10"/>
  <c r="M39" i="1" s="1"/>
  <c r="N85" i="10"/>
  <c r="C39" i="1" s="1"/>
  <c r="N57" i="10"/>
  <c r="C38" i="1" s="1"/>
  <c r="X28" i="9"/>
  <c r="M33" i="1" s="1"/>
  <c r="X114" i="8"/>
  <c r="M32" i="1" s="1"/>
  <c r="N57" i="8"/>
  <c r="C30" i="1" s="1"/>
  <c r="N28" i="7"/>
  <c r="C25" i="1" s="1"/>
  <c r="X114" i="4"/>
  <c r="M16" i="1" s="1"/>
  <c r="X57" i="4"/>
  <c r="M14" i="1" s="1"/>
  <c r="Z57" i="29"/>
  <c r="O114" i="1" s="1"/>
  <c r="P28" i="6"/>
  <c r="E21" i="1" s="1"/>
  <c r="N28" i="27"/>
  <c r="C105" i="1" s="1"/>
  <c r="Z85" i="26"/>
  <c r="O103" i="1" s="1"/>
  <c r="N28" i="26"/>
  <c r="C101" i="1" s="1"/>
  <c r="N114" i="26"/>
  <c r="C104" i="1" s="1"/>
  <c r="X114" i="26"/>
  <c r="M104" i="1" s="1"/>
  <c r="N85" i="25"/>
  <c r="C99" i="1" s="1"/>
  <c r="X85" i="25"/>
  <c r="M99" i="1" s="1"/>
  <c r="X28" i="25"/>
  <c r="M97" i="1" s="1"/>
  <c r="Z85" i="23"/>
  <c r="O91" i="1" s="1"/>
  <c r="N28" i="22"/>
  <c r="C85" i="1" s="1"/>
  <c r="Z57" i="22"/>
  <c r="O86" i="1" s="1"/>
  <c r="Z114" i="21"/>
  <c r="O84" i="1" s="1"/>
  <c r="Z85" i="21"/>
  <c r="O83" i="1" s="1"/>
  <c r="X57" i="21"/>
  <c r="M82" i="1" s="1"/>
  <c r="Z57" i="20"/>
  <c r="O78" i="1" s="1"/>
  <c r="N57" i="20"/>
  <c r="C78" i="1" s="1"/>
  <c r="N28" i="18"/>
  <c r="C69" i="1" s="1"/>
  <c r="X114" i="16"/>
  <c r="M64" i="1" s="1"/>
  <c r="X57" i="16"/>
  <c r="M62" i="1" s="1"/>
  <c r="N57" i="16"/>
  <c r="C62" i="1" s="1"/>
  <c r="X114" i="14"/>
  <c r="M56" i="1" s="1"/>
  <c r="N85" i="14"/>
  <c r="C55" i="1" s="1"/>
  <c r="Z57" i="14"/>
  <c r="O54" i="1" s="1"/>
  <c r="Z57" i="12"/>
  <c r="O46" i="1" s="1"/>
  <c r="Z114" i="13"/>
  <c r="O52" i="1" s="1"/>
  <c r="Z85" i="13"/>
  <c r="O51" i="1" s="1"/>
  <c r="N57" i="13"/>
  <c r="C50" i="1" s="1"/>
  <c r="X57" i="13"/>
  <c r="M50" i="1" s="1"/>
  <c r="X28" i="13"/>
  <c r="M49" i="1" s="1"/>
  <c r="N57" i="12"/>
  <c r="C46" i="1" s="1"/>
  <c r="Z85" i="12"/>
  <c r="O47" i="1" s="1"/>
  <c r="X85" i="12"/>
  <c r="M47" i="1" s="1"/>
  <c r="X57" i="12"/>
  <c r="M46" i="1" s="1"/>
  <c r="Z114" i="11"/>
  <c r="O44" i="1" s="1"/>
  <c r="X85" i="11"/>
  <c r="M43" i="1" s="1"/>
  <c r="Z85" i="10"/>
  <c r="O39" i="1" s="1"/>
  <c r="Z28" i="10"/>
  <c r="O37" i="1" s="1"/>
  <c r="N85" i="9"/>
  <c r="C35" i="1" s="1"/>
  <c r="Z114" i="8"/>
  <c r="O32" i="1" s="1"/>
  <c r="X114" i="9"/>
  <c r="M36" i="1" s="1"/>
  <c r="N28" i="9"/>
  <c r="C33" i="1" s="1"/>
  <c r="Z57" i="8"/>
  <c r="O30" i="1" s="1"/>
  <c r="Z85" i="7"/>
  <c r="O27" i="1" s="1"/>
  <c r="P57" i="7"/>
  <c r="E26" i="1" s="1"/>
  <c r="X28" i="7"/>
  <c r="M25" i="1" s="1"/>
  <c r="X114" i="6"/>
  <c r="M24" i="1" s="1"/>
  <c r="X114" i="5"/>
  <c r="M20" i="1" s="1"/>
  <c r="N114" i="5"/>
  <c r="C20" i="1" s="1"/>
  <c r="Z28" i="5"/>
  <c r="O17" i="1" s="1"/>
  <c r="N114" i="4"/>
  <c r="C16" i="1" s="1"/>
  <c r="X85" i="4"/>
  <c r="M15" i="1" s="1"/>
  <c r="N85" i="4"/>
  <c r="C15" i="1" s="1"/>
  <c r="N57" i="4"/>
  <c r="C14" i="1" s="1"/>
  <c r="Z28" i="3"/>
  <c r="O9" i="1" s="1"/>
  <c r="G2" i="1"/>
  <c r="N57" i="14"/>
  <c r="C54" i="1" s="1"/>
  <c r="N57" i="26"/>
  <c r="C102" i="1" s="1"/>
  <c r="X57" i="26"/>
  <c r="M102" i="1" s="1"/>
  <c r="N28" i="17"/>
  <c r="C65" i="1" s="1"/>
  <c r="N114" i="2"/>
  <c r="C8" i="1" s="1"/>
  <c r="N57" i="9"/>
  <c r="C34" i="1" s="1"/>
  <c r="Z28" i="22"/>
  <c r="O85" i="1" s="1"/>
  <c r="N57" i="27"/>
  <c r="C106" i="1" s="1"/>
  <c r="Z28" i="12"/>
  <c r="O45" i="1" s="1"/>
  <c r="N114" i="13"/>
  <c r="C52" i="1" s="1"/>
  <c r="Z28" i="25"/>
  <c r="O97" i="1" s="1"/>
  <c r="Z28" i="18"/>
  <c r="O69" i="1" s="1"/>
  <c r="Z57" i="17"/>
  <c r="O66" i="1" s="1"/>
  <c r="X114" i="17"/>
  <c r="M68" i="1" s="1"/>
  <c r="N28" i="23"/>
  <c r="C89" i="1" s="1"/>
  <c r="N85" i="17"/>
  <c r="C67" i="1" s="1"/>
  <c r="X57" i="15"/>
  <c r="M58" i="1" s="1"/>
  <c r="Z57" i="18"/>
  <c r="O70" i="1" s="1"/>
  <c r="N114" i="8"/>
  <c r="C32" i="1" s="1"/>
  <c r="X57" i="22"/>
  <c r="M86" i="1" s="1"/>
  <c r="Z28" i="23"/>
  <c r="O89" i="1" s="1"/>
  <c r="N28" i="10"/>
  <c r="C37" i="1" s="1"/>
  <c r="N57" i="22"/>
  <c r="C86" i="1" s="1"/>
  <c r="Z85" i="17"/>
  <c r="O67" i="1" s="1"/>
  <c r="X114" i="19"/>
  <c r="M76" i="1" s="1"/>
  <c r="N28" i="11"/>
  <c r="C41" i="1" s="1"/>
  <c r="X28" i="10"/>
  <c r="M37" i="1" s="1"/>
  <c r="Z114" i="2"/>
  <c r="O8" i="1" s="1"/>
  <c r="Z57" i="6"/>
  <c r="O22" i="1" s="1"/>
  <c r="X114" i="11"/>
  <c r="M44" i="1" s="1"/>
  <c r="X57" i="6"/>
  <c r="M22" i="1" s="1"/>
  <c r="N28" i="13"/>
  <c r="C49" i="1" s="1"/>
  <c r="X28" i="15"/>
  <c r="M57" i="1" s="1"/>
  <c r="N114" i="9"/>
  <c r="C36" i="1" s="1"/>
  <c r="X57" i="17"/>
  <c r="M66" i="1" s="1"/>
  <c r="X85" i="20"/>
  <c r="M79" i="1" s="1"/>
  <c r="P28" i="19"/>
  <c r="E73" i="1" s="1"/>
  <c r="N28" i="16"/>
  <c r="C61" i="1" s="1"/>
  <c r="X28" i="16"/>
  <c r="M61" i="1" s="1"/>
  <c r="Z28" i="11"/>
  <c r="O41" i="1" s="1"/>
  <c r="Z85" i="8"/>
  <c r="O31" i="1" s="1"/>
  <c r="Z114" i="5"/>
  <c r="O20" i="1" s="1"/>
  <c r="N85" i="13"/>
  <c r="C51" i="1" s="1"/>
  <c r="Z28" i="6"/>
  <c r="O21" i="1" s="1"/>
  <c r="N85" i="11"/>
  <c r="C43" i="1" s="1"/>
  <c r="X57" i="18"/>
  <c r="M70" i="1" s="1"/>
  <c r="N57" i="6"/>
  <c r="C22" i="1" s="1"/>
  <c r="N57" i="18"/>
  <c r="C70" i="1" s="1"/>
  <c r="X85" i="14"/>
  <c r="M55" i="1" s="1"/>
  <c r="N114" i="14"/>
  <c r="C56" i="1" s="1"/>
  <c r="N57" i="7"/>
  <c r="C26" i="1" s="1"/>
  <c r="Z28" i="19"/>
  <c r="O73" i="1" s="1"/>
  <c r="X28" i="11"/>
  <c r="M41" i="1" s="1"/>
  <c r="N57" i="15"/>
  <c r="C58" i="1" s="1"/>
  <c r="N28" i="3"/>
  <c r="C9" i="1" s="1"/>
  <c r="X28" i="20"/>
  <c r="M77" i="1" s="1"/>
  <c r="Z57" i="19"/>
  <c r="O74" i="1" s="1"/>
  <c r="N57" i="19"/>
  <c r="C74" i="1" s="1"/>
  <c r="X85" i="19"/>
  <c r="M75" i="1" s="1"/>
  <c r="N28" i="15"/>
  <c r="C57" i="1" s="1"/>
  <c r="X28" i="12"/>
  <c r="M45" i="1" s="1"/>
  <c r="X28" i="8"/>
  <c r="M29" i="1" s="1"/>
  <c r="N28" i="12"/>
  <c r="C45" i="1" s="1"/>
  <c r="Z57" i="15"/>
  <c r="O58" i="1" s="1"/>
  <c r="Z114" i="18"/>
  <c r="O72" i="1" s="1"/>
  <c r="Z57" i="7"/>
  <c r="O26" i="1" s="1"/>
  <c r="N114" i="15"/>
  <c r="C60" i="1" s="1"/>
  <c r="N57" i="5"/>
  <c r="C18" i="1" s="1"/>
  <c r="Z114" i="6"/>
  <c r="O24" i="1" s="1"/>
  <c r="X85" i="8"/>
  <c r="M31" i="1" s="1"/>
  <c r="X57" i="7"/>
  <c r="M26" i="1" s="1"/>
  <c r="N85" i="8"/>
  <c r="C31" i="1" s="1"/>
  <c r="Z28" i="16"/>
  <c r="O61" i="1" s="1"/>
  <c r="Z28" i="13"/>
  <c r="O49" i="1" s="1"/>
  <c r="X28" i="17"/>
  <c r="M65" i="1" s="1"/>
  <c r="Z114" i="15"/>
  <c r="O60" i="1" s="1"/>
  <c r="N57" i="17"/>
  <c r="C66" i="1" s="1"/>
  <c r="X28" i="14"/>
  <c r="M53" i="1" s="1"/>
  <c r="Z85" i="6"/>
  <c r="O23" i="1" s="1"/>
  <c r="N28" i="19"/>
  <c r="C73" i="1" s="1"/>
  <c r="Z114" i="19"/>
  <c r="O76" i="1" s="1"/>
  <c r="X85" i="6"/>
  <c r="M23" i="1" s="1"/>
  <c r="X57" i="14"/>
  <c r="M54" i="1" s="1"/>
  <c r="N85" i="20"/>
  <c r="C79" i="1" s="1"/>
  <c r="X85" i="9"/>
  <c r="M35" i="1" s="1"/>
  <c r="X57" i="9"/>
  <c r="M34" i="1" s="1"/>
  <c r="N85" i="6"/>
  <c r="C23" i="1" s="1"/>
  <c r="Z57" i="9"/>
  <c r="O34" i="1" s="1"/>
  <c r="N28" i="20"/>
  <c r="C77" i="1" s="1"/>
  <c r="N28" i="5"/>
  <c r="C17" i="1" s="1"/>
  <c r="N28" i="6"/>
  <c r="C21" i="1" s="1"/>
  <c r="X28" i="3"/>
  <c r="M9" i="1" s="1"/>
  <c r="N114" i="6"/>
  <c r="C24" i="1" s="1"/>
  <c r="N85" i="12"/>
  <c r="C47" i="1" s="1"/>
  <c r="Z85" i="14"/>
  <c r="O55" i="1" s="1"/>
  <c r="Z114" i="16"/>
  <c r="O64" i="1" s="1"/>
  <c r="X28" i="18"/>
  <c r="M69" i="1" s="1"/>
  <c r="Z28" i="20"/>
  <c r="O77" i="1" s="1"/>
  <c r="Z114" i="14"/>
  <c r="O56" i="1" s="1"/>
  <c r="Z85" i="20"/>
  <c r="O79" i="1" s="1"/>
  <c r="N28" i="14"/>
  <c r="C53" i="1" s="1"/>
  <c r="Z28" i="14"/>
  <c r="O53" i="1" s="1"/>
  <c r="P85" i="8"/>
  <c r="E31" i="1" s="1"/>
  <c r="N28" i="8"/>
  <c r="C29" i="1" s="1"/>
  <c r="P85" i="6"/>
  <c r="E23" i="1" s="1"/>
  <c r="X28" i="6"/>
  <c r="M21" i="1" s="1"/>
  <c r="K2" i="1"/>
  <c r="I2" i="1"/>
  <c r="X28" i="5"/>
  <c r="M17" i="1" s="1"/>
  <c r="X57" i="5"/>
  <c r="M18" i="1" s="1"/>
  <c r="X114" i="2"/>
  <c r="M8" i="1" s="1"/>
  <c r="E2" i="1" l="1"/>
  <c r="C2" i="1"/>
  <c r="O2" i="1"/>
  <c r="M2" i="1"/>
</calcChain>
</file>

<file path=xl/sharedStrings.xml><?xml version="1.0" encoding="utf-8"?>
<sst xmlns="http://schemas.openxmlformats.org/spreadsheetml/2006/main" count="9905" uniqueCount="912">
  <si>
    <t>unsur</t>
  </si>
  <si>
    <t>A. Arah angin</t>
  </si>
  <si>
    <t>B. Kecepatan Angin</t>
  </si>
  <si>
    <t>B.2 GUSTY</t>
  </si>
  <si>
    <t>C. Jarak Pandang</t>
  </si>
  <si>
    <t>D. Endapan</t>
  </si>
  <si>
    <t>E. Jumlah Awan</t>
  </si>
  <si>
    <t>F. Ketinggian Awan</t>
  </si>
  <si>
    <t>rata2 1 bulan</t>
  </si>
  <si>
    <t>tanggal/taf</t>
  </si>
  <si>
    <t>jam taf</t>
  </si>
  <si>
    <t>00</t>
  </si>
  <si>
    <t>06</t>
  </si>
  <si>
    <t>12</t>
  </si>
  <si>
    <t>18</t>
  </si>
  <si>
    <t xml:space="preserve">            ( SEMUA WAKTU DALAM UTC )</t>
  </si>
  <si>
    <t>MID(M20;(FIND("KT";M20)+3);4)</t>
  </si>
  <si>
    <t xml:space="preserve">Tanggal </t>
  </si>
  <si>
    <t>Jangka waktu</t>
  </si>
  <si>
    <t>Prakiraan :</t>
  </si>
  <si>
    <t>KENYATAAN (METAR DAN SPECI):</t>
  </si>
  <si>
    <t>Change Group</t>
  </si>
  <si>
    <t>Change Group Time (UTC)</t>
  </si>
  <si>
    <t>A</t>
  </si>
  <si>
    <t>B1</t>
  </si>
  <si>
    <t>B2</t>
  </si>
  <si>
    <t>C</t>
  </si>
  <si>
    <t>D</t>
  </si>
  <si>
    <t>E</t>
  </si>
  <si>
    <t>F</t>
  </si>
  <si>
    <t>DATA METAR</t>
  </si>
  <si>
    <t>H</t>
  </si>
  <si>
    <t>12 JAM</t>
  </si>
  <si>
    <t>UMUM</t>
  </si>
  <si>
    <t>BECMG</t>
  </si>
  <si>
    <t>jam tempo</t>
  </si>
  <si>
    <t>tempo benar</t>
  </si>
  <si>
    <t>TEMPO 1</t>
  </si>
  <si>
    <t>hasil verifikasi</t>
  </si>
  <si>
    <t>GENERAL</t>
  </si>
  <si>
    <t>TEMPO</t>
  </si>
  <si>
    <t>TAHUN : 2026</t>
  </si>
  <si>
    <t xml:space="preserve">    STASIUN METEOROLOGI KELAS III TANAH MERAH</t>
  </si>
  <si>
    <t>METAR WAKT 010000Z 35004KT 5000 -DZ FEW008CB BKN009 25/24 Q1013=</t>
  </si>
  <si>
    <t>METAR WAKT 010100Z 33004KT 6000 FEW009CB BKN009 25/24 Q1013 REDZ NOSIG=</t>
  </si>
  <si>
    <t>METAR WAKT 010200Z 30003KT 7000 BKN009 26/24 Q1012 NOSIG=</t>
  </si>
  <si>
    <t>METAR WAKT 010300Z 33005KT 8000 BKN009 28/25 Q1011 NOSIG=</t>
  </si>
  <si>
    <t>METAR WAKT 010400Z 32004KT 8000 BKN009 30/25 Q1009 NOSIG=</t>
  </si>
  <si>
    <t>METAR WAKT 010500Z 31003KT 8000 BKN009 31/25 Q1009 NOSIG=</t>
  </si>
  <si>
    <t xml:space="preserve">TAF WAKT 312300Z 0100/0200 28005KT 7000 FEW008CB BKN009 TEMPO 0101/0104 4000 RA BECMG 0104/0105 8000 NSW SCT009= </t>
  </si>
  <si>
    <t xml:space="preserve">TAF WAKT 010500Z 0106/0206 24003KT 8000 SCT009= </t>
  </si>
  <si>
    <t>FEW</t>
  </si>
  <si>
    <t>RA</t>
  </si>
  <si>
    <t>SCT</t>
  </si>
  <si>
    <t xml:space="preserve">METAR WAKT 010600Z 22002KT 8000 BKN009 31/25 Q1008 NOSIG= </t>
  </si>
  <si>
    <t>METAR WAKT 010700Z 24003KT 8000 SCT009 31/25 Q1008 NOSIG=</t>
  </si>
  <si>
    <t xml:space="preserve">TAF WAKT 011100Z 0112/0212 00000KT 8000 SCT009= </t>
  </si>
  <si>
    <t xml:space="preserve">TAF WAKT 011700Z 0118/0218 30003KT 8000 BKN009= </t>
  </si>
  <si>
    <t>BKN</t>
  </si>
  <si>
    <t xml:space="preserve">TAF WAKT 012300Z 0200/0300 33002KT 8000 FEW008CB BKN009 PROB40 TEMPO 0208/0211 4000 RA= </t>
  </si>
  <si>
    <t xml:space="preserve">METAR WAKT 010800Z 21004KT 9000 SCT009 30/24 Q1008 NOSIG= </t>
  </si>
  <si>
    <t xml:space="preserve">METAR WAKT 010900Z 00000KT 9999 SCT009 28/24 Q1009 NOSIG= </t>
  </si>
  <si>
    <t xml:space="preserve">METAR WAKT 011000Z 27002KT 9999 SCT009 27/24 Q1010 NOSIG= </t>
  </si>
  <si>
    <t xml:space="preserve">METAR WAKT 011100Z 00000KT 8000 SCT009 26/25 Q1010= </t>
  </si>
  <si>
    <t xml:space="preserve">METAR WAKT 011200Z 00000KT 8000 SCT009 26/25 Q1010 NOSIG= </t>
  </si>
  <si>
    <t xml:space="preserve">METAR WAKT 011300Z 00000KT 8000 SCT009 26/25 Q1011= </t>
  </si>
  <si>
    <t xml:space="preserve">METAR WAKT 011400Z 31002KT 8000 SCT009 25/25 Q1011= </t>
  </si>
  <si>
    <t xml:space="preserve">METAR WAKT 011500Z 00000KT 8000 BKN009 25/24 Q1011 NOSIG= </t>
  </si>
  <si>
    <t xml:space="preserve">METAR WAKT 011600Z 00000KT 8000 BKN009 25/24 Q1010 NOSIG= </t>
  </si>
  <si>
    <t xml:space="preserve">METAR WAKT 011700Z 00000KT 8000 BKN009 25/25 Q1010= </t>
  </si>
  <si>
    <t xml:space="preserve">METAR WAKT 012000Z 00000KT 8000 BKN009 24/24 Q1009= </t>
  </si>
  <si>
    <t xml:space="preserve">METAR WAKT 012100Z 00000KT 8000 BKN009 24/24 Q1010= </t>
  </si>
  <si>
    <t xml:space="preserve">METAR WAKT 020000Z 24003KT 8000 BKN008 28/26 Q1013 NOSIG= </t>
  </si>
  <si>
    <t xml:space="preserve">METAR WAKT 020100Z 30004KT 8000 SCT008 30/26 Q1012 NOSIG= </t>
  </si>
  <si>
    <t xml:space="preserve">METAR WAKT 020200Z 26005KT 8000 SCT010 31/25 Q1011 NOSIG= </t>
  </si>
  <si>
    <t xml:space="preserve">METAR WAKT 020300Z 31005KT 8000 SCT009 33/25 Q1010 NOSIG= </t>
  </si>
  <si>
    <t xml:space="preserve">METAR WAKT 011800Z 00000KT 8000 BKN009 24/24 Q1010 NOSIG= </t>
  </si>
  <si>
    <t xml:space="preserve">METAR WAKT 012200Z 24002KT 8000 BKN009 24/23 Q1011 NOSIG= </t>
  </si>
  <si>
    <t xml:space="preserve">METAR WAKT 012300Z 28003KT 8000 BKN009 27/26 Q1012 NOSIG= </t>
  </si>
  <si>
    <t xml:space="preserve">METAR WAKT 011900Z 00000KT 8000 BKN009 24/24 Q1009= </t>
  </si>
  <si>
    <t xml:space="preserve">METAR WAKT 020400Z 32004KT 8000 FEW008 SCT009 33/25 Q1008 NOSIG= </t>
  </si>
  <si>
    <t xml:space="preserve">METAR WAKT 020500Z 31004KT 8000 FEW008TCU BKN009 34/24 Q1007 NOSIG= </t>
  </si>
  <si>
    <t xml:space="preserve">METAR WAKT 020600Z 28002KT 8000 FEW008TCU BKN009 33/24 Q1007 NOSIG= </t>
  </si>
  <si>
    <t xml:space="preserve"> TAF WAKT 020500Z 0206/0306 29003KT 8000 SCT009= </t>
  </si>
  <si>
    <t xml:space="preserve">METAR WAKT 020700Z 13004KT 5000 FEW008CB BKN009 30/24 Q1007 RERA= </t>
  </si>
  <si>
    <t>TAF WAKT 031100Z 0318/0418 28002KT 8000 BKN009=</t>
  </si>
  <si>
    <t>TAF WAKT 031700Z 0318/0418 23003KT 8000 BKN008 TEMPO 0320/0322 4000 RA FEW008CB BKN009=</t>
  </si>
  <si>
    <t>TAF WAKT 032300Z 0400/0500 34003KT 8000 BKN008 TEMPO 0406/0408 4000 RA FEW008CB BKN009=</t>
  </si>
  <si>
    <t>TAF WAKT 040500Z 0406/0506 23004KT 8000 BKN008 TEMPO 0409/0411 4000 RA FEW008CB BKN009=</t>
  </si>
  <si>
    <t>METAR WAKT 031200Z 31002KT 5000 FEW008CB BKN009 26/24 Q1010 RERA NOSIG=</t>
  </si>
  <si>
    <t>METAR WAKT 031300Z 29002KT 8000 FEW008CB BKN009 25/24 Q1010 NOSIG=</t>
  </si>
  <si>
    <t>METAR WAKT 031400Z 24002KT 8000 FEW008CB BKN009 25/24 Q1010 NOSIG=</t>
  </si>
  <si>
    <t>METAR WAKT 031500Z 28002KT 8000 FEW008CB BKN009 25/24 Q1009 NOSIG=</t>
  </si>
  <si>
    <t>METAR WAKT 031600Z 01002KT 8000 BKN008 25/24 Q1009 NOSIG=</t>
  </si>
  <si>
    <t>METAR WAKT 031700Z 30003KT 8000 BKN008 25/24 Q1009 NOSIG=</t>
  </si>
  <si>
    <t>METAR WAKT 031800Z 35004KT 8000 FEW008CB BKN009 25/24 Q1009 NOSIG=</t>
  </si>
  <si>
    <t>METAR WAKT 031900Z 00000KT 1000 RA BKN008 25/24 Q1009=</t>
  </si>
  <si>
    <t>METAR WAKT 032000Z 12002KT 1000 RA OVC008 25/24 Q1009=</t>
  </si>
  <si>
    <t>METAR WAKT 032100Z 00000KT 1000 RA OVC008 25/24 Q1009=</t>
  </si>
  <si>
    <t>METAR WAKT 032200Z 36002KT 5000 BKN008 25/25 Q1009 RERA=</t>
  </si>
  <si>
    <t>METAR WAKT 032300Z 34003KT 8000 BKN009 28/26 Q1010 NOSIG=</t>
  </si>
  <si>
    <t>METAR WAKT 040000Z 28002KT 8000 BKN009 29/27 Q1010 NOSIG=</t>
  </si>
  <si>
    <t>METAR WAKT 040100Z 32003KT 8000 BKN009 31/26 Q1009 NOSIG=</t>
  </si>
  <si>
    <t>METAR WAKT 040200Z 32002KT 8000 BKN009 31/26 Q1008 NOSIG=</t>
  </si>
  <si>
    <t>METAR WAKT 040300Z 29004KT 8000 BKN009 32/26 Q1007 NOSIG=</t>
  </si>
  <si>
    <t>METAR WAKT 040400Z 19005KT 8000 BKN009 30/24 Q1006 NOSIG=</t>
  </si>
  <si>
    <t>METAR WAKT 040500Z 23004KT 8000 BKN009 30/25 Q1005 NOSIG=</t>
  </si>
  <si>
    <t>METAR WAKT 040600Z 21002KT 8000 BKN009 30/25 Q1005 NOSIG=</t>
  </si>
  <si>
    <t>METAR WAKT 040700Z 21003KT 8000 BKN009 29/25 Q1005 NOSIG=</t>
  </si>
  <si>
    <t>METAR WAKT 041700Z 01003KT 8000 BKN009 25/24 Q1009 NOSIG=</t>
  </si>
  <si>
    <t>METAR WAKT 041600Z 01003KT 8000 BKN009 25/24 Q1009 NOSIG=</t>
  </si>
  <si>
    <t>METAR WAKT 041500Z 36003KT 8000 BKN009 25/24 Q1010 NOSIG=</t>
  </si>
  <si>
    <t>METAR WAKT 041400Z 00000KT 8000 BKN009 25/24 Q1010 NOSIG=</t>
  </si>
  <si>
    <t>METAR WAKT 041300Z 04001KT 8000 BKN009 25/24 Q1010 NOSIG=</t>
  </si>
  <si>
    <t>METAR WAKT 041200Z 15002KT 8000 BKN009 25/24 Q1010 NOSIG=</t>
  </si>
  <si>
    <t>METAR WAKT 041100Z 00000KT 8000 BKN009 26/24 Q1009 NOSIG=</t>
  </si>
  <si>
    <t>METAR WAKT 041000Z 21002KT 8000 BKN009 25/23 Q1008 NOSIG=</t>
  </si>
  <si>
    <t>METAR WAKT 040900Z 20005KT 8000 BKN009 26/23 Q1008 NOSIG=</t>
  </si>
  <si>
    <t>METAR WAKT 040800Z 19003KT 8000 BKN009 28/25 Q1006 NOSIG=</t>
  </si>
  <si>
    <t>TAF WAKT 041100Z 0412/0512 00000KT 8000 BKN009=</t>
  </si>
  <si>
    <t xml:space="preserve">TAF WAKT 041700Z 0418/0518 00000KT 8000 BKN009= </t>
  </si>
  <si>
    <t>METAR WAKT 042200Z 30002KT 8000 BKN009 24/23 Q1010 NOSIG=</t>
  </si>
  <si>
    <t>METAR WAKT 042100Z 27002KT 7000 BKN009 24/23 Q1010 RERA=</t>
  </si>
  <si>
    <t>METAR WAKT 042000Z 33004KT 5000 -RA BKN009 24/23 Q1009=</t>
  </si>
  <si>
    <t>METAR WAKT 041900Z 35003KT 8000 BKN009 25/24 Q1009 NOSIG=</t>
  </si>
  <si>
    <t>METAR WAKT 041800Z 36004KT 8000 BKN009 25/24 Q1009 NOSIG=</t>
  </si>
  <si>
    <t>METAR WAKT 050500Z 32002KT 8000 BKN009 31/27 Q1006 NOSIG=</t>
  </si>
  <si>
    <t>METAR WAKT 050400Z 32002KT 8000 BKN009 31/27 Q1007 NOSIG=</t>
  </si>
  <si>
    <t>METAR WAKT 050300Z 32002KT 8000 BKN009 30/27 Q1008 NOSIG=</t>
  </si>
  <si>
    <t>METAR WAKT 050200Z 32002KT 8000 BKN008 29/26 Q1009 NOSIG=</t>
  </si>
  <si>
    <t>METAR WAKT 050100Z 00000KT 8000 BKN009 28/26 Q1010 NOSIG=</t>
  </si>
  <si>
    <t>METAR WAKT 050000Z 00000KT 8000 BKN009 27/25 Q1010 NOSIG=</t>
  </si>
  <si>
    <t xml:space="preserve">TAF WAKT 042300Z 0500/0600 30003KT 8000 BKN009= </t>
  </si>
  <si>
    <t xml:space="preserve">TAF WAKT 050500Z 0506/0606 28003KT 8000 BKN009 PROB40 TEMPO 0511/0513 5000 RA= </t>
  </si>
  <si>
    <t xml:space="preserve">METAR WAKT 042300Z 04002KT 8000 BKN009 25/25 Q1010 NOSIG= </t>
  </si>
  <si>
    <t xml:space="preserve">METAR WAKT 050600Z 31002KT 8000 BKN009 31/27 Q1006 NOSIG= </t>
  </si>
  <si>
    <t>BULAN : APRIL</t>
  </si>
  <si>
    <t xml:space="preserve"> TAF WAKT 051100Z 0512/0612 00000KT 8000 BKN009 PROB40 TEMPO 0517/0520 4000 RA= </t>
  </si>
  <si>
    <t xml:space="preserve"> TAF WAKT 051700Z 0518/0618 00000KT 3000 RA FEW008CB BKN009 BECMG 0520/0522 32003KT 8000 NSW SCT009= </t>
  </si>
  <si>
    <t xml:space="preserve"> TAF WAKT 052300Z 0600/0700 33002KT 8000 BKN009= </t>
  </si>
  <si>
    <t xml:space="preserve"> TAF WAKT 060500Z 0606/0706 16003KT 4000 RA FEW009CB BKN009 BECMG 0609/0611 00000KT 8000 NSW BKN008= </t>
  </si>
  <si>
    <t xml:space="preserve">METAR WAKT 050800Z 00000KT 8000 BKN009 28/25 Q1008 NOSIG= </t>
  </si>
  <si>
    <t xml:space="preserve">METAR WAKT 050900Z 00000KT 8000 BKN009 28/25 Q1008= </t>
  </si>
  <si>
    <t xml:space="preserve">METAR WAKT 051000Z 00000KT 8000 BKN009 28/26 Q1008= </t>
  </si>
  <si>
    <t xml:space="preserve">METAR WAKT 051100Z 00000KT 8000 BKN009 27/25 Q1009 NOSIG= </t>
  </si>
  <si>
    <t xml:space="preserve">METAR WAKT 051200Z 00000KT 8000 BKN009 27/25 Q1009 NOSIG= </t>
  </si>
  <si>
    <t xml:space="preserve">METAR WAKT 051300Z 00000KT 8000 BKN009 26/25 Q1010= </t>
  </si>
  <si>
    <t xml:space="preserve">METAR WAKT 051400Z 00000KT 8000 BKN009 26/25 Q1010 NOSIG= </t>
  </si>
  <si>
    <t xml:space="preserve">METAR WAKT 051500Z 21002KT 7000 BKN009 26/25 Q1009= </t>
  </si>
  <si>
    <t xml:space="preserve">METAR WAKT 051600Z 00000KT 5000 BKN009 26/25 Q1008= </t>
  </si>
  <si>
    <t xml:space="preserve">METAR WAKT 051700Z 00000KT 6000 BKN009 26/25 Q1008= </t>
  </si>
  <si>
    <t xml:space="preserve">METAR WAKT 051800Z 00000KT 7000 BKN009 25/25 Q1008 NOSIG= </t>
  </si>
  <si>
    <t xml:space="preserve">METAR WAKT 051900Z 00000KT 7000 BKN009 25/25 Q1008 NOSIG= </t>
  </si>
  <si>
    <t xml:space="preserve">METAR WAKT 052000Z 00000KT 7000 BKN009 25/25 Q1009 NOSIG= </t>
  </si>
  <si>
    <t xml:space="preserve">METAR WAKT 052100Z 14002KT 8000 BKN009 25/25 Q1009 NOSIG= </t>
  </si>
  <si>
    <t xml:space="preserve">METAR WAKT 052200Z 16002KT 8000 BKN009 27/26 Q1010 NOSIG= </t>
  </si>
  <si>
    <t xml:space="preserve">METAR WAKT 052300Z 04002KT 8000 BKN009 25/24 Q1010 NOSIG= </t>
  </si>
  <si>
    <t xml:space="preserve">METAR WAKT 060000Z 17003KT 8000 BKN009 29/27 Q1010 NOSIG= </t>
  </si>
  <si>
    <t xml:space="preserve">METAR WAKT 060100Z 14003KT 7000 BKN009 30/27 Q1010 NOSIG= </t>
  </si>
  <si>
    <t xml:space="preserve">METAR WAKT 060200Z 07002KT 5000 FEW009CB BKN009 29/26 Q1009 RERA NOSIG= </t>
  </si>
  <si>
    <t xml:space="preserve">METAR WAKT 060300Z 18003KT 4000 -RA FEW009CB BKN009 27/25 Q1008= </t>
  </si>
  <si>
    <t xml:space="preserve">METAR WAKT 060400Z 07004KT 4000 -RA FEW009CB BKN009 26/25 Q1008= </t>
  </si>
  <si>
    <t xml:space="preserve">METAR WAKT 060500Z 30010KT 4000 -RA FEW009CB BKN009 25/23 Q1008= </t>
  </si>
  <si>
    <t xml:space="preserve"> TAF WAKT 021100Z 0212/0312 28003KT 8000 FEW008CB BKN009 PROB40 TEMPO 0215/0218 00000KT 3000 RA= </t>
  </si>
  <si>
    <t xml:space="preserve">METAR WAKT 020800Z 12004KT 8000 FEW008CB BKN009 29/25 Q1008 NOSIG= </t>
  </si>
  <si>
    <t xml:space="preserve">METAR WAKT 020900Z 12004KT 8000 FEW008CB BKN009 28/25 Q1009 NOSIG= </t>
  </si>
  <si>
    <t xml:space="preserve">METAR WAKT 021000Z 12004KT 8000 FEW008CB BKN009 27/24 Q1010 NOSIG= </t>
  </si>
  <si>
    <t xml:space="preserve">METAR WAKT 021100Z 11005KT 8000 -TS FEW008CB BKN009 26/24 Q1010= </t>
  </si>
  <si>
    <t xml:space="preserve">METAR WAKT 021200Z 07004KT 8000 -TS FEW008CB BKN009 26/23 Q1011= </t>
  </si>
  <si>
    <t xml:space="preserve">METAR WAKT 021300Z 04003KT 7000 FEW008CB BKN009 25/23 Q1011 RETS NOSIG= </t>
  </si>
  <si>
    <t xml:space="preserve">METAR WAKT 021400Z 02002KT 7000 BKN009 25/24 Q1010 NOSIG= </t>
  </si>
  <si>
    <t xml:space="preserve">METAR WAKT 021500Z 29002KT 7000 BKN009 25/24 Q1010 NOSIG= </t>
  </si>
  <si>
    <t xml:space="preserve">METAR WAKT 021600Z 00000KT 8000 BKN009 25/24 Q1010 NOSIG= </t>
  </si>
  <si>
    <t xml:space="preserve">METAR WAKT 021700Z 28002KT 8000 BKN009 24/23 Q1009 NOSIG= </t>
  </si>
  <si>
    <t xml:space="preserve">METAR WAKT 021800Z 00000KT 8000 BKN009 24/24 Q1008 NOSIG= </t>
  </si>
  <si>
    <t xml:space="preserve">METAR WAKT 021900Z 33002KT 8000 BKN009 25/24 Q1008 NOSIG= </t>
  </si>
  <si>
    <t xml:space="preserve">METAR WAKT 022000Z 00000KT 8000 BKN009 25/24 Q1009 NOSIG= </t>
  </si>
  <si>
    <t xml:space="preserve">METAR WAKT 022100Z 18002KT 8000 BKN009 24/24 Q1009 NOSIG= </t>
  </si>
  <si>
    <t xml:space="preserve">METAR WAKT 022200Z 17002KT 8000 BKN009 26/25 Q1010 NOSIG= </t>
  </si>
  <si>
    <t xml:space="preserve">METAR WAKT 022300Z 17003KT 8000 SCT010 27/26 Q1010 NOSIG= </t>
  </si>
  <si>
    <t xml:space="preserve"> TAF WAKT 030500Z 0306/0306 34003KT 8000 BKN009= </t>
  </si>
  <si>
    <t xml:space="preserve">METAR WAKT 030600Z 13007KT 8000 SCT010 30/26 Q1006 NOSIG= </t>
  </si>
  <si>
    <t xml:space="preserve">METAR WAKT 030700Z 12004KT 8000 BKN010 29/25 Q1006 NOSIG= </t>
  </si>
  <si>
    <t xml:space="preserve">METAR WAKT 030800Z 17005KT 8000 BKN009 27/24 Q1007 NOSIG= </t>
  </si>
  <si>
    <t xml:space="preserve">METAR WAKT 030900Z 20002KT 8000 BKN009 27/24 Q1008 NOSIG= </t>
  </si>
  <si>
    <t xml:space="preserve">METAR WAKT 031000Z 22002KT 5000 RA FEW008CB BKN009 26/24 Q1008= </t>
  </si>
  <si>
    <t xml:space="preserve">METAR WAKT 031100Z 15002KT 1000 RA FEW008CB BKN009 26/24 Q1009= </t>
  </si>
  <si>
    <t xml:space="preserve">METAR WAKT 031200Z 31002KT 5000 FEW008CB BKN009 26/24 Q1010 RERA NOSIG= </t>
  </si>
  <si>
    <t xml:space="preserve">METAR WAKT 031300Z 29002KT 8000 FEW008CB BKN009 25/24 Q1010 NOSIG= </t>
  </si>
  <si>
    <t xml:space="preserve">METAR WAKT 031400Z 24002KT 8000 FEW008CB BKN009 25/24 Q1010 NOSIG= </t>
  </si>
  <si>
    <t xml:space="preserve">METAR WAKT 031500Z 28002KT 8000 FEW008CB BKN009 25/24 Q1009 NOSIG= </t>
  </si>
  <si>
    <t xml:space="preserve">METAR WAKT 031600Z 01002KT 8000 BKN008 25/24 Q1009 NOSIG= </t>
  </si>
  <si>
    <t xml:space="preserve">METAR WAKT 031700Z 30003KT 8000 BKN008 25/24 Q1009 NOSIG= </t>
  </si>
  <si>
    <t xml:space="preserve">METAR WAKT 060600Z 29004KT 4000 -RA FEW009CB BKN009 24/23 Q1008= </t>
  </si>
  <si>
    <t xml:space="preserve">METAR WAKT 060700Z 00000KT 4000 -RA FEW009CB BKN009 25/24 Q1007= </t>
  </si>
  <si>
    <t xml:space="preserve">TAF WAKT 021700Z 0218/0318 28002KT 8000 BKN009= </t>
  </si>
  <si>
    <t>METAR WAKT 021800Z 00000KT 8000 BKN009 24/24 Q1008 NOSIG=</t>
  </si>
  <si>
    <t>METAR WAKT 021900Z 33002KT 8000 BKN009 25/24 Q1008 NOSIG=</t>
  </si>
  <si>
    <t>METAR WAKT 022000Z 00000KT 8000 BKN009 25/24 Q1009 NOSIG=</t>
  </si>
  <si>
    <t>METAR WAKT 022100Z 18002KT 8000 BKN009 24/24 Q1009 NOSIG=</t>
  </si>
  <si>
    <t>METAR WAKT 022200Z 17002KT 8000 BKN009 26/25 Q1010 NOSIG=</t>
  </si>
  <si>
    <t>METAR WAKT 022300Z 17003KT 8000 SCT010 27/26 Q1010 NOSIG=</t>
  </si>
  <si>
    <t>METAR WAKT 030000Z 28003KT 8000 SCT009 29/26 Q1010 NOSIG=</t>
  </si>
  <si>
    <t>METAR WAKT 030100Z 11004KT 8000 SCT009 29/26 Q1010 NOSIG=</t>
  </si>
  <si>
    <t>METAR WAKT 030200Z 11002KT 8000 SCT010 32/26 Q1009 NOSIG=</t>
  </si>
  <si>
    <t>METAR WAKT 030300Z 14003KT 8000 SCT010 32/25 Q1008 NOSIG=</t>
  </si>
  <si>
    <t>METAR WAKT 030400Z 32004KT 8000 SCT010 31/25 Q1007 NOSIG=</t>
  </si>
  <si>
    <t>METAR WAKT 030500Z 04005KT 8000 SCT010 32/26 Q1006 NOSIG=</t>
  </si>
  <si>
    <t xml:space="preserve">TAF WAKT 022300Z 0300/0400 17003KT 8000 SCT010= </t>
  </si>
  <si>
    <t>METAR WAKT 061700Z 33002KT 8000 BKN009 24/24 Q1009 NOSIG=</t>
  </si>
  <si>
    <t>METAR WAKT 061600Z 00000KT 8000 BKN009 24/24 Q1009 NOSIG=</t>
  </si>
  <si>
    <t>METAR WAKT 061500Z 00000KT 8000 SCT010 24/24 Q1010 NOSIG=</t>
  </si>
  <si>
    <t>METAR WAKT 061400Z 00000KT 8000 SCT010 24/24 Q1011 NOSIG=</t>
  </si>
  <si>
    <t>METAR WAKT 061200Z 00000KT 8000 SCT009 24/24 Q1011 NOSIG=</t>
  </si>
  <si>
    <t>METAR WAKT 061100Z 05002KT 8000 SCT009 24/24 Q1011=</t>
  </si>
  <si>
    <t>METAR WAKT 061000Z 00000KT 7000 BKN009 25/24 Q1010 NOSIG=</t>
  </si>
  <si>
    <t>METAR WAKT 060900Z 00000KT 6000 BKN009 24/24 Q1009 RERA NOSIG=</t>
  </si>
  <si>
    <t>METAR WAKT 060800Z 00000KT 4000 -RA FEW009CB BKN009 25/24 Q1008=</t>
  </si>
  <si>
    <t>METAR WAKT 061800Z 00000KT 8000 BKN009 24/23 Q1008 NOSIG=</t>
  </si>
  <si>
    <t>METAR WAKT 061900Z 00000KT 8000 BKN009 23/23 Q1009 NOSIG=</t>
  </si>
  <si>
    <t>METAR WAKT 062000Z 00000KT 8000 BKN009 23/23 Q1009 NOSIG=</t>
  </si>
  <si>
    <t>METAR WAKT 062100Z 00000KT 9000 BKN009 23/23 Q1010 NOSIG=</t>
  </si>
  <si>
    <t>METAR WAKT 062200Z 00000KT 8000 BKN009 24/24 Q1010 NOSIG=</t>
  </si>
  <si>
    <t xml:space="preserve">TAF WAKT 061100Z 0612/0712 00000KT 8000 BKN008 PROB40 TEMPO 0614/0617 4000 RA FEW009CB BKN009 BECMG 0620/0622 13002KT 8000 NSW= </t>
  </si>
  <si>
    <t xml:space="preserve">TAF WAKT 061700Z 0618/0718 00000KT 8000 BKN009= </t>
  </si>
  <si>
    <t>METAR WAKT 062300Z 11002KT 8000 BKN008 26/25 Q1011 NOSIG=</t>
  </si>
  <si>
    <t xml:space="preserve">METAR WAKT 070000Z 30004KT 8000 BKN008 29/26 Q1010 NOSIG= </t>
  </si>
  <si>
    <t xml:space="preserve">METAR WAKT 070100Z 32003KT 8000 BKN008 29/26 Q1011 NOSIG= </t>
  </si>
  <si>
    <t xml:space="preserve">METAR WAKT 070200Z 30004KT 8000 BKN008 29/26 Q1010 NOSIG= </t>
  </si>
  <si>
    <t>METAR WAKT 070300Z 05002KT 5000 RA BKN008 27/25 Q1008=</t>
  </si>
  <si>
    <t xml:space="preserve">TAF WAKT 062300Z 0700/0800 11002KT 8000 BKN009= </t>
  </si>
  <si>
    <t xml:space="preserve">TAF WAKT 070500Z 0706/0806 11004KT 8000 FEW008CB BKN009 TEMPO 0707/0710 4000 RA= </t>
  </si>
  <si>
    <t xml:space="preserve">METAR WAKT 070600Z 34003KT 7000 FEW008CB BKN009 29/25 Q1006 RETSRA= </t>
  </si>
  <si>
    <t>METAR WAKT 070500Z 11004KT 5000 FEW008CB BKN009 27/25 Q1007 RETSRA=</t>
  </si>
  <si>
    <t>METAR WAKT 070400Z 01002KT 8000 FEW008 BKN009 32/28 Q1007 NOSIG=</t>
  </si>
  <si>
    <t xml:space="preserve">METAR WAKT 070700Z 31003KT 8000 FEW008CB BKN009 28/25 Q1007 NOSIG= </t>
  </si>
  <si>
    <t>METAR WAKT 071100Z 00000KT 8000 FEW008CB BKN009 27/25 Q1009 NOSIG=</t>
  </si>
  <si>
    <t>METAR WAKT 071000Z 21002KT 8000 FEW008CB BKN009 27/25 Q1009 NOSIG=</t>
  </si>
  <si>
    <t>METAR WAKT 070900Z 30002KT 8000 FEW008CB BKN009 27/26 Q1008 NOSIG=</t>
  </si>
  <si>
    <t>METAR WAKT 070800Z 31003KT 5000 FEW008CB BKN009 28/25 Q1007 RERA=</t>
  </si>
  <si>
    <t>METAR WAKT 071700Z 01002KT 8000 BKN009 25/25 Q1009 NOSIG=</t>
  </si>
  <si>
    <t>METAR WAKT 071600Z 00000KT 8000 BKN009 25/25 Q1009 NOSIG=</t>
  </si>
  <si>
    <t>METAR WAKT 071500Z 02002KT 8000 BKN009 26/25 Q1010 NOSIG=</t>
  </si>
  <si>
    <t>METAR WAKT 071400Z 34003KT 8000 BKN009 26/25 Q1010 NOSIG=</t>
  </si>
  <si>
    <t>METAR WAKT 071300Z 00000KT 8000 BKN009 26/25 Q1011 RETS NOSIG=</t>
  </si>
  <si>
    <t>METAR WAKT 071200Z 00000KT 8000 -TS FEW008CB BKN009 27/25 Q1010=</t>
  </si>
  <si>
    <t>METAR WAKT 072300Z 19003KT 4000 -RA FEW008CB BKN009 25/24 Q1012=</t>
  </si>
  <si>
    <t>METAR WAKT 072200Z 13002KT 4000 RA FEW008CB BKN009 25/24 Q1011=</t>
  </si>
  <si>
    <t>METAR WAKT 072100Z 19002KT 4000 -RA FEW008CB BKN009 25/24 Q1011=</t>
  </si>
  <si>
    <t>METAR WAKT 072000Z 05003KT 4000 -RA FEW008CB BKN009 25/24 Q1009=</t>
  </si>
  <si>
    <t>METAR WAKT 071900Z 04002KT 8000 BKN009 25/24 Q1009 NOSIG=</t>
  </si>
  <si>
    <t>METAR WAKT 071800Z 02002KT 8000 BKN009 25/24 Q1009 NOSIG=</t>
  </si>
  <si>
    <t xml:space="preserve">TAF WAKT 071100Z 0712/0812 27002KT 8000 FEW008 BKN009 PROB40 TEMPO 0714/0717 4000 RA= </t>
  </si>
  <si>
    <t xml:space="preserve">TAF WAKT 071700Z 0718/0818 01002KT 8000 BKN009 TEMPO 0720/0800 4000 RA FEW008CB BKN009= </t>
  </si>
  <si>
    <t>METAR WAKT 080500Z 16002KT 8000 BKN009 28/25 Q1009 NOSIG=</t>
  </si>
  <si>
    <t>METAR WAKT 080400Z 11003KT 8000 BKN009 28/25 Q1009 NOSIG=</t>
  </si>
  <si>
    <t>METAR WAKT 080300Z 13003KT 7000 BKN009 28/26 Q1010 NOSIG=</t>
  </si>
  <si>
    <t>METAR WAKT 080200Z 15002KT 6000 BKN009 27/26 Q1011 RERA=</t>
  </si>
  <si>
    <t>METAR WAKT 080100Z 17003KT 5000 -RA FEW008CB BKN009 26/26 Q1012=</t>
  </si>
  <si>
    <t>METAR WAKT 080000Z 16003KT 5000 -RA BKN009 25/24 Q1012=</t>
  </si>
  <si>
    <t xml:space="preserve">TAF WAKT 080500Z 0806/0906 11002KT 8000 BKN009= </t>
  </si>
  <si>
    <t xml:space="preserve">TAF WAKT 072300Z 0800/0900 15004KT 3000 RA FEW008CB BKN009 BECMG 0802/0803 7000 NSW BKN009= </t>
  </si>
  <si>
    <t xml:space="preserve">METAR WAKT 080600Z 19003KT 8000 BKN009 29/25 Q1008 NOSIG= </t>
  </si>
  <si>
    <t xml:space="preserve">METAR WAKT 080700Z 06003KT 8000 BKN009 29/25 Q1009 NOSIG= </t>
  </si>
  <si>
    <t xml:space="preserve">METAR WAKT 080800Z 02004KT 8000 BKN009 27/25 Q1009 NOSIG= </t>
  </si>
  <si>
    <t xml:space="preserve">METAR WAKT 080900Z 35003KT 8000 BKN009 27/25 Q1010 NOSIG= </t>
  </si>
  <si>
    <t xml:space="preserve">METAR WAKT 081000Z 01002KT 8000 BKN009 26/25 Q1010 NOSIG= </t>
  </si>
  <si>
    <t xml:space="preserve">METAR WAKT 081100Z 01004KT 8000 FEW008CB BKN009 25/24 Q1011 NOSIG= </t>
  </si>
  <si>
    <t xml:space="preserve">METAR WAKT 081200Z 00000KT 8000 FEW008CB BKN009 25/24 Q1012 NOSIG= </t>
  </si>
  <si>
    <t xml:space="preserve">METAR WAKT 081300Z 24002KT 8000 FEW008CB BKN009 25/24 Q1012 NOSIG= </t>
  </si>
  <si>
    <t xml:space="preserve">METAR WAKT 081400Z 33002KT 8000 FEW008CB BKN009 25/24 Q1012 NOSIG= </t>
  </si>
  <si>
    <t xml:space="preserve">METAR WAKT 081500Z 36002KT 8000 FEW008CB BKN009 25/24 Q1011 NOSIG= </t>
  </si>
  <si>
    <t xml:space="preserve">METAR WAKT 081600Z 01002KT 8000 BKN008 24/24 Q1011 NOSIG= </t>
  </si>
  <si>
    <t xml:space="preserve">METAR WAKT 081700Z 35002KT 8000 BKN008 24/24 Q1010 NOSIG= </t>
  </si>
  <si>
    <t xml:space="preserve"> TAF WAKT 081100Z 0812/0912 00000KT 8000 BKN009 TEMPO 0820/0900 3000 FEW008CB BKN009= </t>
  </si>
  <si>
    <t xml:space="preserve">TAF WAKT 081700Z 0818/0918 03002KT 8000 BKN008 TEMPO 0821/0823 15002KT 4000 RA FEW008CB BKN009= </t>
  </si>
  <si>
    <t xml:space="preserve">TAF WAKT 082300Z 0900/1000 00000KT 8000 BKN008 PROB40 TEMPO 0902/0905 16002KT 4000 RA FEW008CB BKN009= </t>
  </si>
  <si>
    <t xml:space="preserve">TAF WAKT 090500Z 0906/1006 26003KT 8000 BKN009= </t>
  </si>
  <si>
    <t xml:space="preserve">METAR WAKT 081800Z 00000KT 8000 BKN008 24/24 Q1010 NOSIG= </t>
  </si>
  <si>
    <t xml:space="preserve">METAR WAKT 081900Z 00000KT 8000 BKN008 24/24 Q1011 NOSIG= </t>
  </si>
  <si>
    <t xml:space="preserve">METAR WAKT 082000Z 00000KT 8000 BKN008 24/24 Q1011 NOSIG= </t>
  </si>
  <si>
    <t xml:space="preserve">METAR WAKT 082100Z 00000KT 8000 OVC008 24/24 Q1012 NOSIG= </t>
  </si>
  <si>
    <t xml:space="preserve">METAR WAKT 082200Z 00000KT 8000 OVC008 25/24 Q1012 NOSIG= </t>
  </si>
  <si>
    <t xml:space="preserve">METAR WAKT 082300Z 33002KT 8000 BKN009 27/25 Q1013 NOSIG= </t>
  </si>
  <si>
    <t xml:space="preserve">METAR WAKT 090000Z 16002KT 8000 BKN009 27/26 Q1013 NOSIG= </t>
  </si>
  <si>
    <t xml:space="preserve">METAR WAKT 090100Z 24004KT 8000 BKN009 29/26 Q1012 NOSIG= </t>
  </si>
  <si>
    <t xml:space="preserve">METAR WAKT 090200Z 29002KT 5000 RA BKN008 27/25 Q1011= </t>
  </si>
  <si>
    <t xml:space="preserve">METAR WAKT 090300Z 26002KT 7000 BKN009 28/26 Q1011= </t>
  </si>
  <si>
    <t xml:space="preserve">METAR WAKT 090500Z 34003KT 8000 BKN009 32/26 Q1008 NOSIG= </t>
  </si>
  <si>
    <t xml:space="preserve">METAR WAKT 090600Z 04003KT 8000 BKN009 31/26 Q1007 NOSIG= </t>
  </si>
  <si>
    <t xml:space="preserve">METAR WAKT 090400Z 26002KT 7000 BKN009 28/26 Q1011 NOSIG= </t>
  </si>
  <si>
    <t xml:space="preserve">METAR WAKT 090700Z 34007KT 8000 BKN009 30/25 Q1008 NOSIG= </t>
  </si>
  <si>
    <t xml:space="preserve">METAR WAKT 090800Z 33006KT 8000 BKN009 29/25 Q1008 NOSIG= </t>
  </si>
  <si>
    <t xml:space="preserve">METAR WAKT 090900Z 02002KT 8000 BKN009 27/25 Q1009 NOSIG= </t>
  </si>
  <si>
    <t>METAR WAKT 091000Z 06003KT 8000 BKN009 26/24 Q1011 NOSIG=</t>
  </si>
  <si>
    <t>METAR WAKT 091100Z 03004KT 6000 BKN009 26/24 Q1011 RERA NOSIG=</t>
  </si>
  <si>
    <t>METAR WAKT 091200Z 01003KT 6000 BKN009 24/23 Q1012 RERA=</t>
  </si>
  <si>
    <t>METAR WAKT 091300Z 35003KT 8000 BKN009 24/23 Q1012 NOSIG=</t>
  </si>
  <si>
    <t>METAR WAKT 091400Z 08003KT 8000 BKN009 24/22 Q1012 NOSIG=</t>
  </si>
  <si>
    <t>METAR WAKT 091500Z 00000KT 8000 BKN009 23/22 Q1011 NOSIG=</t>
  </si>
  <si>
    <t>METAR WAKT 091600Z 33002KT 8000 BKN009 23/23 Q1011 NOSIG=</t>
  </si>
  <si>
    <t>METAR WAKT 091700Z 00000KT 8000 BKN009 23/22 Q1010 NOSIG=</t>
  </si>
  <si>
    <t>METAR WAKT 091800Z 00000KT 8000 BKN009 23/22 Q1010 NOSIG=</t>
  </si>
  <si>
    <t>METAR WAKT 091900Z 00000KT 8000 BKN009 23/22 Q1010 NOSIG=</t>
  </si>
  <si>
    <t>METAR WAKT 092000Z 18001KT 8000 BKN009 23/22 Q1011 NOSIG=</t>
  </si>
  <si>
    <t>METAR WAKT 092100Z 18001KT 8000 BKN009 23/23 Q1012 NOSIG=</t>
  </si>
  <si>
    <t>METAR WAKT 092200Z 00000KT 8000 BKN009 24/23 Q1012 NOSIG=</t>
  </si>
  <si>
    <t>METAR WAKT 092300Z 00000KT 8000 BKN008 27/26 Q1012=</t>
  </si>
  <si>
    <t>METAR WAKT 100000Z 31002KT 8000 BKN009 27/26 Q1013=</t>
  </si>
  <si>
    <t>METAR WAKT 100100Z 32002KT 8000 BKN009 29/26 Q1012=</t>
  </si>
  <si>
    <t>METAR WAKT 100200Z 11002KT 8000 BKN009 30/26 Q1011 NOSIG=</t>
  </si>
  <si>
    <t>METAR WAKT 100300Z 00000KT 8000 BKN009 30/26 Q1009 NOSIG=</t>
  </si>
  <si>
    <t>METAR WAKT 100400Z 19002KT 8000 BKN009 32/28 Q1008=</t>
  </si>
  <si>
    <t>METAR WAKT 100600Z 31006KT 8000 BKN008 30/25 Q1008 NOSIG=</t>
  </si>
  <si>
    <t>METAR WAKT 100700Z 32004KT 9999 -RA OVC008 25/23 Q1008=</t>
  </si>
  <si>
    <t xml:space="preserve">TAF WAKT 091100Z 0912/1012 05003KT 4000 RA FEW009CB BKN009 BECMG 0916/0918 00000KT 8000 NSW BKN008= </t>
  </si>
  <si>
    <t>TAF WAKT 091700Z 0918/1018 00000KT 8000 BKN009=</t>
  </si>
  <si>
    <t xml:space="preserve">TAF WAKT 092300Z 0900/1000 00000KT 8000 BKN009= </t>
  </si>
  <si>
    <t>TAF WAKT 100500Z 1006/1106 13005KT 8000 BKN009=</t>
  </si>
  <si>
    <t xml:space="preserve">METAR WAKT 100800Z 17005KT 7000 BKN009 25/24 Q1009 RERA NOSIG= </t>
  </si>
  <si>
    <t xml:space="preserve">METAR WAKT 100900Z 08003KT 8000 BKN009 25/24 Q1009= </t>
  </si>
  <si>
    <t xml:space="preserve">METAR WAKT 101000Z 08005KT 8000 BKN009 25/23 Q1010 NOSIG= </t>
  </si>
  <si>
    <t xml:space="preserve">METAR WAKT 101100Z 04002KT 8000 BKN009 24/23 Q1011 NOSIG= </t>
  </si>
  <si>
    <t xml:space="preserve">METAR WAKT 101200Z 35002KT 8000 BKN009 24/23 Q1011 NOSIG= </t>
  </si>
  <si>
    <t xml:space="preserve">METAR WAKT 101300Z 36002KT 8000 BKN009 24/23 Q1011 NOSIG= </t>
  </si>
  <si>
    <t xml:space="preserve">METAR WAKT 101400Z 09002KT 8000 BKN009 23/22 Q1011 NOSIG= </t>
  </si>
  <si>
    <t xml:space="preserve">METAR WAKT 101500Z 25004KT 8000 BKN009 23/23 Q1011 NOSIG= </t>
  </si>
  <si>
    <t xml:space="preserve">METAR WAKT 101600Z 00000KT 8000 BKN009 24/23 Q1010 NOSIG= </t>
  </si>
  <si>
    <t xml:space="preserve">METAR WAKT 101700Z 00000KT 8000 BKN009 24/23 Q1010 NOSIG= </t>
  </si>
  <si>
    <t xml:space="preserve">METAR WAKT 101800Z 00000KT 7000 BKN009 24/23 Q1010 NOSIG= </t>
  </si>
  <si>
    <t xml:space="preserve">METAR WAKT 101900Z 22002KT 7000 BKN009 24/23 Q1011 NOSIG= </t>
  </si>
  <si>
    <t xml:space="preserve">METAR WAKT 102000Z 16002KT 7000 BKN009 23/23 Q1010 NOSIG= </t>
  </si>
  <si>
    <t xml:space="preserve">METAR WAKT 102100Z 03002KT 8000 BKN009 24/23 Q1010 NOSIG= </t>
  </si>
  <si>
    <t xml:space="preserve">METAR WAKT 102200Z 01002KT 8000 BKN009 24/23 Q1011 NOSIG= </t>
  </si>
  <si>
    <t xml:space="preserve">METAR WAKT 102300Z 00000KT 8000 BKN009 27/26 Q1012 NOSIG= </t>
  </si>
  <si>
    <t xml:space="preserve">METAR WAKT 110000Z 32002KT 9000 SCT009 27/25 Q1011 NOSIG= </t>
  </si>
  <si>
    <t xml:space="preserve">METAR WAKT 110100Z 31004KT 9999 SCT009 29/26 Q1011 NOSIG= </t>
  </si>
  <si>
    <t xml:space="preserve">METAR WAKT 110200Z 33004KT 9999 SCT009 31/26 Q1010 NOSIG= </t>
  </si>
  <si>
    <t xml:space="preserve">METAR WAKT 110300Z 18003KT 6000 BKN009 30/25 Q1008 RERA NOSIG= </t>
  </si>
  <si>
    <t xml:space="preserve">METAR WAKT 110400Z 28003KT 7000 BKN009 31/24 Q1007 NOSIG= </t>
  </si>
  <si>
    <t xml:space="preserve">METAR WAKT 110500Z 28005KT 7000 BKN009 27/24 Q1007 RERA NOSIG= </t>
  </si>
  <si>
    <t xml:space="preserve">TAF WAKT 101100Z 1012/1112 03002KT 8000 BKN009= </t>
  </si>
  <si>
    <t xml:space="preserve"> TAF WAKT 101700Z 1018/1118 00000KT 8000 BKN009= </t>
  </si>
  <si>
    <t xml:space="preserve"> TAF WAKT 102300Z 1100/1200 00000KT 8000 BKN009 TEMPO 1105/1107 4000 RA FEW008CB BKN009= </t>
  </si>
  <si>
    <t xml:space="preserve"> TAF WAKT 110500Z 1106/1206 28005KT 7000 BKN009 TEMPO 1106/1108 4000 RA FEW008CB BKN009= </t>
  </si>
  <si>
    <t xml:space="preserve">METAR WAKT 110600Z 36002KT 7000 BKN009 29/25 Q1006 RERA NOSIG= </t>
  </si>
  <si>
    <t xml:space="preserve">METAR WAKT 110700Z 00000KT 8000 BKN009 30/26 Q1006 NOSIG= </t>
  </si>
  <si>
    <t>METAR WAKT 111100Z 15004KT 8000 BKN009 25/24 Q1010=</t>
  </si>
  <si>
    <t>METAR WAKT 111000Z 17002KT 5000 -RA FEW009CB BKN009 27/25 Q1008=</t>
  </si>
  <si>
    <t>METAR WAKT 110900Z 00000KT 8000 BKN009 27/24 Q1007 NOSIG=</t>
  </si>
  <si>
    <t>METAR WAKT 110800Z 00000KT 8000 BKN009 30/26 Q1007 NOSIG=</t>
  </si>
  <si>
    <t>METAR WAKT 111700Z 00000KT 8000 BKN009 24/23 Q1010=</t>
  </si>
  <si>
    <t>METAR WAKT 111600Z 00000KT 8000 BKN009 24/23 Q1010=</t>
  </si>
  <si>
    <t>METAR WAKT 111500Z 00000KT 8000 BKN009 24/23 Q1010=</t>
  </si>
  <si>
    <t>METAR WAKT 111400Z 00000KT 8000 BKN009 24/23 Q1010 NOSIG=</t>
  </si>
  <si>
    <t>METAR WAKT 111300Z 14002KT 8000 BKN008 25/24 Q1011 NOSIG=</t>
  </si>
  <si>
    <t>METAR WAKT 111200Z 15002KT 8000 BKN009 25/24 Q1011=</t>
  </si>
  <si>
    <t xml:space="preserve">TAF WAKT 111100Z 1112/1212 15004KT 8000 BKN009= </t>
  </si>
  <si>
    <t xml:space="preserve">TAF WAKT 111700Z 1118/1218 00000KT 8000 BKN009= </t>
  </si>
  <si>
    <t>METAR WAKT 112300Z 04002KT 8000 BKN008 25/24 Q1012 NOSIG=</t>
  </si>
  <si>
    <t>METAR WAKT 112200Z 36002KT 8000 BKN009 23/23 Q1011=</t>
  </si>
  <si>
    <t>METAR WAKT 112100Z 00000KT 7000 BKN008 23/23 Q1010=</t>
  </si>
  <si>
    <t>METAR WAKT 112000Z 00000KT 8000 BKN009 23/22 Q1010=</t>
  </si>
  <si>
    <t>METAR WAKT 111900Z 00000KT 6000 BKN009 23/22 Q1010 RERA=</t>
  </si>
  <si>
    <t>METAR WAKT 111800Z 00000KT 2000 RA OVC009 23/22 Q1010=</t>
  </si>
  <si>
    <t>METAR WAKT 120500Z 17004KT 7000 FEW008TCU BKN009 31/24 Q1008 RERA NOSIG=</t>
  </si>
  <si>
    <t>METAR WAKT 120400Z 18004KT 8000 BKN008 31/24 Q1008 NOSIG=</t>
  </si>
  <si>
    <t>METAR WAKT 120300Z 01002KT 8000 BKN008 32/26 Q1006 NOSIG=</t>
  </si>
  <si>
    <t>METAR WAKT 120200Z 02004KT 8000 SCT009 30/25 Q1010 NOSIG=</t>
  </si>
  <si>
    <t>METAR WAKT 120100Z 02003KT 8000 BKN008 28/25 Q1012 NOSIG=</t>
  </si>
  <si>
    <t>METAR WAKT 120000Z 03003KT 8000 BKN008 27/25 Q1012 NOSIG=</t>
  </si>
  <si>
    <t xml:space="preserve">TAF WAKT 112300Z 1200/1300 32003KT 8000 BKN009 PROB40 TEMPO 1206/1208 5000 RA= </t>
  </si>
  <si>
    <t xml:space="preserve">TAF WAKT 120500Z 1206/1306 15003KT 8000 FEW008 PROB40 TEMPO 1208/1210 5000 RA= </t>
  </si>
  <si>
    <t xml:space="preserve">METAR WAKT 120600Z 15003KT 8000 FEW008TCU BKN009 31/24 Q1007 NOSIG= </t>
  </si>
  <si>
    <t xml:space="preserve">METAR WAKT 120700Z 18003KT 8000 FEW008TCU BKN009 32/24 Q1007 NOSIG= </t>
  </si>
  <si>
    <t xml:space="preserve">TAF WAKT 121700Z 1218/1318 00000KT 8000 BKN008 TEMPO 1303/1306 17003KT 4000 RA FEW008CB BKN009= </t>
  </si>
  <si>
    <t xml:space="preserve"> TAF WAKT 121100Z 1212/1312 00000KT 8000 FEW008CB BKN009= </t>
  </si>
  <si>
    <t xml:space="preserve">TAF WAKT 122300Z 1300/1400 02003KT 8000 BKN008= </t>
  </si>
  <si>
    <t xml:space="preserve">TAF WAKT 130500Z 1306/1406 16003KT 8000 BKN009= </t>
  </si>
  <si>
    <t xml:space="preserve">METAR WAKT 061100Z 05002KT 8000 SCT009 24/24 Q1011= </t>
  </si>
  <si>
    <t xml:space="preserve">METAR WAKT 120800Z 11002KT 8000 FEW008CB BKN009 30/22 Q1008 NOSIG= </t>
  </si>
  <si>
    <t xml:space="preserve">METAR WAKT 120900Z 00000KT 8000 FEW008CB BKN009 28/23 Q1008 NOSIG= </t>
  </si>
  <si>
    <t xml:space="preserve">METAR WAKT 121000Z 00000KT 8000 FEW008CB BKN009 27/24 Q1009 NOSIG= </t>
  </si>
  <si>
    <t xml:space="preserve">METAR WAKT 121100Z 00000KT 8000 FEW008CB BKN009 26/24 Q1010 NOSIG= </t>
  </si>
  <si>
    <t xml:space="preserve">METAR WAKT 121200Z 00000KT 8000 BKN009 26/24 Q1010 NOSIG= </t>
  </si>
  <si>
    <t xml:space="preserve">METAR WAKT 121300Z 00000KT 8000 BKN009 26/24 Q1010 NOSIG= </t>
  </si>
  <si>
    <t xml:space="preserve">METAR WAKT 121400Z 34004KT 8000 BKN009 26/25 Q1011 NOSIG= </t>
  </si>
  <si>
    <t xml:space="preserve">METAR WAKT 121500Z 15003KT 8000 FEW008TCU BKN009 31/24 Q1007 NOSIG= </t>
  </si>
  <si>
    <t xml:space="preserve">METAR WAKT 121600Z 00000KT 8000 BKN009 25/24 Q1009 NOSIG= </t>
  </si>
  <si>
    <t xml:space="preserve">METAR WAKT 121700Z 35002KT 8000 BKN009 25/24 Q1009 NOSIG= </t>
  </si>
  <si>
    <t xml:space="preserve">METAR WAKT 121800Z 00000KT 8000 BKN009 24/23 Q1009 NOSIG= </t>
  </si>
  <si>
    <t xml:space="preserve">METAR WAKT 121900Z 16002KT 8000 BKN009 24/23 Q1009 NOSIG= </t>
  </si>
  <si>
    <t xml:space="preserve">METAR WAKT 122000Z 18002KT 8000 BKN009 24/23 Q1010 NOSIG= </t>
  </si>
  <si>
    <t xml:space="preserve">METAR WAKT 122100Z 00000KT 7000 BKN008 23/23 Q1010= </t>
  </si>
  <si>
    <t xml:space="preserve">METAR WAKT 122300Z 19002KT 8000 BKN009 29/27 Q1012 NOSIG= </t>
  </si>
  <si>
    <t xml:space="preserve">METAR WAKT 122200Z 00000KT 0800 BKN008 23/23 Q1011 NOSIG= </t>
  </si>
  <si>
    <t xml:space="preserve">METAR WAKT 130000Z 18003KT 8000 BKN009 29/25 Q1012 NOSIG= </t>
  </si>
  <si>
    <t xml:space="preserve">METAR WAKT 130100Z 14002KT 8000 BKN009 31/26 Q1011 NOSIG= </t>
  </si>
  <si>
    <t xml:space="preserve">METAR WAKT 130200Z 12004KT 8000 BKN009 31/26 Q1010 NOSIG= </t>
  </si>
  <si>
    <t xml:space="preserve">METAR WAKT 130300Z 14003KT 8000 BKN009 33/24 Q1009 NOSIG= </t>
  </si>
  <si>
    <t xml:space="preserve">METAR WAKT 130400Z 18002KT 8000 SCT009 34/26 Q1008 NOSIG= </t>
  </si>
  <si>
    <t xml:space="preserve">METAR WAKT 130500Z 27003KT 8000 SCT009 34/25 Q1007 NOSIG= </t>
  </si>
  <si>
    <t xml:space="preserve">METAR WAKT 130600Z 18003KT 8000 SCT009 33/24 Q1007 NOSIG= </t>
  </si>
  <si>
    <t xml:space="preserve">METAR WAKT 130700Z 16003KT 8000 SCT009 33/24 Q1007 NOSIG= </t>
  </si>
  <si>
    <t xml:space="preserve">METAR WAKT 122200Z 00000KT 8000 BKN008 23/23 Q1011 NOSIG= </t>
  </si>
  <si>
    <t>METAR WAKT 130800Z 15006KT 8000 SCT009 30/24 Q1008 NOSIG=</t>
  </si>
  <si>
    <t>METAR WAKT 130900Z 13004KT 8000 BKN009 27/24 Q1009 NOSIG=</t>
  </si>
  <si>
    <t>METAR WAKT 131000Z 07002KT 8000 BKN009 27/24 Q1010 NOSIG=</t>
  </si>
  <si>
    <t>METAR WAKT 131100Z 24006KT 1000 RA FEW008CB BKN009 26/23 Q1012=</t>
  </si>
  <si>
    <t>METAR WAKT 131200Z 07005KT 0900 RA FEW008CB BKN009 23/21 Q1012=</t>
  </si>
  <si>
    <t>METAR WAKT 131300Z 07004KT 5000 FEW008CB BKN009 23/22 Q1011 RERA=</t>
  </si>
  <si>
    <t>METAR WAKT 131400Z 12002KT 5000 FEW008CB BKN009 24/22 Q1011 RERA=</t>
  </si>
  <si>
    <t>METAR WAKT 131500Z 29002KT 5000 FEW008CB BKN009 24/22 Q1010 RERA=</t>
  </si>
  <si>
    <t>METAR WAKT 131600Z 00000KT 8000 BKN008 23/22 Q1009 NOSIG=</t>
  </si>
  <si>
    <t>METAR WAKT 131700Z 00000KT 8000 BKN008 23/22 Q1009 NOSIG=</t>
  </si>
  <si>
    <t>METAR WAKT 131800Z 00000KT 8000 BKN008 23/22 Q1009 NOSIG=</t>
  </si>
  <si>
    <t>METAR WAKT 131900Z 00000KT 8000 BKN008 23/22 Q1009 NOSIG=</t>
  </si>
  <si>
    <t>METAR WAKT 132000Z 31002KT 8000 BKN008 23/22 Q1010 NOSIG=</t>
  </si>
  <si>
    <t>METAR WAKT 132100Z 32003KT 8000 BKN008 23/22 Q1011 NOSIG=</t>
  </si>
  <si>
    <t>METAR WAKT 132200Z 32002KT 8000 BKN008 24/23 Q1011 NOSIG=</t>
  </si>
  <si>
    <t>METAR WAKT 132300Z 31003KT 8000 BKN009 25/24 Q1012 NOSIG=</t>
  </si>
  <si>
    <t xml:space="preserve">TAF WAKT 131100Z 1312/1412 15003KT 8000 BKN009 PROB40 TEMPO 1315/1317 00000KT 4000 RA FEW009CB BKN009 BECMG 1320/1322 25002KT NSW BKN008= </t>
  </si>
  <si>
    <t xml:space="preserve">TAF WAKT 131700Z 1318/1418 00000KT 8000 BKN009= </t>
  </si>
  <si>
    <t>METAR WAKT 140000Z 31003KT 8000 BKN009 25/24 Q1012 NOSIG=</t>
  </si>
  <si>
    <t>METAR WAKT 140100Z 31003KT 8000 BKN009 25/24 Q1012 NOSIG=</t>
  </si>
  <si>
    <t>METAR WAKT 140200Z 30003KT 8000 BKN009 28/25 Q1010 NOSIG=</t>
  </si>
  <si>
    <t>METAR WAKT 140300Z 12003KT 8000 BKN009 32/25 Q1009 NOSIG=</t>
  </si>
  <si>
    <t>METAR WAKT 140400Z 21002KT 8000 BKN009 34/25 Q1008 NOSIG=</t>
  </si>
  <si>
    <t>METAR WAKT 140500Z 02003KT 8000 BKN009 33/23 Q1007 NOSIG=</t>
  </si>
  <si>
    <t>TAF WAKT 132300Z 1400/1500 31002KT 8000 BKN009=</t>
  </si>
  <si>
    <t xml:space="preserve">TAF WAKT 140500Z 1406/1506 05004KT 8000 BKN009= </t>
  </si>
  <si>
    <t xml:space="preserve">METAR WAKT 140600Z 09002KT 8000 BKN009 33/24 Q1006 NOSIG= </t>
  </si>
  <si>
    <t xml:space="preserve">METAR WAKT 140700Z 13002KT 8000 BKN009 31/24 Q1007 NOSIG= </t>
  </si>
  <si>
    <t xml:space="preserve">TAF WAKT 141100Z 1412/1512 00000KT 8000 BKN009= </t>
  </si>
  <si>
    <t xml:space="preserve">TAF WAKT 141700Z 1418/1518 00000KT 8000 BKN009= </t>
  </si>
  <si>
    <t>METAR WAKT 141700Z 00000KT 8000 BKN009 26/24 Q1008 NOSIG=</t>
  </si>
  <si>
    <t>METAR WAKT 141600Z 26002KT 8000 BKN009 26/25 Q1009 NOSIG=</t>
  </si>
  <si>
    <t>METAR WAKT 141500Z 00000KT 8000 BKN009 27/25 Q1009 NOSIG=</t>
  </si>
  <si>
    <t>METAR WAKT 141400Z 00000KT 8000 BKN009 27/25 Q1009 NOSIG=</t>
  </si>
  <si>
    <t>METAR WAKT 141300Z 32001KT 8000 BKN009 27/25 Q1010 NOSIG=</t>
  </si>
  <si>
    <t>METAR WAKT 141200Z 35001KT 8000 BKN009 28/25 Q1010 NOSIG=</t>
  </si>
  <si>
    <t>METAR WAKT 141100Z 00000KT 8000 BKN009 28/26 Q1009 NOSIG=</t>
  </si>
  <si>
    <t>METAR WAKT 141000Z 00000KT 8000 BKN009 29/24 Q1009 NOSIG=</t>
  </si>
  <si>
    <t>METAR WAKT 140900Z 36002KT 8000 BKN009 30/23 Q1008 NOSIG=</t>
  </si>
  <si>
    <t>METAR WAKT 140800Z 04002KT 8000 BKN009 32/23 Q1007 NOSIG=</t>
  </si>
  <si>
    <t>METAR WAKT 142300Z 00000KT 7000 BKN008 24/24 Q1010 RERA=</t>
  </si>
  <si>
    <t>METAR WAKT 142200Z 09006KT 3000 +RA FEW008CB BKN009 24/23 Q1010=</t>
  </si>
  <si>
    <t>METAR WAKT 142100Z 04005KT 5000 RA BKN009 25/25 Q1009=</t>
  </si>
  <si>
    <t>METAR WAKT 142000Z 30002KT 8000 BKN009 26/25 Q1008 NOSIG=</t>
  </si>
  <si>
    <t>METAR WAKT 141900Z 00000KT 8000 BKN009 26/25 Q1008 NOSIG=</t>
  </si>
  <si>
    <t>METAR WAKT 141800Z 00000KT 8000 BKN009 26/25 Q1008 NOSIG=</t>
  </si>
  <si>
    <t xml:space="preserve">METAR WAKT 150000Z 00000KT 8000 BKN009 27/25 Q1010= </t>
  </si>
  <si>
    <t>METAR WAKT 150500Z 32003KT 8000 BKN009 28/25 Q1006=</t>
  </si>
  <si>
    <t>METAR WAKT 150400Z 32003KT 8000 BKN008 28/27 Q1007=</t>
  </si>
  <si>
    <t>METAR WAKT 150300Z 35003KT 8000 BKN008 26/24 Q1008=</t>
  </si>
  <si>
    <t>METAR WAKT 150100Z 04002KT 8000 BKN009 27/25 Q1010=</t>
  </si>
  <si>
    <t>METAR WAKT 150200Z 03003KT 4000 BKN00926/25 Q1009=</t>
  </si>
  <si>
    <t xml:space="preserve">TAF WAKT 142300Z 1500/1600 10003KT 8000 BKN009= </t>
  </si>
  <si>
    <t xml:space="preserve">TAF WAKT 150500Z 1506/1606 34003KT 8000 BKN009= </t>
  </si>
  <si>
    <t>METAR WAKT 150600Z 01004KT 8000 FEW008 BKN009 30/26 Q1005 NOSIG=</t>
  </si>
  <si>
    <t xml:space="preserve">METAR WAKT 150700Z 02004KT 8000 FEW008TCU BKN009 29/25 Q1006 NOSIG= </t>
  </si>
  <si>
    <t xml:space="preserve">TAF WAKT 151100Z 1512/1612 00000KT 8000 FEW008CB BKN009 BECMG 1514/1515 8000 NSW BKN009= </t>
  </si>
  <si>
    <t xml:space="preserve">TAF WAKT 151700Z 1518/1618 00000KT 8000 BKN008 PROB40 TEMPO 1520/1522 4000 RA FEW008CB BKN009 BECMG 1600/1602 32003KT NSW= </t>
  </si>
  <si>
    <t xml:space="preserve">TAF COR WAKT 152300Z 1600/1700 32003KT 8000 FEW008CB BKN009 PROB40 TEMPO 1609/1611 02002KT 4000 RA= </t>
  </si>
  <si>
    <t xml:space="preserve">TAF WAKT 160500Z 1606/1706 23003KT 8000 BKN009 PROB40 TEMPO 1610/1613 00000KT 4000 RA FEW009CB BKN008= </t>
  </si>
  <si>
    <t xml:space="preserve">METAR WAKT 150800Z 03003KT 8000 FEW008CB BKN009 29/25 Q1006 NOSIG= </t>
  </si>
  <si>
    <t xml:space="preserve">METAR WAKT 150900Z 08002KT 8000 FEW008CB BKN009 28/25 Q1007 NOSIG= </t>
  </si>
  <si>
    <t xml:space="preserve">METAR WAKT 151000Z 08002KT 8000 FEW008CB BKN009 27/25 Q1008 NOSIG= </t>
  </si>
  <si>
    <t xml:space="preserve">METAR WAKT 151100Z 00000KT 8000 BKN009 26/24 Q1009 NOSIG= </t>
  </si>
  <si>
    <t xml:space="preserve">METAR WAKT 151200Z 25002KT 8000 BKN009 26/25 Q1009 NOSIG= </t>
  </si>
  <si>
    <t xml:space="preserve">METAR WAKT 151300Z 24002KT 8000 BKN009 26/25 Q1009 NOSIG= </t>
  </si>
  <si>
    <t xml:space="preserve">METAR WAKT 151400Z 00000KT 8000 BKN009 26/25 Q1009 NOSIG= </t>
  </si>
  <si>
    <t xml:space="preserve">METAR WAKT 151500Z 02003KT 0400 RA BKN008 26/25 Q1010= </t>
  </si>
  <si>
    <t xml:space="preserve">METAR WAKT 151600Z 28002KT 8000 BKN009 26/25 Q1009 NOSIG= </t>
  </si>
  <si>
    <t xml:space="preserve">METAR WAKT 151700Z 00000KT 7000 BKN009 25/24 Q1009= </t>
  </si>
  <si>
    <t xml:space="preserve">METAR WAKT 151800Z 00000KT 8000 BKN009 25/24 Q1009= </t>
  </si>
  <si>
    <t xml:space="preserve">METAR WAKT 151900Z 35002KT 8000 BKN009 25/24 Q1008= </t>
  </si>
  <si>
    <t xml:space="preserve">METAR WAKT 152000Z 36002KT 8000 BKN009 25/24 Q1009 NOSIG= </t>
  </si>
  <si>
    <t xml:space="preserve">METAR WAKT 152100Z 04005KT 8000 RA BKN009 25/25 Q1009= </t>
  </si>
  <si>
    <t xml:space="preserve">METAR WAKT 152200Z 09006KT 3000 RA FEW008CB BKN009 24/23 Q1010= </t>
  </si>
  <si>
    <t xml:space="preserve">METAR WAKT 152300Z 22002KT 8000 BKN009 26/25 Q1010 NOSIG= </t>
  </si>
  <si>
    <t xml:space="preserve">METAR WAKT 160000Z 24002KT 8000 BKN009 28/26 Q1011 NOSIG= </t>
  </si>
  <si>
    <t xml:space="preserve">METAR WAKT 160100Z 24002KT 8000 BKN009 28/25 Q1010 NOSIG= </t>
  </si>
  <si>
    <t xml:space="preserve">METAR WAKT 160200Z 12002KT 8000 BKN009 31/26 Q1009 NOSIG= </t>
  </si>
  <si>
    <t xml:space="preserve">METAR WAKT 160300Z 32003KT 8000 BKN009 31/26 Q1008 NOSIG= </t>
  </si>
  <si>
    <t xml:space="preserve">METAR WAKT 160400Z 16004KT 8000 BKN009 32/26 Q1007 NOSIG= </t>
  </si>
  <si>
    <t xml:space="preserve">METAR WAKT 160500Z 13003KT 9000 SCT009 32/24 Q1006 NOSIG= </t>
  </si>
  <si>
    <t xml:space="preserve">METAR WAKT 160600Z 13005KT 9999 SCT009 32/24 Q1006 NOSIG= </t>
  </si>
  <si>
    <t xml:space="preserve">METAR WAKT 160700Z 24004KT 9999 SCT009 32/25 Q1006 NOSIG= </t>
  </si>
  <si>
    <t>METAR WAKT 160800Z 24003KT 9999 SCT009 31/25 Q1007 NOSIG=</t>
  </si>
  <si>
    <t>METAR WAKT 160900Z 24002KT 8000 BKN009 28/24 Q1007 NOSIG=</t>
  </si>
  <si>
    <t>METAR WAKT 161000Z 34002KT 8000 BKN009 25/24 Q1008 NOSIG=</t>
  </si>
  <si>
    <t>METAR WAKT 161100Z 36003KT 8000 SCT009 26/25 Q1009 NOSIG=</t>
  </si>
  <si>
    <t>METAR WAKT 161200Z 03004KT 2000 FEW008TCU OVC009 24/24 Q1010=</t>
  </si>
  <si>
    <t>METAR WAKT 161300Z 00000KT 2000 RA FEW008TCU OVC009 24/23 Q1011=</t>
  </si>
  <si>
    <t>METAR WAKT 161500Z 35002KT 6000 OVC009 24/23 Q1010 RERA=</t>
  </si>
  <si>
    <t>METAR WAKT 161600Z 31004KT 3000 RA BKN009 24/23 Q1010=</t>
  </si>
  <si>
    <t>METAR WAKT 161700Z 32004KT 7000 BKN009 24/23 Q1009 RERA=</t>
  </si>
  <si>
    <t>METAR WAKT 161800Z 29002KT 8000 BKN009 23/23 Q1009 RERA=</t>
  </si>
  <si>
    <t>METAR WAKT 161900Z 32002KT 8000 BKN008 23/23 Q1009=</t>
  </si>
  <si>
    <t>METAR WAKT 162000Z 00000KT 8000 BKN009 23/23 Q1010=</t>
  </si>
  <si>
    <t>METAR WAKT 162100Z 00000KT 8000 BKN008 23/23 Q1010=</t>
  </si>
  <si>
    <t>METAR WAKT 162200Z 00000KT 8000 BKN009 25/24 Q1010=</t>
  </si>
  <si>
    <t xml:space="preserve">TAF COR WAKT 161100Z 1612/1712 35003KT 4000 RA FEW008CB BKN009 BECMG 1613/1615 00000KT 8000 NSW BKN009= </t>
  </si>
  <si>
    <t xml:space="preserve">TAF WAKT 161700Z 1618/1718 31004KT 7000 BKN009= </t>
  </si>
  <si>
    <t>METAR WAKT 170000Z 33003KT 8000 BKN008 27/25 Q1012 NOSIG=</t>
  </si>
  <si>
    <t>METAR WAKT 170100Z 28005KT 8000 BKN008 28/25 Q1011 NOSIG=</t>
  </si>
  <si>
    <t>METAR WAKT 170200Z 29003KT 8000 BKN008 30/25 Q1010 NOSIG=</t>
  </si>
  <si>
    <t>METAR WAKT 170300Z 30004KT 8000 FEW008TCU BKN009 30/24 Q1009 NOSIG=</t>
  </si>
  <si>
    <t>METAR WAKT 170400Z 23004KT 8000 FEW008TCU BKN009 31/25 Q1008 NOSIG=</t>
  </si>
  <si>
    <t>METAR WAKT 170500Z 23003KT 8000 FEW008TCU BKN009 31/25 Q1007 NOSIG=</t>
  </si>
  <si>
    <t>METAR WAKT 170600Z 24003KT 8000 FEW008TCU BKN009 30/24 Q1007 NOSIG=</t>
  </si>
  <si>
    <t>METAR WAKT 162300Z 32003KT 8000 BKN008 25/24 Q1012 NOSIG=</t>
  </si>
  <si>
    <t>TAF WAKT 162300Z 1700/1800 30002KT 8000 BKN009=</t>
  </si>
  <si>
    <t>TAF WAKT 170500Z 1706/1806 25002KT 8000 FEW008TCU BKN009 TEMPO 1709/1712 4000 RA FEW008CB BKN009=</t>
  </si>
  <si>
    <t xml:space="preserve">METAR WAKT 170700Z 28003KT 8000 FEW008TCU BKN009 30/24 Q1007 NOSIG= </t>
  </si>
  <si>
    <t xml:space="preserve">METAR WAKT 170800Z 32002KT 8000 FEW008CB BKN009 31/25 Q1008 NOSIG= </t>
  </si>
  <si>
    <t xml:space="preserve"> METAR WAKT 170900Z 00000KT 8000 FEW008CB BKN009 29/24 Q1008 NOSIG= </t>
  </si>
  <si>
    <t xml:space="preserve"> METAR WAKT 171000Z 08002KT 4000 -RA FEW008CB BKN009 28/25 Q1010= </t>
  </si>
  <si>
    <t xml:space="preserve"> METAR WAKT 171100Z 04004KT 4000 -RA FEW008CB BKN009 27/25 Q1011= </t>
  </si>
  <si>
    <t xml:space="preserve"> METAR WAKT 171200Z 08002KT 4000 -RA FEW008CB BKN009 26/25 Q1011= </t>
  </si>
  <si>
    <t xml:space="preserve"> METAR WAKT 171300Z 01003KT 4000 -RA FEW008CB BKN009 26/25 Q1011= </t>
  </si>
  <si>
    <t xml:space="preserve"> METAR WAKT 171400Z 04003KT 5000 BKN009 26/25 Q1011 RERA NOSIG= </t>
  </si>
  <si>
    <t xml:space="preserve"> METAR WAKT 171500Z 00000KT 6000 BKN009 26/25 Q1010 NOSIG= </t>
  </si>
  <si>
    <t xml:space="preserve"> METAR WAKT 171600Z 00000KT 6000 BKN009 26/25 Q1010 NOSIG= </t>
  </si>
  <si>
    <t xml:space="preserve"> METAR WAKT 171700Z 00000KT 7000 BKN009 25/25 Q1009 NOSIG= </t>
  </si>
  <si>
    <t xml:space="preserve">METAR WAKT 171800Z 00000KT 8000 BKN009 25/25 Q1009 NOSIG= </t>
  </si>
  <si>
    <t xml:space="preserve">METAR WAKT 171900Z 00000KT 8000 BKN009 25/24 Q1009 NOSIG= </t>
  </si>
  <si>
    <t xml:space="preserve">METAR WAKT 172000Z 08002KT 8000 BKN009 25/24 Q1009 NOSIG= </t>
  </si>
  <si>
    <t xml:space="preserve">METAR WAKT 172100Z 08002KT 8000 BKN009 25/24 Q1010 NOSIG= </t>
  </si>
  <si>
    <t xml:space="preserve">METAR WAKT 172200Z 36002KT 8000 BKN009 25/24 Q1010 NOSIG= </t>
  </si>
  <si>
    <t xml:space="preserve">METAR WAKT 172300Z 00000KT 8000 BKN009 28/27 Q1010 NOSIG= </t>
  </si>
  <si>
    <t xml:space="preserve">METAR WAKT 180000Z 01003KT 8000 BKN009 29/26 Q1011 NOSIG= </t>
  </si>
  <si>
    <t xml:space="preserve">METAR WAKT 180100Z 27003KT 8000 SCT009 30/26 Q1010 NOSIG= </t>
  </si>
  <si>
    <t xml:space="preserve">METAR WAKT 180200Z 17002KT 8000 SCT009 31/26 Q1009 NOSIG= </t>
  </si>
  <si>
    <t xml:space="preserve">METAR WAKT 180300Z 25004KT 8000 BKN009 33/26 Q1008 NOSIG= </t>
  </si>
  <si>
    <t xml:space="preserve">METAR WAKT 180400Z 32003KT 8000 SCT009 34/26 Q1007 NOSIG= </t>
  </si>
  <si>
    <t xml:space="preserve">METAR WAKT 180500Z 21003KT 8000 SCT009 33/26 Q1007 NOSIG= </t>
  </si>
  <si>
    <t xml:space="preserve"> TAF WAKT 171100Z 1712/1812 05003KT 4000 RA FEW008CB BKN009 BECMG 1717/1720 8000 NSW BKN008= </t>
  </si>
  <si>
    <t xml:space="preserve"> TAF WAKT 171700Z 1718/1818 00000KT 7000 BKN009= </t>
  </si>
  <si>
    <t xml:space="preserve"> TAF WAKT 172300Z 1800/1900 00000KT 8000 BKN009 TEMPO 1808/1810 4000 RA FEW008CB BKN009= </t>
  </si>
  <si>
    <t xml:space="preserve"> TAF WAKT 180500Z 1806/1906 21003KT 8000 SCT009 TEMPO 1809/1811 4000 RA FEW008CB BKN009= </t>
  </si>
  <si>
    <t xml:space="preserve">METAR WAKT 180600Z 24004KT 8000 SCT009 35/27 Q1006 NOSIG= </t>
  </si>
  <si>
    <t xml:space="preserve"> METAR WAKT 180700Z 22002KT 8000 SCT009 33/26 Q1006 NOSIG= </t>
  </si>
  <si>
    <t>METAR WAKT 181100Z 35004KT 2000 TSRA FEW008TCU BKN009 26/25 Q1010 NOSIG=</t>
  </si>
  <si>
    <t>METAR WAKT 181000Z 30003KT 8000 FEW008CB BKN009 28/25 Q1008 NOSIG=</t>
  </si>
  <si>
    <t>METAR WAKT 180900Z 30003KT 8000 FEW008CB BKN009 30/25 Q1007 NOSIG=</t>
  </si>
  <si>
    <t>METAR WAKT 180800Z 20001KT 8000 SCT009 31/25 Q1006 NOSIG=</t>
  </si>
  <si>
    <t>METAR WAKT 181700Z 27004KT 5000 RA FEW008CB BKN009 25/24 Q1009=</t>
  </si>
  <si>
    <t>METAR WAKT 181600Z 00000KT 5000 RA FEW008CB BKN009 25/25 Q1009=</t>
  </si>
  <si>
    <t>METAR WAKT 181500Z 33003KT 5000 RA FEW008CB BKN009 25/24 Q1010=</t>
  </si>
  <si>
    <t>METAR WAKT 181400Z 08002KT 4000 RA FEW008CB BKN009 25/24 Q1010 NOSIG=</t>
  </si>
  <si>
    <t>METAR WAKT 181300Z 31003KT 4000 TSRA SCT008CB BKN009 25/25 Q1011 NOSIG=</t>
  </si>
  <si>
    <t>METAR WAKT 181200Z 00000KT 3000 TSRA SCT008CB BKN009 26/25 Q1011 NOSIG=</t>
  </si>
  <si>
    <t xml:space="preserve">TAF WAKT 181100Z 1812/1912 35004KT 2000 TSRA FEW008CB BKN009 BECMG 1821/1823 00000KT 8000 NSW BKN009= </t>
  </si>
  <si>
    <t xml:space="preserve">TAF WAKT 181700Z 1818/1918 32002KT 4000 RA FEW008CB BKN009 BECMG 1819/1820 7000 NSW BKN009= </t>
  </si>
  <si>
    <t>TSRA</t>
  </si>
  <si>
    <t>METAR WAKT 182300Z 02002KT 8000 BKN009 27/26 Q1011 NOSIG=</t>
  </si>
  <si>
    <t>METAR WAKT 182200Z 08003KT 8000 BKN008 26/26 Q1011 NOSIG=</t>
  </si>
  <si>
    <t>METAR WAKT 182100Z 12002KT 8000 BKN008 25/24 Q1011 NOSIG=</t>
  </si>
  <si>
    <t>METAR WAKT 182000Z 12002KT 8000 BKN008 25/25 Q1010 NOSIG=</t>
  </si>
  <si>
    <t>METAR WAKT 181900Z 08002KT 8000 BKN008 26/26 Q1011 NOSIG=</t>
  </si>
  <si>
    <t>METAR WAKT 181800Z 27003KT 5000 FEW008CB BKN009 25/24 Q1009 RERA=</t>
  </si>
  <si>
    <t>METAR WAKT 190500Z 23004KT 8000 BKN009 33/26 Q1006 NOSIG=</t>
  </si>
  <si>
    <t>METAR WAKT 190400Z 20003KT 8000 BKN009 32/25 Q1007 NOSIG=</t>
  </si>
  <si>
    <t>METAR WAKT 190300Z 30003KT 8000 BKN009 31/26 Q1009 NOSIG=</t>
  </si>
  <si>
    <t>METAR WAKT 190200Z 01002KT 8000 BKN009 31/27 Q1009 NOSIG=</t>
  </si>
  <si>
    <t>METAR WAKT 190100Z 30002KT 8000 BKN009 29/26 Q1010 NOSIG=</t>
  </si>
  <si>
    <t>METAR WAKT 190000Z 28002KT 8000 BKN009 28/26 Q1011 NOSIG=</t>
  </si>
  <si>
    <t xml:space="preserve">TAF WAKT 182300Z 1900/2000 27003KT 8000 BKN009 TEMPO 1906/1909 5000 RA FEW008CB BKN009= </t>
  </si>
  <si>
    <t xml:space="preserve">TAF WAKT 190500Z 1906/2006 25003KT 8000 BKN009 TEMPO 1911/1915 3000 RA FEW008CB BKN009= </t>
  </si>
  <si>
    <t xml:space="preserve">METAR WAKT 190600Z 20003KT 8000 BKN009 32/25 Q1005 NOSIG= </t>
  </si>
  <si>
    <t xml:space="preserve">METAR WAKT 190700Z 23003KT 8000 BKN009 32/26 Q1005 NOSIG= </t>
  </si>
  <si>
    <t xml:space="preserve">TAF WAKT 191100Z 1912/2012 17003KT 4000 RA FEW008CB BKN009 BECMG 1918/1919 7000 NSW BKN009= </t>
  </si>
  <si>
    <t xml:space="preserve">TAF WAKT 191700Z 1918/2018 17003KT 3000 RA FEW008CB BKN009 BECMG 1919/1921 23003KT 8000 NSW BKN009= </t>
  </si>
  <si>
    <t xml:space="preserve">TAF WAKT 192300Z 2000/2100 32003KT 8000 BKN009 PROB40 TEMPO 2002/2004 02002KT 4000 RA FEW008CB BKN009= </t>
  </si>
  <si>
    <t xml:space="preserve">TAF WAKT 200500Z 2006/2106 18003KT 8000 BKN009 PROB40 TEMPO 2009/2011 23002KT 4000 RA FEW008CB BKN009= </t>
  </si>
  <si>
    <t xml:space="preserve">METAR WAKT 190800Z 18003KT 8000 BKN009 29/25 Q1007 NOSIG= </t>
  </si>
  <si>
    <t xml:space="preserve">METAR WAKT 190900Z 18003KT 8000 BKN009 29/25 Q1007= </t>
  </si>
  <si>
    <t xml:space="preserve">METAR WAKT 191000Z 19002KT 8000 BKN009 27/24 Q1008 NOSIG= </t>
  </si>
  <si>
    <t xml:space="preserve">METAR WAKT 191100Z 17006KT 8000 TSRA FEW008CB BKN009 25/23 Q1009= </t>
  </si>
  <si>
    <t xml:space="preserve">METAR WAKT 191200Z 19003KT 3000 TSRA FEW008CB BKN009 25/23 Q1010= </t>
  </si>
  <si>
    <t xml:space="preserve">METAR WAKT 191300Z 35005KT 3000 RA FEW008CB BKN009 24/23 Q1011= </t>
  </si>
  <si>
    <t xml:space="preserve">METAR WAKT 191400Z 18005KT 3000 RA FEW008CB BKN009 24/23 Q1010= </t>
  </si>
  <si>
    <t xml:space="preserve">METAR WAKT 191500Z 09005KT 3000 RA FEW008CB BKN009 24/23 Q1010= </t>
  </si>
  <si>
    <t xml:space="preserve">METAR WAKT 191600Z 09003KT 3000 RA FEW008CB BKN009 24/23 Q1010= </t>
  </si>
  <si>
    <t xml:space="preserve">METAR WAKT 191700Z 08003KT 3000 RA FEW008CB BKN009 23/23 Q1009= </t>
  </si>
  <si>
    <t xml:space="preserve">METAR WAKT 191800Z 33004KT 3000 RA FEW008CB BKN009 24/23 Q1009= </t>
  </si>
  <si>
    <t xml:space="preserve">METAR WAKT 191900Z 35003KT 3000 RA FEW008CB BKN009 24/23 Q1010= </t>
  </si>
  <si>
    <t xml:space="preserve">METAR WAKT 192000Z 03002KT 3000 RA FEW008CB BKN009 24/23 Q1010= </t>
  </si>
  <si>
    <t xml:space="preserve">METAR WAKT 192100Z 02002KT 5000 BKN009 24/23 Q1011 RERA= </t>
  </si>
  <si>
    <t xml:space="preserve">METAR WAKT 192200Z 31002KT 6000 BKN009 24/23 Q1012 NOSIG= </t>
  </si>
  <si>
    <t xml:space="preserve">METAR WAKT 192300Z 32004KT 8000 SCT008TCU OVC009 25/24 Q1013= </t>
  </si>
  <si>
    <t xml:space="preserve">METAR WAKT 200000Z 32004KT 8000 BKN009 25/24 Q1013= </t>
  </si>
  <si>
    <t xml:space="preserve">METAR WAKT 200100Z 28003KT 8000 BKN008 26/25 Q1013= </t>
  </si>
  <si>
    <t xml:space="preserve">METAR WAKT 200200Z 27003KT 8000 OVC008 25/24 Q1013= </t>
  </si>
  <si>
    <t xml:space="preserve">METAR WAKT 200300Z 36003KT 7000 BKN008 26/25 Q1011= </t>
  </si>
  <si>
    <t xml:space="preserve">METAR WAKT 200400Z 35003KT 8000 BKN009 28/25 Q1010= </t>
  </si>
  <si>
    <t xml:space="preserve">METAR WAKT 200500Z 32004KT 8000 BKN008 28/25 Q1008= </t>
  </si>
  <si>
    <t xml:space="preserve">METAR WAKT 200600Z 33002KT 8000 BKN008 29/26 Q1008= </t>
  </si>
  <si>
    <t xml:space="preserve">METAR WAKT 200700Z 00000KT 8000 BKN008 29/25 Q1008= </t>
  </si>
  <si>
    <t>METAR WAKT 200800Z 15002KT 8000 BKN009 28/25 Q1009=</t>
  </si>
  <si>
    <t>METAR WAKT 200900Z 00000KT 8000 BKN008 27/25 Q1010=</t>
  </si>
  <si>
    <t>METAR WAKT 201000Z 00000KT 8000 BKN009 27/25 Q1010=</t>
  </si>
  <si>
    <t>METAR WAKT 201100Z 14002KT 8000 BKN009 26/24 Q1011 NOSIG=</t>
  </si>
  <si>
    <t>METAR WAKT 201200Z 14002KT 8000 BKN009 26/24 Q1011 NOSIG=</t>
  </si>
  <si>
    <t>METAR WAKT 201500Z 00000KT 8000 BKN009 25/24 Q1011 NOSIG=</t>
  </si>
  <si>
    <t>METAR WAKT 201600Z 00000KT 8000 BKN009 25/24 Q1010 NOSIG=</t>
  </si>
  <si>
    <t>METAR WAKT 201700Z 00000KT 8000 BKN009 24/23 Q1010 NOSIG=</t>
  </si>
  <si>
    <t>METAR WAKT 201800Z 00000KT 8000 BKN009 24/23 Q1010 NOSIG=</t>
  </si>
  <si>
    <t>METAR WAKT 201900Z 00000KT 8000 SCT009 24/23 Q1010 NOSIG=</t>
  </si>
  <si>
    <t>METAR WAKT 202000Z 00000KT 5000 BKN008 24/23 Q1010=</t>
  </si>
  <si>
    <t>METAR WAKT 202100Z 00000KT 5000 BKN008 24/23 Q1011=</t>
  </si>
  <si>
    <t>METAR WAKT 202200Z 00000KT 5000 BKN008 24/23 Q1011=</t>
  </si>
  <si>
    <t>METAR WAKT 202300Z 31004KT 7000 SCT008TCU BKN009 25/24 Q1013=</t>
  </si>
  <si>
    <t>METAR WAKT 210000Z 26002KT 7000 BKN009 29/27 Q1012 NOSIG=</t>
  </si>
  <si>
    <t>METAR WAKT 210100Z 25002KT 8000 BKN009 30/28 Q1012 NOSIG=</t>
  </si>
  <si>
    <t>METAR WAKT 210200Z 31003KT 9000 SCT009 32/27 Q1011 NOSIG=</t>
  </si>
  <si>
    <t>METAR WAKT 210300Z 33002KT 9999 SCT009 33/26 Q1010 NOSIG=</t>
  </si>
  <si>
    <t>METAR WAKT 210400Z 27004KT 9999 SCT009 34/24 Q1009 NOSIG=</t>
  </si>
  <si>
    <t>METAR WAKT 210500Z 24003KT 9999 SCT009 34/28 Q1008 NOSIG=</t>
  </si>
  <si>
    <t>TAF WAKT 201100Z 2012/2112 00000KT 8000 BKN009=</t>
  </si>
  <si>
    <t>TAF WAKT 201700Z 2018/2118 00000KT 8000 BKN009=</t>
  </si>
  <si>
    <t>TAF WAKT 202300Z 2100/2200 31004KT 8000 BKN009=</t>
  </si>
  <si>
    <t>TAF WAKT 210500Z 2106/2206 24003KT 9999 SCT009=</t>
  </si>
  <si>
    <t>METAR WAKT 210600Z 22005KT 9999 SCT009 34/23 Q1007 NOSIG=</t>
  </si>
  <si>
    <t>METAR WAKT 210700Z 16004KT 9999 SCT009 34/25 Q1007 NOSIG=</t>
  </si>
  <si>
    <t>TAF WAKT 211100Z 2112/2212 15002KT 8000 SCT010 TEMPO 2116/2118 4000 RA FEW008CB BKN009=</t>
  </si>
  <si>
    <t>TAF WAKT 211700Z 2118/2218 00000KT 8000 BKN009 BECMG 2122/2200 24003KT 9999 SCT009=</t>
  </si>
  <si>
    <t>TAF WAKT 212300Z 2200/2300 00000KT 8000 BKN008 PROB40 TEMPO 2209/2212 14002KT 4000 RA FEW008CB BKN009=</t>
  </si>
  <si>
    <t>TAF WAKT 220500Z 2206/2306 12003KT 8000 BKN008 PROB40 TEMPO 2209/2211 22002KT 4000 RA FEW008CB BKN009=</t>
  </si>
  <si>
    <t>METAR WAKT 210800Z 22003KT 9999 SCT009 33/24 Q1007 NOSIG=</t>
  </si>
  <si>
    <t>METAR WAKT 210900Z 00000KT 9999 SCT009 30/24 Q1008 NOSIG=</t>
  </si>
  <si>
    <t>METAR WAKT 211000Z 15002KT 9999 SCT009 29/24 Q1009 NOSIG=</t>
  </si>
  <si>
    <t>METAR WAKT 211100Z 15002KT 8000 SCT010 28/25 Q1010=</t>
  </si>
  <si>
    <t>METAR WAKT 211200Z 00000KT 8000 BKN009 27/25 Q1010=</t>
  </si>
  <si>
    <t>METAR WAKT 211300Z 00000KT 8000 SCT009 27/25 Q1010=</t>
  </si>
  <si>
    <t>METAR WAKT 211400Z 00000KT 8000 SCT009 26/25 Q1009=</t>
  </si>
  <si>
    <t>METAR WAKT 211600Z 00000KT 8000 BKN009 26/25 Q1009=</t>
  </si>
  <si>
    <t>METAR WAKT 211700Z 00000KT 8000 BKN008 26/25 Q1009=</t>
  </si>
  <si>
    <t>METAR WAKT 211800Z 00000KT 8000 BKN009 26/25 Q1009=</t>
  </si>
  <si>
    <t>METAR WAKT 211900Z 00000KT 8000 BKN008 26/25 Q1010=</t>
  </si>
  <si>
    <t>METAR WAKT 212000Z 00000KT 8000 BKN008 26/25 Q1009=</t>
  </si>
  <si>
    <t>METAR WAKT 212100Z 00000KT 8000 BKN008 25/24 Q1009=</t>
  </si>
  <si>
    <t>METAR WAKT 212200Z 00000KT 8000 BKN008 25/24 Q1010=</t>
  </si>
  <si>
    <t>METAR WAKT 212300Z 10004KT 8000 SCT008 28/26 Q1010 NOSIG=</t>
  </si>
  <si>
    <t>METAR WAKT 220000Z 11004KT 8000 BKN008 28/26 Q1010 NOSIG=</t>
  </si>
  <si>
    <t>METAR WAKT 220100Z 10004KT 8000 BKN008 29/26 Q1010 NOSIG=</t>
  </si>
  <si>
    <t>METAR WAKT 220200Z 08004KT 8000 BKN008 33/26 Q1008 NOSIG=</t>
  </si>
  <si>
    <t>METAR WAKT 220300Z 13004KT 8000 BKN008 31/25 Q1008 NOSIG=</t>
  </si>
  <si>
    <t>METAR WAKT 220400Z 13004KT 8000 BKN008 32/25 Q1007 NOSIG=</t>
  </si>
  <si>
    <t>METAR WAKT 220500Z 16008KT 8000 BKN008 33/26 Q1006 NOSIG=</t>
  </si>
  <si>
    <t>METAR WAKT 220600Z 13006KT 8000 FEW008 BKN009 32/25 Q1005 NOSIG=</t>
  </si>
  <si>
    <t xml:space="preserve">METAR WAKT 220700Z 14004KT 8000 FEW008TCU BKN009 32/25 Q1006 NOSIG= </t>
  </si>
  <si>
    <t>METAR WAKT 211500Z 00000KT 8000 SCT009 27/24 Q1010=</t>
  </si>
  <si>
    <t xml:space="preserve">METAR WAKT 220800Z 14004KT 8000 FEW008TCU BKN009 31/25 Q1006 NOSIG= </t>
  </si>
  <si>
    <t xml:space="preserve">METAR WAKT 220900Z 14005KT 8000 FEW008CB BKN009 31/25 Q1006 NOSIG= </t>
  </si>
  <si>
    <t xml:space="preserve">METAR WAKT 221000Z 15003KT 8000 FEW008CB BKN009 28/24 Q1008 NOSIG= </t>
  </si>
  <si>
    <t xml:space="preserve">METAR WAKT 221100Z 15002KT 8000 FEW008CB BKN009 28/25 Q1009 NOSIG= </t>
  </si>
  <si>
    <t>METAR WAKT 221700Z 15002KT 8000 FEW008CB BKN009 26/25 Q1008 NOSIG=</t>
  </si>
  <si>
    <t>METAR WAKT 221600Z 13003KT 8000 FEW008CB BKN009 26/25 Q1008 NOSIG=</t>
  </si>
  <si>
    <t>METAR WAKT 221500Z 15003KT 8000 FEW008CB BKN009 26/25 Q1009 NOSIG=</t>
  </si>
  <si>
    <t>METAR WAKT 221400Z 00000KT 8000 FEW008CB BKN009 26/25 Q1009 NOSIG=</t>
  </si>
  <si>
    <t>METAR WAKT 221300Z 00000KT 8000 FEW008CB BKN009 27/25 Q1010 NOSIG=</t>
  </si>
  <si>
    <t>METAR WAKT 221200Z 00000KT 8000 FEW008CB BKN009 27/25 Q1009 NOSIG=</t>
  </si>
  <si>
    <t xml:space="preserve">TAF WAKT 221100Z 2212/2312 14003KT 8000 FEW008CB BKN009 PROB40 TEMPO 2215/2217 00000KT 4000 RA BECMG 2220/2222 10003KT NSW BKN008= </t>
  </si>
  <si>
    <t xml:space="preserve">TAF WAKT 221700Z 2218/2318 00000KT 8000 FEW008CB BKN009 BECMG 2218/2219 8000 NSW BKN009= </t>
  </si>
  <si>
    <t>METAR WAKT 222300Z 27002KT 7000 OVC009 26/25 Q1011 NOSIG=</t>
  </si>
  <si>
    <t>METAR WAKT 222200Z 28002KT 8000 FEW008CB BKN009 26/25 Q1011 NOSIG=</t>
  </si>
  <si>
    <t>METAR WAKT 222100Z 34002KT 8000 FEW008CB BKN009 26/25 Q1009 NOSIG=</t>
  </si>
  <si>
    <t>METAR WAKT 222000Z 31002KT 8000 FEW008CB BKN009 26/25 Q1009 NOSIG=</t>
  </si>
  <si>
    <t>METAR WAKT 221900Z 00000KT 8000 FEW008CB BKN009 26/25 Q1008 NOSIG=</t>
  </si>
  <si>
    <t>METAR WAKT 221800Z 00000KT 8000 FEW008CB BKN009 26/25 Q1009 NOSIG=</t>
  </si>
  <si>
    <t>METAR WAKT 230500Z 02004KT 8000 BKN009 33/25 Q1006 NOSIG=</t>
  </si>
  <si>
    <t>METAR WAKT 230400Z 06003KT 8000 BKN009 33/26 Q1007 NOSIG=</t>
  </si>
  <si>
    <t>METAR WAKT 230300Z 10005KT 8000 BKN009 31/25 Q1008 NOSIG=</t>
  </si>
  <si>
    <t>METAR WAKT 230200Z 10007KT 8000 BKN008 31/26 Q1008 NOSIG=</t>
  </si>
  <si>
    <t>METAR WAKT 230100Z 10007KT 8000 BKN009 30/26 Q1010 NOSIG=</t>
  </si>
  <si>
    <t>METAR WAKT 230000Z 15002KT 7000 BKN009 28/26 Q1010 NOSIG=</t>
  </si>
  <si>
    <t xml:space="preserve">TAF WAKT 222300Z 2300/2400 10003KT 8000 BKN009 TEMPO 2305/2308 4000 RA= </t>
  </si>
  <si>
    <t xml:space="preserve">TAF WAKT 230500Z 2306/2406 12004KT 8000 BKN009 TEMPO 2308/2312 4000 RA FEW008CB BKN009= </t>
  </si>
  <si>
    <t xml:space="preserve">METAR WAKT 230600Z 29002KT 8000 BKN009 30/26 Q1006 RERA= </t>
  </si>
  <si>
    <t xml:space="preserve">METAR WAKT 230700Z 17003KT 8000 BKN009 27/25 Q1007 NOSIG= </t>
  </si>
  <si>
    <t xml:space="preserve">METAR WAKT 240700Z 27002KT 8000 BKN009 31/26 Q1009 NOSIG= </t>
  </si>
  <si>
    <t xml:space="preserve">METAR WAKT 240900Z 00000KT 5000 SCT008 BKN009 25/24 Q1011= </t>
  </si>
  <si>
    <t xml:space="preserve">METAR WAKT 241000Z 00000KT 7000 SCT008 BKN009 25/24 Q1011 NOSIG= </t>
  </si>
  <si>
    <t xml:space="preserve">METAR WAKT 241100Z 00000KT 8000 BKN009 27/26 Q1010 NOSIG= </t>
  </si>
  <si>
    <t xml:space="preserve">METAR WAKT 241200Z 34002KT 6000 BKN009 27/26 Q1010 RERA= </t>
  </si>
  <si>
    <t xml:space="preserve">METAR WAKT 241300Z 00000KT 8000 BKN009 26/25 Q1010 NOSIG= </t>
  </si>
  <si>
    <t xml:space="preserve">METAR WAKT 241400Z 11003KT 8000 BKN009 26/25 Q1010 NOSIG= </t>
  </si>
  <si>
    <t xml:space="preserve">METAR WAKT 241500Z 23005KT 8000 BKN009 25/24 Q1010 NOSIG= </t>
  </si>
  <si>
    <t xml:space="preserve">METAR WAKT 241600Z 09004KT 5000 RA FEW008CB BKN009 24/24 Q1010= </t>
  </si>
  <si>
    <t xml:space="preserve">METAR WAKT 241700Z 01003KT 3000 RA FEW008CB BKN009 24/24 Q1010= </t>
  </si>
  <si>
    <t xml:space="preserve">METAR WAKT 241800Z 35004KT 1000 +RA FEW008CB BKN009 24/23 Q1010= </t>
  </si>
  <si>
    <t xml:space="preserve">METAR WAKT 241900Z 36004KT 1000 +RA FEW008CB BKN009 24/24 Q1010= </t>
  </si>
  <si>
    <t xml:space="preserve">METAR WAKT 240600Z 21002KT 8000 BKN009 30/27 Q1008= </t>
  </si>
  <si>
    <t xml:space="preserve">METAR WAKT 242000Z 00000KT 2000 RA FEW008CB BKN009 24/23 Q1011= </t>
  </si>
  <si>
    <t xml:space="preserve">METAR WAKT 242100Z 30002KT 1000 RA FEW008CB BKN009 24/23 Q1010= </t>
  </si>
  <si>
    <t xml:space="preserve">METAR WAKT 242200Z 00000KT 2000 RA FEW008CB BKN009 24/24 Q1010= </t>
  </si>
  <si>
    <t xml:space="preserve">METAR WAKT 242300Z 00000KT 2000 RA OVC008 25/24 Q1013= </t>
  </si>
  <si>
    <t xml:space="preserve">METAR WAKT 250000Z 00000KT 2000 OVC008 25/25 Q1013 RERA= </t>
  </si>
  <si>
    <t xml:space="preserve">METAR WAKT 250100Z 30002KT 8000 BKN008 26/24 Q1012 RERA= </t>
  </si>
  <si>
    <t xml:space="preserve">METAR WAKT 250200Z 00000KT 8000 BKN008 26/24 Q1011= </t>
  </si>
  <si>
    <t xml:space="preserve">METAR WAKT 250300Z 00000KT 8000 BKN008 27/24 Q1011= </t>
  </si>
  <si>
    <t xml:space="preserve">METAR WAKT 250400Z 00000KT 8000 BKN009 28/24 Q1009= </t>
  </si>
  <si>
    <t xml:space="preserve">METAR WAKT 250500Z 07003KT 8000 BKN009 28/24 Q1008= </t>
  </si>
  <si>
    <t xml:space="preserve"> TAF WAKT 241700Z 2418/2518 33003KT 3000 RA FEW008CB BKN009 BECMG 2502/2504 7000 NSW BKN009= </t>
  </si>
  <si>
    <t xml:space="preserve"> TAF WAKT 242300Z 2500/2600 00000KT 3000 RA FEW008CB BKN009 BECMG 2503/2505 7000 NSW BKN009= </t>
  </si>
  <si>
    <t xml:space="preserve"> TAF WAKT 250500Z 2506/2606 00000KT 8000 SCT009 TEMPO 2510/2512 3000 RA FEW008CB BKN009= </t>
  </si>
  <si>
    <t xml:space="preserve"> TAF WAKT 241100Z 2412/2512 00000KT 8000 FEW008 BKN009 TEMPO 2416/2418 RA 4000= </t>
  </si>
  <si>
    <t xml:space="preserve"> METAR WAKT 250600Z 07003KT 8000 BKN009 28/25 Q1008= </t>
  </si>
  <si>
    <t>METAR WAKT 251100Z 00000KT 7000 DZ BKN009 25/20 Q1012=</t>
  </si>
  <si>
    <t>METAR WAKT 251000Z 00000KT 8000 FEW008TCU BKN009 27/26 Q1010=</t>
  </si>
  <si>
    <t>METAR WAKT 250900Z 00000KT 8000 BKN009 27/25 Q1010=</t>
  </si>
  <si>
    <t>METAR WAKT 250800Z 00000KT 8000 BKN009 27/25 Q1008=</t>
  </si>
  <si>
    <t>METAR WAKT 250700Z 07002KT 8000 BKN008 29/25 Q1008=</t>
  </si>
  <si>
    <t>METAR WAKT 251700Z 00000KT 8000 BKN009 25/24 Q1010 NOSIG=</t>
  </si>
  <si>
    <t>METAR WAKT 251600Z 00000KT 5000 DZ BKN009 25/24 Q1010=</t>
  </si>
  <si>
    <t>METAR WAKT 251500Z 00000KT 8000 BKN009 25/25 Q1011 NOSIG=</t>
  </si>
  <si>
    <t>METAR WAKT 251400Z 00000KT 8000 BKN009 24/24 Q1012 NOSIG=</t>
  </si>
  <si>
    <t>METAR WAKT 251300Z 00000KT 8000 BKN009 25/24 Q1012=</t>
  </si>
  <si>
    <t>METAR WAKT 251200Z 00000KT 8000 SCT008 BKN009 25/24 Q1012 NOSIG=</t>
  </si>
  <si>
    <t>METAR WAKT 252300Z 00000KT 7000 BKN009 25/24 Q1011 NOSIG=</t>
  </si>
  <si>
    <t>METAR WAKT 252200Z 00000KT 7000 BKN009 24/23 Q1010 NOSIG=</t>
  </si>
  <si>
    <t>METAR WAKT 252100Z 00000KT 8000 BKN009 24/23 Q1010 NOSIG=</t>
  </si>
  <si>
    <t>METAR WAKT 252000Z 00000KT 7000 BKN009 21/20 Q1010 NOSIG=</t>
  </si>
  <si>
    <t>METAR WAKT 251900Z 00000KT 7000 BKN009 20/20 Q1009 NOSIG=</t>
  </si>
  <si>
    <t>METAR WAKT 251800Z 00000KT 5000 RA BKN008 24/23 Q1010</t>
  </si>
  <si>
    <t>METAR WAKT 260500Z 10002KT 8000 SCT009 30/25 Q1007 NOSIG=</t>
  </si>
  <si>
    <t>METAR WAKT 260400Z 00000KT 8000 FEW008CB SCT009 30/24 Q1008 REDZ NOSIG=</t>
  </si>
  <si>
    <t>METAR WAKT 260300Z 10002KT 5000 -DZ FEW008CB SCT009 28/25 Q1009 RERA=</t>
  </si>
  <si>
    <t>METAR WAKT 260200Z 29003KT 8000 BKN009 28/25 Q1010 NOSIG=</t>
  </si>
  <si>
    <t>METAR WAKT 260100Z 24004KT 8000 FEW008CB BKN009 26/25 Q1011 NOSIG=</t>
  </si>
  <si>
    <t>METAR WAKT 260000Z 27003KT 8000 FEW008CB BKN009 27/24 Q1011 NOSIG=</t>
  </si>
  <si>
    <t xml:space="preserve">TAF WAKT 251100Z 2512/2612 00000KT 8000 BKN009 TEMPO 2514/2516 3000 RA FEW008CB BKN009= </t>
  </si>
  <si>
    <t>TAF WAKT 251700Z 2518/2618 00000KT 8000 BKN009=</t>
  </si>
  <si>
    <t xml:space="preserve">TAF WAKT 252300Z 2600/2700 11003KT 8000 BKN009= </t>
  </si>
  <si>
    <t xml:space="preserve">TAF WAKT 260500Z 2606/2706 13003KT 8000 SCT009 TEMPO 2611/2614 4000 RA FEW008CB BKN009= </t>
  </si>
  <si>
    <t xml:space="preserve">METAR WAKT 260600Z 12002KT 8000 SCT009 30/26 Q1006 NOSIG= </t>
  </si>
  <si>
    <t xml:space="preserve">METAR WAKT 260700Z 00000KT 5000 SCT009TCU 29/26 Q1006 RERA NOSIG= </t>
  </si>
  <si>
    <t xml:space="preserve">TAF WAKT 240500Z 2306/2406 25004KT 8000 BKN009= </t>
  </si>
  <si>
    <t xml:space="preserve">TAF WAKT 232300Z 2400/2500 00000KT 8000 FEW008 BKN009 TEMPO 2404/2407 4000 RA= </t>
  </si>
  <si>
    <t>METAR WAKT 230800Z 29002KT 8000 BKN009 27/25 Q1007 NOSIG=</t>
  </si>
  <si>
    <t>METAR WAKT 230900Z 28002KT 8000 BKN009 27/25 Q1008 NOSIG=</t>
  </si>
  <si>
    <t>METAR WAKT 231000Z 00000KT 8000 BKN009 27/25 Q1009 NOSIG=</t>
  </si>
  <si>
    <t>METAR WAKT 231100Z 31002KT 8000 FEW008CB BKN009 27/25 Q1010 NOSIG=</t>
  </si>
  <si>
    <t>METAR WAKT 231300Z 36003KT 8000 FEW008CB BKN009 26/25 Q1010 NOSIG=</t>
  </si>
  <si>
    <t>METAR WAKT 231400Z 05003KT 1000 RA FEW008CB BKN009 26/25 Q1010=</t>
  </si>
  <si>
    <t>METAR WAKT 231500Z 12008KT 0700 TSRA SCT008CB BKN009 24/24 Q1010=</t>
  </si>
  <si>
    <t>METAR WAKT 231600Z 09004KT 0700 TSRA FEW008CB BKN009 24/23 Q1010=</t>
  </si>
  <si>
    <t>METAR WAKT 231700Z 03003KT 0700 TSRA FEW008CB BKN009 24/23 Q1010=</t>
  </si>
  <si>
    <t>METAR WAKT 231800Z 36004KT 0700 RA FEW008CB BKN009 24/23 Q1010 RETS=</t>
  </si>
  <si>
    <t>METAR WAKT 231900Z 22002KT 0700 RA OVC008 24/24 Q1012=</t>
  </si>
  <si>
    <t>METAR WAKT 232000Z 00000KT 0700 RA OVC008 24/23 Q1011=</t>
  </si>
  <si>
    <t>METAR WAKT 232100Z 30002KT 1000 OVC008 24/23 Q1011 NOSIG=</t>
  </si>
  <si>
    <t>METAR WAKT 232200Z 22002KT 0800 RA OVC008 24/24 Q1012=</t>
  </si>
  <si>
    <t>METAR WAKT 232300Z 00000KT 5000 DZ SCT008 BKN009 24/24 Q1012=</t>
  </si>
  <si>
    <t>METAR WAKT 240000Z 12002KT 5000 DZ SCT008 BKN009 25/24 Q1012=</t>
  </si>
  <si>
    <t>METAR WAKT 240100Z 12002KT 5000 SCT008 BKN009 25/25 Q1011=</t>
  </si>
  <si>
    <t>METAR WAKT 240200Z 11003KT 5000 SCT008 SCT009 26/25 Q1011 NOSIG=</t>
  </si>
  <si>
    <t>METAR WAKT 240300Z 13004KT 7000 BKN009 28/26 Q1010 NOSIG=</t>
  </si>
  <si>
    <t>METAR WAKT 240400Z 15004KT 8000 BKN009 28/27 Q1010 NOSIG=</t>
  </si>
  <si>
    <t>METAR WAKT 240500Z 16002KT 8000 BKN009 29/26 Q1009 NOSIG=</t>
  </si>
  <si>
    <t>METAR WAKT 240600Z 21002KT 8000 BKN009 30/27 Q1008=</t>
  </si>
  <si>
    <t>METAR WAKT 240700Z 27002KT 8000 BKN009 31/26 Q1009 NOSIG=</t>
  </si>
  <si>
    <t xml:space="preserve">TAF WAKT 231100Z 2312/2412 08004KT 8000 FEW008CB BKN009 TEMPO 2314/2318 2000 TSRA= </t>
  </si>
  <si>
    <t>TAF WAKT 231700Z 2318/2418 02004KT 1000 TSRA FEW008CB OVC009 BECMG 2320/2400 7000 NSW BKN009=</t>
  </si>
  <si>
    <t xml:space="preserve">TAF WAKT 261100Z 2612/2712 00000KT 8000 BKN009= </t>
  </si>
  <si>
    <t xml:space="preserve">TAF WAKT 261700Z 2618/2718 00000KT 8000 BKN009 PROB40 TEMPO 2619/2621 4000 RA FEW008CB BKN009= </t>
  </si>
  <si>
    <t xml:space="preserve">TAF WAKT 262300Z 2700/2800 13003KT 8000 BKN009= </t>
  </si>
  <si>
    <t xml:space="preserve">TAF WAKT 270500Z 2706/2806 15003KT 8000 FEW008CB BKN009 PROB40 TEMPO 2711/2714 00000KT 4000 RA= </t>
  </si>
  <si>
    <t xml:space="preserve">METAR WAKT 260800Z 00000KT 8000 SCT009 29/25 Q1007 NOSIG= </t>
  </si>
  <si>
    <t xml:space="preserve">METAR WAKT 260900Z 00000KT 8000 SCT009 29/26 Q1008 NOSIG= </t>
  </si>
  <si>
    <t xml:space="preserve">METAR WAKT 261000Z 00000KT 8000 SCT009 28/26 Q1009 NOSIG= </t>
  </si>
  <si>
    <t xml:space="preserve">METAR WAKT 261100Z 00000KT 8000 BKN009 26/25 Q1010= </t>
  </si>
  <si>
    <t xml:space="preserve">METAR WAKT 261200Z 00000KT 8000 SCT008 26/25 Q1010= </t>
  </si>
  <si>
    <t xml:space="preserve">METAR WAKT 261400Z 00000KT 8000 BKN009 26/25 Q1010= </t>
  </si>
  <si>
    <t xml:space="preserve">METAR WAKT 261500Z 00000KT 8000 BKN009 26/25 Q1010= </t>
  </si>
  <si>
    <t xml:space="preserve">METAR WAKT 261600Z 00000KT 8000 BKN009 26/25 Q1008= </t>
  </si>
  <si>
    <t xml:space="preserve">METAR WAKT 261700Z 09002KT 8000 BKN009 25/24 Q1008= </t>
  </si>
  <si>
    <t xml:space="preserve">METAR WAKT 261800Z 14003KT 8000 BKN009 25/24 Q1008= </t>
  </si>
  <si>
    <t xml:space="preserve">METAR WAKT 261900Z 12003KT 8000 BKN009 25/24 Q1009= </t>
  </si>
  <si>
    <t xml:space="preserve">METAR WAKT 262000Z 16002KT 8000 BKN009 25/24 Q1009= </t>
  </si>
  <si>
    <t xml:space="preserve">METAR WAKT 262100Z 00000KT 8000 BKN009 25/24 Q1009= </t>
  </si>
  <si>
    <t xml:space="preserve">METAR WAKT 262200Z 12003KT 8000 BKN009 24/24 Q1010= </t>
  </si>
  <si>
    <t xml:space="preserve">METAR WAKT 270000Z 12005KT 8000 BKN008 28/25 Q1011 NOSIG= </t>
  </si>
  <si>
    <t xml:space="preserve">METAR WAKT 270100Z 12005KT 8000 BKN008 29/25 Q1011 NOSIG= </t>
  </si>
  <si>
    <t xml:space="preserve">METAR WAKT 270200Z 00000KT 8000 BKN008 30/25 Q1010 NOSIG= </t>
  </si>
  <si>
    <t xml:space="preserve">METAR WAKT 270300Z 16006KT 8000 BKN008 31/25 Q1008 NOSIG= </t>
  </si>
  <si>
    <t xml:space="preserve">METAR WAKT 270400Z 10006KT 8000 FEW008 BKN009 30/25 Q1007 NOSIG= </t>
  </si>
  <si>
    <t xml:space="preserve">METAR WAKT 270500Z 14004KT 8000 FEW008TCU SCT009 30/26 Q1006 NOSIG= </t>
  </si>
  <si>
    <t xml:space="preserve">METAR WAKT 261300Z 00000KT 8000 SCT009 26/25 Q1011 NOSIG= </t>
  </si>
  <si>
    <t xml:space="preserve">METAR WAKT 262300Z 00000KT 8000 BKN009 29/25 Q1010 NOSIG= </t>
  </si>
  <si>
    <t xml:space="preserve">METAR WAKT 262300Z 00000KT 8000 BKN008 29/25 Q1010 NOSIG= </t>
  </si>
  <si>
    <t xml:space="preserve">METAR WAKT 270600Z 15004KT 8000 FEW008TCU BKN009 30/25 Q1006 NOSIG= </t>
  </si>
  <si>
    <t xml:space="preserve">METAR WAKT 270700Z 15004KT 8000 FEW008TCU BKN009 32/25 Q1006 NOSIG= </t>
  </si>
  <si>
    <t>METAR WAKT 270800Z 09004KT 8000 FEW008CB BKN009 28/25 Q1007 NOSIG=</t>
  </si>
  <si>
    <t>METAR WAKT 270900Z 07003KT 8000 FEW008CB BKN009 27/25 Q1007 NOSIG=</t>
  </si>
  <si>
    <t>METAR WAKT 271000Z 00000KT 8000 FEW008 BKN009 27/25 Q1008 NOSIG=</t>
  </si>
  <si>
    <t>METAR WAKT 271100Z 04002KT 8000 FEW008CB SCT009 26/25 Q1010 NOSIG=</t>
  </si>
  <si>
    <t>METAR WAKT 271200Z 04002KT 8000 FEW008CB SCT009 26/24 Q1010 NOSIG=</t>
  </si>
  <si>
    <t>METAR WAKT 271300Z 09002KT 8000 FEW008CB SCT009 26/25 Q1010 NOSIG=</t>
  </si>
  <si>
    <t>METAR WAKT 271400Z 00000KT 8000 FEW008CB BKN009 26/25 Q1010 NOSIG=</t>
  </si>
  <si>
    <t>METAR WAKT 271500Z 09003KT 8000 FEW008CB BKN009 26/24 Q1010 NOSIG=</t>
  </si>
  <si>
    <t>METAR WAKT 271600Z 10003KT 4000 -RA FEW008CB BKN009 25/24 Q1009=</t>
  </si>
  <si>
    <t>METAR WAKT 271700Z 10003KT 4000 -RA FEW008CB BKN009 25/24 Q1009=</t>
  </si>
  <si>
    <t>METAR WAKT 271800Z 00000KT 4000 -DZ FEW008CB BKN009 25/24 Q1009 RERA=</t>
  </si>
  <si>
    <t>METAR WAKT 271900Z 00000KT 6000 FEW008 SCT009 25/24 Q1009 REDZ NOSIG=</t>
  </si>
  <si>
    <t>METAR WAKT 272000Z 00000KT 6000 FEW008CB BKN009 25/24 Q1010 NOSIG=</t>
  </si>
  <si>
    <t>METAR WAKT 272100Z 00000KT 6000 FEW008CB BKN009 24/24 Q1010 NOSIG=</t>
  </si>
  <si>
    <t>METAR WAKT 272200Z 00000KT 8000 BKN009 24/24 Q1011 NOSIG=</t>
  </si>
  <si>
    <t>METAR WAKT 272300Z 00000KT 8000 BKN009 25/24 Q1012 NOSIG=</t>
  </si>
  <si>
    <t>METAR WAKT 280000Z 14003KT 8000 BKN009 27/25 Q1012 NOSIG=</t>
  </si>
  <si>
    <t>METAR WAKT 280100Z 10004KT 8000 BKN009 28/26 Q1011 NOSIG=</t>
  </si>
  <si>
    <t>METAR WAKT 280200Z 09005KT 8000 BKN009 31/26 Q1010 NOSIG=</t>
  </si>
  <si>
    <t>METAR WAKT 280300Z 10003KT 8000 BKN009 30/25 Q1009 NOSIG=</t>
  </si>
  <si>
    <t xml:space="preserve">TAF WAKT 271100Z 2712/2812 15003KT 8000 FEW008CB BKN009 PROB40 TEMPO 2715/2717 00000KT 4000 RA BECMG 2720/2722 10002KT NSW BKN009= </t>
  </si>
  <si>
    <t>TAF WAKT 271700Z 2718/2818 00000KT 4000 RA FEW008CB BKN009 BECMG 2720/2722 12003KT 7000 NSW BKN009=</t>
  </si>
  <si>
    <t>TAF WAKT 272300Z 2800/2900 00000KT 8000 BKN009=</t>
  </si>
  <si>
    <t>METAR WAKT 280400Z 10006KT 8000 BKN009 31/25 Q1008 NOSIG=</t>
  </si>
  <si>
    <t>METAR WAKT 280500Z 13004KT 8000 BKN009 31/26 Q1007 NOSIG=</t>
  </si>
  <si>
    <t>METAR WAKT 280600Z 15004KT 8000 SCT009 32/26 Q1007 NOSIG=</t>
  </si>
  <si>
    <t xml:space="preserve">TAF WAKT 280500Z 2806/2906 13004KT 8000 BKN009 PROB40 TEMPO 2809/2811 00000KT 4000 RA FEW008CB BKN009= </t>
  </si>
  <si>
    <t xml:space="preserve">METAR WAKT 280700Z 16003KT 8000 SCT009 32/25 Q1007 NOSIG= </t>
  </si>
  <si>
    <t>METAR WAKT 281100Z 00000KT 8000 FEW008CB BKN009 27/24 Q1010 NOSIG=</t>
  </si>
  <si>
    <t>METAR WAKT 281000Z 00000KT 8000 SCT009 28/25 Q1009 NOSIG=</t>
  </si>
  <si>
    <t>METAR WAKT 280900Z 00000KT 8000 SCT009 29/25 Q1009 NOSIG=</t>
  </si>
  <si>
    <t>METAR WAKT 280800Z 12003KT 8000 SCT009 31/25 Q1008 NOSIG=</t>
  </si>
  <si>
    <t>METAR WAKT 281700Z 00000KT 8000 BKN008 25/24 Q1009 NOSIG=</t>
  </si>
  <si>
    <t>METAR WAKT 281600Z 00000KT 8000 BKN008 25/24 Q1009 NOSIG=</t>
  </si>
  <si>
    <t>METAR WAKT 281500Z 00000KT 8000 FEW008CB BKN009 26/24 Q1009 NOSIG=</t>
  </si>
  <si>
    <t>METAR WAKT 281400Z 00000KT 8000 FEW008CB BKN009 26/25 Q1010 NOSIG=</t>
  </si>
  <si>
    <t>METAR WAKT 281300Z 00000KT 8000 FEW008CB BKN009 26/25 Q1010 NOSIG=</t>
  </si>
  <si>
    <t>METAR WAKT 281200Z 00000KT 8000 FEW008CB BKN009 27/24 Q1011 NOSIG=</t>
  </si>
  <si>
    <t xml:space="preserve">TAF WAKT 281100Z 2812/2912 00000KT 8000 FEW008CB BKN009 TEMPO 2815/2817 4000 RA BECMG 2718/2720 12003KT NSW BKN009= </t>
  </si>
  <si>
    <t xml:space="preserve">TAF WAKT 281700Z 2818/2918 00000KT 8000 BKN009 TEMPO 2819/2821 4000 RA= </t>
  </si>
  <si>
    <t>METAR WAKT 282300Z 00000KT 8000 BKN009 30/28 Q1011=</t>
  </si>
  <si>
    <t>METAR WAKT 282200Z 00000KT 8000 BKN008 27/26 Q1011 NOSIG=</t>
  </si>
  <si>
    <t>METAR WAKT 282100Z 00000KT 8000 BKN008 26/25 Q1011 NOSIG=</t>
  </si>
  <si>
    <t>METAR WAKT 282000Z 00000KT 8000 BKN008 26/25 Q1010 NOSIG=</t>
  </si>
  <si>
    <t>METAR WAKT 281900Z 00000KT 8000 BKN008 26/25 Q1010 NOSIG=</t>
  </si>
  <si>
    <t>METAR WAKT 281800Z 00000KT 8000 BKN008 25/24 Q1009 NOSIG=</t>
  </si>
  <si>
    <t>METAR WAKT 290500Z 12004KT 8000 BKN009 32/25 Q1008 NOSIG=</t>
  </si>
  <si>
    <t>METAR WAKT 290400Z 12005KT 0100 BKN009 31/25 Q1009 NOSIG=</t>
  </si>
  <si>
    <t>METAR WAKT 290200Z 10006KT 8000 BKN009 29/25 Q1011=</t>
  </si>
  <si>
    <t>METAR WAKT 290100Z 10005KT 8000 BKN009 28/25 Q1011 NOSIG=</t>
  </si>
  <si>
    <t>METAR WAKT 290000Z 12006KT 8000 BKN009 28/25 Q1011 NOSIG=</t>
  </si>
  <si>
    <t>METAR WAKT 290300Z 10006KT 8000 BKN009 31/25 Q1010 NOSIG=</t>
  </si>
  <si>
    <t xml:space="preserve">TAF WAKT 282300Z 2900/3000 14004KT 8000 BKN009= </t>
  </si>
  <si>
    <t xml:space="preserve">TAF WAKT 290500Z 2906/3006 13004KT 8000 BKN009= </t>
  </si>
  <si>
    <t xml:space="preserve">METAR WAKT 290600Z 15003KT 8000 BKN009 33/25 Q1006 NOSIG= </t>
  </si>
  <si>
    <t>METAR WAKT 290700Z 15004KT 8000 BKN009 33/24 Q1006 NOSIG=</t>
  </si>
  <si>
    <t xml:space="preserve">TAF WAKT 291100Z 2912/3012 00000KT 8000 BKN009= </t>
  </si>
  <si>
    <t xml:space="preserve">TAF WAKT 291700Z 2918/3018 00000KT 8000 BKN008 BECMG 2922/3000 11003KT 8000 BKN009= </t>
  </si>
  <si>
    <t xml:space="preserve">TAF WAKT 292300Z 3000/0100 11003KT 8000 BKN009= </t>
  </si>
  <si>
    <t xml:space="preserve">TAF WAKT 300500Z 3006/0106 13003KT 8000 BKN008= </t>
  </si>
  <si>
    <t xml:space="preserve">METAR WAKT 290800Z 00000KT 8000 BKN009 31/24 Q1008 NOSIG= </t>
  </si>
  <si>
    <t xml:space="preserve">METAR WAKT 290900Z 00000KT 8000 BKN009 30/26 Q1008 NOSIG= </t>
  </si>
  <si>
    <t xml:space="preserve">METAR WAKT 291000Z 00000KT 8000 BKN009 30/24 Q1008 NOSIG= </t>
  </si>
  <si>
    <t xml:space="preserve">METAR WAKT 291100Z 00000KT 8000 SCT009 27/25 Q1011 NOSIG= </t>
  </si>
  <si>
    <t xml:space="preserve">METAR WAKT 291200Z 00000KT 8000 SCT009 27/25 Q1011 NOSIG= </t>
  </si>
  <si>
    <t xml:space="preserve">METAR WAKT 291300Z 00000KT 8000 SCT009 26/25 Q1011 NOSIG= </t>
  </si>
  <si>
    <t xml:space="preserve">METAR WAKT 291400Z 00000KT 8000 SCT009 26/25 Q1011 NOSIG= </t>
  </si>
  <si>
    <t xml:space="preserve">METAR WAKT 291500Z 03001KT 8000 SCT009 26/25 Q1011 NOSIG= </t>
  </si>
  <si>
    <t xml:space="preserve">METAR WAKT 291600Z 07004KT 8000 SCT009 26/25 Q1010 NOSIG= </t>
  </si>
  <si>
    <t xml:space="preserve">METAR WAKT 291700Z 00000KT 8000 BKN009 25/24 Q1010 NOSIG= </t>
  </si>
  <si>
    <t xml:space="preserve">METAR WAKT 291800Z 16002KT 8000 BKN009 25/24 Q1009 NOSIG= </t>
  </si>
  <si>
    <t xml:space="preserve">METAR WAKT 291900Z 00000KT 8000 BKN009 25/24 Q1010 NOSIG= </t>
  </si>
  <si>
    <t xml:space="preserve">METAR WAKT 292000Z 10003KT 8000 BKN009 25/24 Q1010 NOSIG= </t>
  </si>
  <si>
    <t xml:space="preserve">METAR WAKT 292100Z 12002KT 8000 BKN009 25/24 Q1011 NOSIG= </t>
  </si>
  <si>
    <t xml:space="preserve">METAR WAKT 292200Z 13002KT 8000 BKN009 27/25 Q1012 NOSIG= </t>
  </si>
  <si>
    <t xml:space="preserve">METAR WAKT 300000Z 14004KT 8000 BKN008 29/26 Q1012= </t>
  </si>
  <si>
    <t xml:space="preserve">METAR WAKT 300100Z 13004KT 8000 BKN009 28/26 Q1011 NOSIG= </t>
  </si>
  <si>
    <t xml:space="preserve">METAR WAKT 300200Z 09005KT 8000 SCT009 30/25 Q1010 NOSIG= </t>
  </si>
  <si>
    <t xml:space="preserve">METAR WAKT 300300Z 13004KT 8000 SCT009 30/26 Q1009 NOSIG= </t>
  </si>
  <si>
    <t xml:space="preserve">METAR WAKT 300400Z 10003KT 8000 BKN008 32/27 Q1009 NOSIG= </t>
  </si>
  <si>
    <t xml:space="preserve">METAR WAKT 300500Z 12004KT 8000 BKN009 31/27 Q1008 NOSIG= </t>
  </si>
  <si>
    <t xml:space="preserve">METAR WAKT 300600Z 15003KT 8000 BKN008 33/27 Q1007 NOSIG= </t>
  </si>
  <si>
    <t xml:space="preserve">METAR WAKT 292300Z 10006KT 8000 BKN008 28/26 Q1012 NOSIG= </t>
  </si>
  <si>
    <t xml:space="preserve">METAR WAKT 300700Z 13003KT 8000 BKN009 33/27 Q1007 NOSIG= </t>
  </si>
  <si>
    <t>METAR WAKT 300800Z 14002KT 8000 BKN008 31/26 Q1008 NOSIG=</t>
  </si>
  <si>
    <t>METAR WAKT 300900Z 00000KT 8000 BKN008 30/26 Q1008 NOSIG=</t>
  </si>
  <si>
    <t>METAR WAKT 301100Z 00000KT 8000 BKN009 28/25 Q1009 NOSIG=</t>
  </si>
  <si>
    <t>METAR WAKT 301200Z 00000KT 8000 BKN009 28/25 Q1011 NOSIG=</t>
  </si>
  <si>
    <t>METAR WAKT 301400Z 00000KT 8000 BKN009 27/25 Q1012 NOSIG=</t>
  </si>
  <si>
    <t>METAR WAKT 301500Z 00000KT 8000 BKN009 27/25 Q1012=</t>
  </si>
  <si>
    <t>METAR WAKT 301600Z 00000KT 8000 BKN009 27/25 Q1012=</t>
  </si>
  <si>
    <t>METAR WAKT 301700Z 00000KT 6000 BKN009 25/25 Q1010=</t>
  </si>
  <si>
    <t>METAR WAKT 301800Z 00000KT 6000 BKN008 25/24 Q1010=</t>
  </si>
  <si>
    <t>METAR WAKT 301900Z 00000KT 6000 BKN009 25/24 Q1010=</t>
  </si>
  <si>
    <t>METAR WAKT 302000Z 00000KT 7000 BKN009 25/24 Q1011 NOSIG=</t>
  </si>
  <si>
    <t>METAR WAKT 302100Z 00000KT 8000 BKN009 26/25 Q1011=</t>
  </si>
  <si>
    <t>METAR WAKT 302200Z 00000KT 8000 BKN009 26/25 Q1011=</t>
  </si>
  <si>
    <t>METAR WAKT 302300Z 00000KT 8000 SCT009 26/24 Q1012 NOSIG=</t>
  </si>
  <si>
    <t>METAR WAKT 010000Z 11005KT 8000 SCT009 29/26 Q1012 NOSIG=</t>
  </si>
  <si>
    <t>METAR WAKT 010100Z 10006KT 8000 SCT009 29/25 Q1011 NOSIG=</t>
  </si>
  <si>
    <t>METAR WAKT 010200Z 10004KT 8000 SCT009 32/26 Q1010 NOSIG=</t>
  </si>
  <si>
    <t>METAR WAKT 010300Z 13005KT 6000 BKN009 32/25 Q1009 RERA NOSIG=</t>
  </si>
  <si>
    <t>METAR WAKT 010400Z 10005KT 8000 BKN009 33/26 Q1008 RERA NOSIG=</t>
  </si>
  <si>
    <t>METAR WAKT 010500Z 14004KT 6000 -DZ BKN009 32/25 Q1007=</t>
  </si>
  <si>
    <t>TAF WAKT 301100Z 3012/0112 12003KT 8000 BKN008 PROB40 TEMPO 3015/3017 00000KT 4000 RA FEW008CB BKN009=</t>
  </si>
  <si>
    <t xml:space="preserve">TAF WAKT 301700Z 3018/0118 00000KT 8000 BKN009= </t>
  </si>
  <si>
    <t>METAR WAKT 301000Z 00000KT 8000 BKN008 28/25 Q1009 NOSIG=</t>
  </si>
  <si>
    <t>METAR WAKT 301300Z 00000KT 8000 BKN009 27/25 Q1012 NOSIG=</t>
  </si>
  <si>
    <t>METAR WAKT 201300Z 14002KT 8000 BKN009 26/24 Q1011 NOSIG=</t>
  </si>
  <si>
    <t>METAR WAKT 201400Z 00000KT 8000 BKN009 25/24 Q1011 NOSIG=</t>
  </si>
  <si>
    <t>METAR WAKT 231200Z 34002KT 8000 FEW008CB BKN009 27/25 Q1010 NOSIG=</t>
  </si>
  <si>
    <t xml:space="preserve">METAR WAKT 050700Z 04003KT 8000 BKN009 30/26 Q1006 NOSIG= </t>
  </si>
  <si>
    <t>METAR WAKT 100500Z 13005KT 8000 BKN009 33/27 Q1007 NOSIG=</t>
  </si>
  <si>
    <t xml:space="preserve">METAR WAKT 240800Z 04007KT 5000 BKN009 RA 27/24 Q1010= </t>
  </si>
  <si>
    <t xml:space="preserve">METAR WAKT 292300Z 10006KT 8000 BKN009 28/26 Q1012 NOSIG= </t>
  </si>
  <si>
    <t>METAR WAKT 161400Z 05002KT 7000 OVC009 24/23 Q1011 RERA=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</si>
</sst>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000000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rgb="FF002060"/>
      <name val="Courier New"/>
      <family val="3"/>
    </font>
    <font>
      <b/>
      <sz val="11"/>
      <color rgb="FF000000"/>
      <name val="Calibri"/>
      <family val="2"/>
      <scheme val="minor"/>
    </font>
    <font>
      <b/>
      <sz val="11"/>
      <color rgb="FF000000"/>
      <name val="Courier New"/>
      <family val="3"/>
    </font>
    <font>
      <sz val="14"/>
      <color rgb="FF000000"/>
      <name val="Segoe UI"/>
      <family val="2"/>
    </font>
    <font>
      <sz val="10"/>
      <color rgb="FF000000"/>
      <name val="Arial Unicode MS"/>
    </font>
    <font>
      <sz val="10"/>
      <color theme="1"/>
      <name val="Arial Unicode MS"/>
    </font>
    <font>
      <sz val="11"/>
      <color rgb="FF000000"/>
      <name val="Calibri "/>
    </font>
    <font>
      <sz val="11"/>
      <color theme="1"/>
      <name val="Calibri 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AFAFA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83">
    <xf numFmtId="0" fontId="0" fillId="0" borderId="0" xfId="0"/>
    <xf numFmtId="0" fontId="0" fillId="0" borderId="1" xfId="0" applyBorder="1"/>
    <xf numFmtId="2" fontId="3" fillId="0" borderId="1" xfId="1" applyNumberFormat="1" applyFont="1" applyBorder="1" applyAlignment="1">
      <alignment vertical="center"/>
    </xf>
    <xf numFmtId="2" fontId="0" fillId="0" borderId="1" xfId="0" applyNumberFormat="1" applyBorder="1"/>
    <xf numFmtId="2" fontId="3" fillId="0" borderId="1" xfId="1" applyNumberFormat="1" applyFont="1" applyBorder="1" applyAlignment="1">
      <alignment horizontal="left" vertical="center"/>
    </xf>
    <xf numFmtId="2" fontId="0" fillId="2" borderId="1" xfId="0" applyNumberFormat="1" applyFill="1" applyBorder="1"/>
    <xf numFmtId="2" fontId="0" fillId="0" borderId="0" xfId="0" applyNumberFormat="1"/>
    <xf numFmtId="2" fontId="3" fillId="0" borderId="0" xfId="1" applyNumberFormat="1" applyFont="1" applyAlignment="1">
      <alignment vertical="center"/>
    </xf>
    <xf numFmtId="2" fontId="3" fillId="0" borderId="0" xfId="1" applyNumberFormat="1" applyFont="1" applyAlignment="1">
      <alignment horizontal="left" vertical="center"/>
    </xf>
    <xf numFmtId="0" fontId="0" fillId="3" borderId="0" xfId="0" applyFill="1"/>
    <xf numFmtId="0" fontId="0" fillId="3" borderId="0" xfId="0" quotePrefix="1" applyFill="1"/>
    <xf numFmtId="2" fontId="0" fillId="3" borderId="0" xfId="0" applyNumberFormat="1" applyFill="1"/>
    <xf numFmtId="0" fontId="0" fillId="4" borderId="0" xfId="0" applyFill="1"/>
    <xf numFmtId="0" fontId="0" fillId="4" borderId="0" xfId="0" quotePrefix="1" applyFill="1"/>
    <xf numFmtId="2" fontId="0" fillId="4" borderId="0" xfId="0" applyNumberFormat="1" applyFill="1"/>
    <xf numFmtId="0" fontId="0" fillId="5" borderId="0" xfId="0" applyFill="1"/>
    <xf numFmtId="0" fontId="0" fillId="5" borderId="0" xfId="0" quotePrefix="1" applyFill="1"/>
    <xf numFmtId="2" fontId="0" fillId="5" borderId="0" xfId="0" applyNumberFormat="1" applyFill="1"/>
    <xf numFmtId="0" fontId="0" fillId="6" borderId="0" xfId="0" applyFill="1"/>
    <xf numFmtId="0" fontId="0" fillId="6" borderId="0" xfId="0" quotePrefix="1" applyFill="1"/>
    <xf numFmtId="2" fontId="0" fillId="6" borderId="0" xfId="0" applyNumberFormat="1" applyFill="1"/>
    <xf numFmtId="2" fontId="4" fillId="7" borderId="0" xfId="0" applyNumberFormat="1" applyFont="1" applyFill="1"/>
    <xf numFmtId="0" fontId="5" fillId="0" borderId="0" xfId="0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5" fillId="0" borderId="0" xfId="0" applyFont="1"/>
    <xf numFmtId="0" fontId="8" fillId="8" borderId="3" xfId="0" applyFont="1" applyFill="1" applyBorder="1" applyAlignment="1">
      <alignment horizontal="left" vertical="center" wrapText="1"/>
    </xf>
    <xf numFmtId="0" fontId="10" fillId="0" borderId="1" xfId="0" applyFont="1" applyBorder="1"/>
    <xf numFmtId="20" fontId="11" fillId="0" borderId="3" xfId="0" applyNumberFormat="1" applyFont="1" applyBorder="1"/>
    <xf numFmtId="0" fontId="11" fillId="0" borderId="3" xfId="0" applyFont="1" applyBorder="1"/>
    <xf numFmtId="16" fontId="11" fillId="0" borderId="3" xfId="0" applyNumberFormat="1" applyFont="1" applyBorder="1"/>
    <xf numFmtId="0" fontId="12" fillId="0" borderId="0" xfId="0" applyFont="1"/>
    <xf numFmtId="0" fontId="13" fillId="0" borderId="7" xfId="0" applyFont="1" applyBorder="1"/>
    <xf numFmtId="0" fontId="13" fillId="0" borderId="8" xfId="0" applyFont="1" applyBorder="1"/>
    <xf numFmtId="0" fontId="10" fillId="0" borderId="8" xfId="0" applyFont="1" applyBorder="1"/>
    <xf numFmtId="0" fontId="11" fillId="0" borderId="0" xfId="0" applyFont="1"/>
    <xf numFmtId="0" fontId="11" fillId="0" borderId="7" xfId="0" applyFont="1" applyBorder="1"/>
    <xf numFmtId="20" fontId="11" fillId="0" borderId="8" xfId="0" applyNumberFormat="1" applyFont="1" applyBorder="1"/>
    <xf numFmtId="0" fontId="14" fillId="10" borderId="0" xfId="0" applyFont="1" applyFill="1"/>
    <xf numFmtId="0" fontId="5" fillId="10" borderId="0" xfId="0" applyFont="1" applyFill="1"/>
    <xf numFmtId="0" fontId="15" fillId="10" borderId="0" xfId="0" applyFont="1" applyFill="1"/>
    <xf numFmtId="0" fontId="14" fillId="0" borderId="0" xfId="0" applyFont="1"/>
    <xf numFmtId="0" fontId="5" fillId="11" borderId="0" xfId="0" applyFont="1" applyFill="1"/>
    <xf numFmtId="9" fontId="5" fillId="0" borderId="0" xfId="0" applyNumberFormat="1" applyFont="1"/>
    <xf numFmtId="0" fontId="6" fillId="12" borderId="0" xfId="0" applyFont="1" applyFill="1" applyAlignment="1">
      <alignment horizontal="left" vertical="center"/>
    </xf>
    <xf numFmtId="49" fontId="6" fillId="12" borderId="0" xfId="0" applyNumberFormat="1" applyFont="1" applyFill="1" applyAlignment="1">
      <alignment horizontal="left" vertical="center"/>
    </xf>
    <xf numFmtId="0" fontId="5" fillId="12" borderId="0" xfId="0" applyFont="1" applyFill="1"/>
    <xf numFmtId="0" fontId="15" fillId="0" borderId="0" xfId="0" applyFont="1"/>
    <xf numFmtId="0" fontId="15" fillId="12" borderId="0" xfId="0" applyFont="1" applyFill="1"/>
    <xf numFmtId="0" fontId="14" fillId="0" borderId="1" xfId="0" applyFont="1" applyBorder="1"/>
    <xf numFmtId="20" fontId="5" fillId="0" borderId="3" xfId="0" applyNumberFormat="1" applyFont="1" applyBorder="1"/>
    <xf numFmtId="0" fontId="5" fillId="0" borderId="3" xfId="0" applyFont="1" applyBorder="1"/>
    <xf numFmtId="16" fontId="5" fillId="0" borderId="3" xfId="0" applyNumberFormat="1" applyFont="1" applyBorder="1"/>
    <xf numFmtId="0" fontId="5" fillId="0" borderId="7" xfId="0" applyFont="1" applyBorder="1"/>
    <xf numFmtId="20" fontId="5" fillId="0" borderId="8" xfId="0" applyNumberFormat="1" applyFont="1" applyBorder="1"/>
    <xf numFmtId="0" fontId="14" fillId="0" borderId="7" xfId="0" applyFont="1" applyBorder="1"/>
    <xf numFmtId="0" fontId="16" fillId="0" borderId="0" xfId="0" applyFont="1"/>
    <xf numFmtId="0" fontId="17" fillId="13" borderId="0" xfId="0" applyFont="1" applyFill="1" applyAlignment="1">
      <alignment horizontal="left" vertical="center" indent="1"/>
    </xf>
    <xf numFmtId="0" fontId="18" fillId="0" borderId="0" xfId="0" applyFont="1"/>
    <xf numFmtId="0" fontId="0" fillId="14" borderId="0" xfId="0" applyFill="1"/>
    <xf numFmtId="0" fontId="0" fillId="0" borderId="1" xfId="0" applyBorder="1" applyAlignment="1">
      <alignment vertical="center"/>
    </xf>
    <xf numFmtId="0" fontId="11" fillId="0" borderId="1" xfId="0" applyFont="1" applyBorder="1"/>
    <xf numFmtId="0" fontId="1" fillId="0" borderId="0" xfId="0" applyFont="1"/>
    <xf numFmtId="0" fontId="19" fillId="0" borderId="1" xfId="0" applyFont="1" applyBorder="1"/>
    <xf numFmtId="0" fontId="20" fillId="0" borderId="1" xfId="0" applyFont="1" applyBorder="1"/>
    <xf numFmtId="0" fontId="4" fillId="0" borderId="1" xfId="0" applyFont="1" applyBorder="1"/>
    <xf numFmtId="0" fontId="21" fillId="0" borderId="3" xfId="0" applyFont="1" applyBorder="1"/>
    <xf numFmtId="0" fontId="21" fillId="0" borderId="1" xfId="0" applyFont="1" applyBorder="1"/>
    <xf numFmtId="0" fontId="22" fillId="0" borderId="1" xfId="0" applyFont="1" applyBorder="1"/>
    <xf numFmtId="0" fontId="22" fillId="0" borderId="3" xfId="0" applyFont="1" applyBorder="1"/>
    <xf numFmtId="0" fontId="5" fillId="0" borderId="1" xfId="0" applyFont="1" applyBorder="1"/>
    <xf numFmtId="0" fontId="7" fillId="9" borderId="2" xfId="0" applyFont="1" applyFill="1" applyBorder="1" applyAlignment="1">
      <alignment horizontal="center" vertical="center" wrapText="1"/>
    </xf>
    <xf numFmtId="0" fontId="7" fillId="9" borderId="7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8" borderId="7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>
      <alignment horizontal="left" vertical="center" wrapText="1"/>
    </xf>
    <xf numFmtId="0" fontId="8" fillId="8" borderId="5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/>
    </xf>
  </cellXfs>
  <cellStyles count="2">
    <cellStyle name="Normal" xfId="0" builtinId="0"/>
    <cellStyle name="Normal 14" xfId="1" xr:uid="{BD42F982-5B24-8B4A-AB29-DD17118AE0F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A6D2A-E380-2F40-A964-544D5F62F0CF}">
  <dimension ref="A1:AA128"/>
  <sheetViews>
    <sheetView tabSelected="1" workbookViewId="0">
      <selection activeCell="M67" sqref="M67"/>
    </sheetView>
  </sheetViews>
  <sheetFormatPr defaultColWidth="8.875" defaultRowHeight="15.75"/>
  <sheetData>
    <row r="1" spans="1:19">
      <c r="A1" s="1" t="s">
        <v>0</v>
      </c>
      <c r="B1" s="1"/>
      <c r="C1" s="2" t="s">
        <v>1</v>
      </c>
      <c r="D1" s="3"/>
      <c r="E1" s="2" t="s">
        <v>2</v>
      </c>
      <c r="F1" s="3"/>
      <c r="G1" s="3" t="s">
        <v>3</v>
      </c>
      <c r="H1" s="3"/>
      <c r="I1" s="2" t="s">
        <v>4</v>
      </c>
      <c r="J1" s="3"/>
      <c r="K1" s="4" t="s">
        <v>5</v>
      </c>
      <c r="L1" s="3"/>
      <c r="M1" s="2" t="s">
        <v>6</v>
      </c>
      <c r="N1" s="3"/>
      <c r="O1" s="4" t="s">
        <v>7</v>
      </c>
    </row>
    <row r="2" spans="1:19">
      <c r="A2" s="5" t="s">
        <v>8</v>
      </c>
      <c r="B2" s="5"/>
      <c r="C2" s="5">
        <f>AVERAGE(C5:C124)</f>
        <v>100</v>
      </c>
      <c r="D2" s="5"/>
      <c r="E2" s="5">
        <f>AVERAGE(E5:E124)</f>
        <v>100</v>
      </c>
      <c r="F2" s="5"/>
      <c r="G2" s="5">
        <f>AVERAGE(G5:G124)</f>
        <v>100</v>
      </c>
      <c r="H2" s="5"/>
      <c r="I2" s="5">
        <f>AVERAGE(I5:I124)</f>
        <v>82.013888888888857</v>
      </c>
      <c r="J2" s="5"/>
      <c r="K2" s="5">
        <f>AVERAGE(K5:K124)</f>
        <v>80.555555555555571</v>
      </c>
      <c r="L2" s="5"/>
      <c r="M2" s="5">
        <f>AVERAGE(M5:M124)</f>
        <v>65.763888888888886</v>
      </c>
      <c r="N2" s="5"/>
      <c r="O2" s="5">
        <f>AVERAGE(O5:O124)</f>
        <v>99.236111111111114</v>
      </c>
      <c r="P2" s="6"/>
    </row>
    <row r="3" spans="1:19">
      <c r="A3" t="s">
        <v>0</v>
      </c>
      <c r="C3" s="7" t="s">
        <v>1</v>
      </c>
      <c r="D3" s="6"/>
      <c r="E3" s="7" t="s">
        <v>2</v>
      </c>
      <c r="F3" s="6"/>
      <c r="G3" s="6" t="s">
        <v>3</v>
      </c>
      <c r="H3" s="6"/>
      <c r="I3" s="7" t="s">
        <v>4</v>
      </c>
      <c r="J3" s="6"/>
      <c r="K3" s="8" t="s">
        <v>5</v>
      </c>
      <c r="L3" s="6"/>
      <c r="M3" s="7" t="s">
        <v>6</v>
      </c>
      <c r="N3" s="6"/>
      <c r="O3" s="8" t="s">
        <v>7</v>
      </c>
    </row>
    <row r="4" spans="1:19">
      <c r="A4" t="s">
        <v>9</v>
      </c>
      <c r="B4" t="s">
        <v>10</v>
      </c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</row>
    <row r="5" spans="1:19" s="9" customFormat="1">
      <c r="A5" s="9">
        <v>1</v>
      </c>
      <c r="B5" s="10" t="s">
        <v>11</v>
      </c>
      <c r="C5" s="11">
        <f>'1'!N28</f>
        <v>100</v>
      </c>
      <c r="D5" s="11"/>
      <c r="E5" s="11">
        <f>'1'!P28</f>
        <v>100</v>
      </c>
      <c r="F5" s="11"/>
      <c r="G5" s="11">
        <f>'1'!R28</f>
        <v>100</v>
      </c>
      <c r="H5" s="11"/>
      <c r="I5" s="11">
        <f>'1'!T28</f>
        <v>66.666666666666657</v>
      </c>
      <c r="J5" s="11"/>
      <c r="K5" s="11">
        <f>'1'!V28</f>
        <v>66.666666666666657</v>
      </c>
      <c r="L5" s="11"/>
      <c r="M5" s="11">
        <f>'1'!X28</f>
        <v>58.333333333333336</v>
      </c>
      <c r="N5" s="11"/>
      <c r="O5" s="11">
        <f>'1'!Z28</f>
        <v>100</v>
      </c>
    </row>
    <row r="6" spans="1:19" s="12" customFormat="1">
      <c r="B6" s="13" t="s">
        <v>12</v>
      </c>
      <c r="C6" s="14">
        <f>'1'!N57</f>
        <v>100</v>
      </c>
      <c r="D6" s="14"/>
      <c r="E6" s="14">
        <f>'1'!P57</f>
        <v>100</v>
      </c>
      <c r="F6" s="14"/>
      <c r="G6" s="14">
        <f>'1'!R57</f>
        <v>100</v>
      </c>
      <c r="H6" s="14"/>
      <c r="I6" s="14">
        <f>'1'!T57</f>
        <v>100</v>
      </c>
      <c r="J6" s="14"/>
      <c r="K6" s="14">
        <f>'1'!V57</f>
        <v>100</v>
      </c>
      <c r="L6" s="14"/>
      <c r="M6" s="14">
        <f>'1'!X57</f>
        <v>66.666666666666657</v>
      </c>
      <c r="N6" s="14"/>
      <c r="O6" s="14">
        <f>'1'!Z57</f>
        <v>100</v>
      </c>
    </row>
    <row r="7" spans="1:19" s="15" customFormat="1">
      <c r="B7" s="16" t="s">
        <v>13</v>
      </c>
      <c r="C7" s="17">
        <f>'1'!N85</f>
        <v>100</v>
      </c>
      <c r="D7" s="17"/>
      <c r="E7" s="17">
        <f>'1'!P85</f>
        <v>100</v>
      </c>
      <c r="F7" s="17"/>
      <c r="G7" s="17">
        <f>'1'!R85</f>
        <v>100</v>
      </c>
      <c r="H7" s="17"/>
      <c r="I7" s="17">
        <f>'1'!T85</f>
        <v>100</v>
      </c>
      <c r="J7" s="17"/>
      <c r="K7" s="17">
        <f>'1'!V85</f>
        <v>100</v>
      </c>
      <c r="L7" s="17"/>
      <c r="M7" s="17">
        <f>'1'!X85</f>
        <v>25</v>
      </c>
      <c r="N7" s="17"/>
      <c r="O7" s="17">
        <f>'1'!Z85</f>
        <v>100</v>
      </c>
    </row>
    <row r="8" spans="1:19" s="18" customFormat="1">
      <c r="B8" s="19" t="s">
        <v>14</v>
      </c>
      <c r="C8" s="20">
        <f>'1'!N114</f>
        <v>100</v>
      </c>
      <c r="D8" s="20"/>
      <c r="E8" s="20">
        <f>'1'!P114</f>
        <v>100</v>
      </c>
      <c r="F8" s="20"/>
      <c r="G8" s="20">
        <f>'1'!R114</f>
        <v>100</v>
      </c>
      <c r="H8" s="20"/>
      <c r="I8" s="20">
        <f>'1'!T114</f>
        <v>100</v>
      </c>
      <c r="J8" s="20"/>
      <c r="K8" s="20">
        <f>'1'!V114</f>
        <v>100</v>
      </c>
      <c r="L8" s="20"/>
      <c r="M8" s="20">
        <f>'1'!X114</f>
        <v>58.333333333333336</v>
      </c>
      <c r="N8" s="20"/>
      <c r="O8" s="20">
        <f>'1'!Z114</f>
        <v>100</v>
      </c>
    </row>
    <row r="9" spans="1:19" s="9" customFormat="1">
      <c r="A9" s="9">
        <v>2</v>
      </c>
      <c r="B9" s="10" t="s">
        <v>11</v>
      </c>
      <c r="C9" s="11">
        <f>'2'!N28</f>
        <v>100</v>
      </c>
      <c r="D9" s="11"/>
      <c r="E9" s="11">
        <f>'2'!P28</f>
        <v>100</v>
      </c>
      <c r="F9" s="11"/>
      <c r="G9" s="11">
        <f>'2'!R28</f>
        <v>100</v>
      </c>
      <c r="H9" s="11"/>
      <c r="I9" s="11">
        <f>'2'!T28</f>
        <v>66.666666666666657</v>
      </c>
      <c r="J9" s="11"/>
      <c r="K9" s="11">
        <f>'2'!V28</f>
        <v>66.666666666666657</v>
      </c>
      <c r="L9" s="11"/>
      <c r="M9" s="11">
        <f>'2'!X28</f>
        <v>91.666666666666657</v>
      </c>
      <c r="N9" s="11"/>
      <c r="O9" s="11">
        <f>'2'!Z28</f>
        <v>91.666666666666657</v>
      </c>
      <c r="P9" s="11"/>
      <c r="Q9" s="11"/>
      <c r="R9" s="11"/>
      <c r="S9" s="11"/>
    </row>
    <row r="10" spans="1:19" s="12" customFormat="1">
      <c r="B10" s="13" t="s">
        <v>12</v>
      </c>
      <c r="C10" s="14">
        <f>'2'!N57</f>
        <v>100</v>
      </c>
      <c r="D10" s="14"/>
      <c r="E10" s="14">
        <f>'2'!P57</f>
        <v>100</v>
      </c>
      <c r="F10" s="14"/>
      <c r="G10" s="14">
        <f>'2'!R57</f>
        <v>100</v>
      </c>
      <c r="H10" s="14"/>
      <c r="I10" s="14">
        <f>'2'!T57</f>
        <v>100</v>
      </c>
      <c r="J10" s="14"/>
      <c r="K10" s="14">
        <f>'2'!V57</f>
        <v>100</v>
      </c>
      <c r="L10" s="14"/>
      <c r="M10" s="14">
        <f>'2'!X57</f>
        <v>66.666666666666657</v>
      </c>
      <c r="N10" s="14"/>
      <c r="O10" s="14">
        <f>'2'!Z57</f>
        <v>100</v>
      </c>
      <c r="P10" s="14"/>
      <c r="Q10" s="14"/>
      <c r="R10" s="14"/>
      <c r="S10" s="14"/>
    </row>
    <row r="11" spans="1:19" s="15" customFormat="1">
      <c r="B11" s="16" t="s">
        <v>13</v>
      </c>
      <c r="C11" s="17">
        <f>'2'!N85</f>
        <v>100</v>
      </c>
      <c r="D11" s="17"/>
      <c r="E11" s="17">
        <f>'2'!P85</f>
        <v>100</v>
      </c>
      <c r="F11" s="17"/>
      <c r="G11" s="17">
        <f>'2'!R85</f>
        <v>100</v>
      </c>
      <c r="H11" s="17"/>
      <c r="I11" s="17">
        <f>'2'!T85</f>
        <v>66.666666666666657</v>
      </c>
      <c r="J11" s="17"/>
      <c r="K11" s="17">
        <f>'2'!V85</f>
        <v>66.666666666666657</v>
      </c>
      <c r="L11" s="17"/>
      <c r="M11" s="17">
        <f>'2'!X85</f>
        <v>25</v>
      </c>
      <c r="N11" s="17"/>
      <c r="O11" s="17">
        <f>'2'!Z85</f>
        <v>91.666666666666657</v>
      </c>
      <c r="P11" s="17"/>
      <c r="Q11" s="17"/>
      <c r="R11" s="17"/>
      <c r="S11" s="17"/>
    </row>
    <row r="12" spans="1:19" s="18" customFormat="1">
      <c r="B12" s="19" t="s">
        <v>14</v>
      </c>
      <c r="C12" s="20">
        <f>'2'!N114</f>
        <v>100</v>
      </c>
      <c r="D12" s="20"/>
      <c r="E12" s="20">
        <f>'2'!P114</f>
        <v>100</v>
      </c>
      <c r="F12" s="20"/>
      <c r="G12" s="20">
        <f>'2'!R114</f>
        <v>100</v>
      </c>
      <c r="H12" s="20"/>
      <c r="I12" s="20">
        <f>'2'!T114</f>
        <v>100</v>
      </c>
      <c r="J12" s="20"/>
      <c r="K12" s="20">
        <f>'2'!V114</f>
        <v>100</v>
      </c>
      <c r="L12" s="20"/>
      <c r="M12" s="20">
        <f>'2'!X114</f>
        <v>41.666666666666671</v>
      </c>
      <c r="N12" s="20"/>
      <c r="O12" s="20">
        <f>'2'!Z114</f>
        <v>100</v>
      </c>
      <c r="P12" s="20"/>
      <c r="Q12" s="20"/>
      <c r="R12" s="20"/>
      <c r="S12" s="20"/>
    </row>
    <row r="13" spans="1:19" s="9" customFormat="1">
      <c r="A13" s="9">
        <v>3</v>
      </c>
      <c r="B13" s="10" t="s">
        <v>11</v>
      </c>
      <c r="C13" s="11">
        <f>'3'!N28</f>
        <v>100</v>
      </c>
      <c r="D13" s="11"/>
      <c r="E13" s="11">
        <f>'3'!P28</f>
        <v>100</v>
      </c>
      <c r="F13" s="11"/>
      <c r="G13" s="11">
        <f>'3'!R28</f>
        <v>100</v>
      </c>
      <c r="H13" s="11"/>
      <c r="I13" s="11">
        <f>'3'!T28</f>
        <v>91.666666666666657</v>
      </c>
      <c r="J13" s="11"/>
      <c r="K13" s="11">
        <f>'3'!V28</f>
        <v>83.333333333333343</v>
      </c>
      <c r="L13" s="11"/>
      <c r="M13" s="11">
        <f>'3'!X28</f>
        <v>75</v>
      </c>
      <c r="N13" s="11"/>
      <c r="O13" s="11">
        <f>'3'!Z28</f>
        <v>83.333333333333343</v>
      </c>
      <c r="P13" s="11"/>
      <c r="Q13" s="11"/>
      <c r="R13" s="11"/>
      <c r="S13" s="11"/>
    </row>
    <row r="14" spans="1:19" s="12" customFormat="1">
      <c r="B14" s="13" t="s">
        <v>12</v>
      </c>
      <c r="C14" s="14">
        <f>'3'!N57</f>
        <v>100</v>
      </c>
      <c r="D14" s="14"/>
      <c r="E14" s="14">
        <f>'3'!P57</f>
        <v>100</v>
      </c>
      <c r="F14" s="14"/>
      <c r="G14" s="14">
        <f>'3'!R57</f>
        <v>100</v>
      </c>
      <c r="H14" s="14"/>
      <c r="I14" s="14">
        <f>'3'!T57</f>
        <v>91.666666666666657</v>
      </c>
      <c r="J14" s="14"/>
      <c r="K14" s="14">
        <f>'3'!V57</f>
        <v>83.333333333333343</v>
      </c>
      <c r="L14" s="14"/>
      <c r="M14" s="14">
        <f>'3'!X57</f>
        <v>41.666666666666671</v>
      </c>
      <c r="N14" s="14"/>
      <c r="O14" s="14">
        <f>'3'!Z57</f>
        <v>100</v>
      </c>
      <c r="P14" s="14"/>
      <c r="Q14" s="14"/>
      <c r="R14" s="14"/>
      <c r="S14" s="14"/>
    </row>
    <row r="15" spans="1:19" s="15" customFormat="1">
      <c r="B15" s="16" t="s">
        <v>13</v>
      </c>
      <c r="C15" s="17">
        <f>'3'!N85</f>
        <v>100</v>
      </c>
      <c r="D15" s="17"/>
      <c r="E15" s="17">
        <f>'3'!P85</f>
        <v>100</v>
      </c>
      <c r="F15" s="17"/>
      <c r="G15" s="17">
        <f>'3'!R85</f>
        <v>100</v>
      </c>
      <c r="H15" s="17"/>
      <c r="I15" s="17">
        <f>'3'!T85</f>
        <v>75</v>
      </c>
      <c r="J15" s="17"/>
      <c r="K15" s="17">
        <f>'3'!V85</f>
        <v>75</v>
      </c>
      <c r="L15" s="17"/>
      <c r="M15" s="17">
        <f>'3'!X85</f>
        <v>58.333333333333336</v>
      </c>
      <c r="N15" s="17"/>
      <c r="O15" s="17">
        <f>'3'!Z85</f>
        <v>100</v>
      </c>
      <c r="P15" s="17"/>
      <c r="Q15" s="17"/>
      <c r="R15" s="17"/>
      <c r="S15" s="17"/>
    </row>
    <row r="16" spans="1:19" s="18" customFormat="1">
      <c r="B16" s="19" t="s">
        <v>14</v>
      </c>
      <c r="C16" s="20">
        <f>'3'!N114</f>
        <v>100</v>
      </c>
      <c r="D16" s="20"/>
      <c r="E16" s="20">
        <f>'3'!P114</f>
        <v>100</v>
      </c>
      <c r="F16" s="20"/>
      <c r="G16" s="20">
        <f>'3'!R114</f>
        <v>100</v>
      </c>
      <c r="H16" s="20"/>
      <c r="I16" s="20">
        <f>'3'!T114</f>
        <v>75</v>
      </c>
      <c r="J16" s="20"/>
      <c r="K16" s="20">
        <f>'3'!V114</f>
        <v>83.333333333333343</v>
      </c>
      <c r="L16" s="20"/>
      <c r="M16" s="20">
        <f>'3'!X114</f>
        <v>66.666666666666657</v>
      </c>
      <c r="N16" s="20"/>
      <c r="O16" s="20">
        <f>'3'!Z114</f>
        <v>100</v>
      </c>
      <c r="P16" s="20"/>
      <c r="Q16" s="20"/>
      <c r="R16" s="20"/>
      <c r="S16" s="20"/>
    </row>
    <row r="17" spans="1:19" s="9" customFormat="1">
      <c r="A17" s="9">
        <v>4</v>
      </c>
      <c r="B17" s="10" t="s">
        <v>11</v>
      </c>
      <c r="C17" s="11">
        <f>'4'!N28</f>
        <v>100</v>
      </c>
      <c r="D17" s="11"/>
      <c r="E17" s="11">
        <f>'4'!P28</f>
        <v>100</v>
      </c>
      <c r="F17" s="11"/>
      <c r="G17" s="11">
        <f>'4'!R28</f>
        <v>100</v>
      </c>
      <c r="H17" s="11"/>
      <c r="I17" s="11">
        <f>'4'!T28</f>
        <v>75</v>
      </c>
      <c r="J17" s="11"/>
      <c r="K17" s="11">
        <f>'4'!V28</f>
        <v>75</v>
      </c>
      <c r="L17" s="11"/>
      <c r="M17" s="11">
        <f>'4'!X28</f>
        <v>75</v>
      </c>
      <c r="N17" s="11"/>
      <c r="O17" s="11">
        <f>'4'!Z28</f>
        <v>100</v>
      </c>
      <c r="P17" s="11"/>
      <c r="Q17" s="11"/>
      <c r="R17" s="11"/>
      <c r="S17" s="11"/>
    </row>
    <row r="18" spans="1:19" s="12" customFormat="1">
      <c r="B18" s="13" t="s">
        <v>12</v>
      </c>
      <c r="C18" s="14">
        <f>'4'!N57</f>
        <v>100</v>
      </c>
      <c r="D18" s="14"/>
      <c r="E18" s="14">
        <f>'4'!P57</f>
        <v>100</v>
      </c>
      <c r="F18" s="14"/>
      <c r="G18" s="14">
        <f>'4'!R57</f>
        <v>100</v>
      </c>
      <c r="H18" s="14"/>
      <c r="I18" s="14">
        <f>'4'!T57</f>
        <v>75</v>
      </c>
      <c r="J18" s="14"/>
      <c r="K18" s="14">
        <f>'4'!V57</f>
        <v>75</v>
      </c>
      <c r="L18" s="14"/>
      <c r="M18" s="14">
        <f>'4'!X57</f>
        <v>75</v>
      </c>
      <c r="N18" s="14"/>
      <c r="O18" s="14">
        <f>'4'!Z57</f>
        <v>100</v>
      </c>
      <c r="P18" s="14"/>
      <c r="Q18" s="14"/>
      <c r="R18" s="14"/>
      <c r="S18" s="14"/>
    </row>
    <row r="19" spans="1:19" s="15" customFormat="1">
      <c r="B19" s="16" t="s">
        <v>13</v>
      </c>
      <c r="C19" s="17">
        <f>'4'!N85</f>
        <v>100</v>
      </c>
      <c r="D19" s="17"/>
      <c r="E19" s="17">
        <f>'4'!P85</f>
        <v>100</v>
      </c>
      <c r="F19" s="17"/>
      <c r="G19" s="17">
        <f>'4'!R85</f>
        <v>100</v>
      </c>
      <c r="H19" s="17"/>
      <c r="I19" s="17">
        <f>'4'!T85</f>
        <v>100</v>
      </c>
      <c r="J19" s="17"/>
      <c r="K19" s="17">
        <f>'4'!V85</f>
        <v>91.666666666666657</v>
      </c>
      <c r="L19" s="17"/>
      <c r="M19" s="17">
        <f>'4'!X85</f>
        <v>100</v>
      </c>
      <c r="N19" s="17"/>
      <c r="O19" s="17">
        <f>'4'!Z85</f>
        <v>100</v>
      </c>
      <c r="P19" s="17"/>
      <c r="Q19" s="17"/>
      <c r="R19" s="17"/>
      <c r="S19" s="17"/>
    </row>
    <row r="20" spans="1:19" s="18" customFormat="1">
      <c r="B20" s="19" t="s">
        <v>14</v>
      </c>
      <c r="C20" s="20">
        <f>'4'!N114</f>
        <v>100</v>
      </c>
      <c r="D20" s="20"/>
      <c r="E20" s="20">
        <f>'4'!P114</f>
        <v>100</v>
      </c>
      <c r="F20" s="20"/>
      <c r="G20" s="20">
        <f>'4'!R114</f>
        <v>100</v>
      </c>
      <c r="H20" s="20"/>
      <c r="I20" s="20">
        <f>'4'!T114</f>
        <v>100</v>
      </c>
      <c r="J20" s="20"/>
      <c r="K20" s="20">
        <f>'4'!V114</f>
        <v>91.666666666666657</v>
      </c>
      <c r="L20" s="20"/>
      <c r="M20" s="20">
        <f>'4'!X114</f>
        <v>100</v>
      </c>
      <c r="N20" s="20"/>
      <c r="O20" s="20">
        <f>'4'!Z114</f>
        <v>100</v>
      </c>
      <c r="P20" s="20"/>
      <c r="Q20" s="20"/>
      <c r="R20" s="20"/>
      <c r="S20" s="20"/>
    </row>
    <row r="21" spans="1:19" s="9" customFormat="1">
      <c r="A21" s="9">
        <v>5</v>
      </c>
      <c r="B21" s="10" t="s">
        <v>11</v>
      </c>
      <c r="C21" s="11">
        <f>'5'!N28</f>
        <v>100</v>
      </c>
      <c r="D21" s="11"/>
      <c r="E21" s="11">
        <f>'5'!P28</f>
        <v>100</v>
      </c>
      <c r="F21" s="11"/>
      <c r="G21" s="11">
        <f>'5'!R28</f>
        <v>100</v>
      </c>
      <c r="H21" s="11"/>
      <c r="I21" s="11">
        <f>'5'!T28</f>
        <v>100</v>
      </c>
      <c r="J21" s="11"/>
      <c r="K21" s="11">
        <f>'5'!V28</f>
        <v>100</v>
      </c>
      <c r="L21" s="11"/>
      <c r="M21" s="11">
        <f>'5'!X28</f>
        <v>100</v>
      </c>
      <c r="N21" s="11"/>
      <c r="O21" s="11">
        <f>'5'!Z28</f>
        <v>100</v>
      </c>
      <c r="P21" s="11"/>
      <c r="Q21" s="11"/>
      <c r="R21" s="11"/>
      <c r="S21" s="11"/>
    </row>
    <row r="22" spans="1:19" s="12" customFormat="1">
      <c r="B22" s="13" t="s">
        <v>12</v>
      </c>
      <c r="C22" s="14">
        <f>'5'!N57</f>
        <v>100</v>
      </c>
      <c r="D22" s="14"/>
      <c r="E22" s="14">
        <f>'5'!P57</f>
        <v>100</v>
      </c>
      <c r="F22" s="14"/>
      <c r="G22" s="14">
        <f>'5'!R57</f>
        <v>100</v>
      </c>
      <c r="H22" s="14"/>
      <c r="I22" s="14">
        <f>'5'!T57</f>
        <v>100</v>
      </c>
      <c r="J22" s="14"/>
      <c r="K22" s="14">
        <f>'5'!V57</f>
        <v>75</v>
      </c>
      <c r="L22" s="14"/>
      <c r="M22" s="14">
        <f>'5'!X57</f>
        <v>100</v>
      </c>
      <c r="N22" s="14"/>
      <c r="O22" s="14">
        <f>'5'!Z57</f>
        <v>100</v>
      </c>
      <c r="P22" s="14"/>
      <c r="Q22" s="14"/>
      <c r="R22" s="14"/>
      <c r="S22" s="14"/>
    </row>
    <row r="23" spans="1:19" s="15" customFormat="1">
      <c r="B23" s="16" t="s">
        <v>13</v>
      </c>
      <c r="C23" s="17">
        <f>'5'!N85</f>
        <v>100</v>
      </c>
      <c r="D23" s="17"/>
      <c r="E23" s="17">
        <f>'5'!P85</f>
        <v>100</v>
      </c>
      <c r="F23" s="17"/>
      <c r="G23" s="17">
        <f>'5'!R85</f>
        <v>100</v>
      </c>
      <c r="H23" s="17"/>
      <c r="I23" s="17">
        <f>'5'!T85</f>
        <v>66.666666666666657</v>
      </c>
      <c r="J23" s="17"/>
      <c r="K23" s="17">
        <f>'5'!V85</f>
        <v>66.666666666666657</v>
      </c>
      <c r="L23" s="17"/>
      <c r="M23" s="17">
        <f>'5'!X85</f>
        <v>100</v>
      </c>
      <c r="N23" s="17"/>
      <c r="O23" s="17">
        <f>'5'!Z85</f>
        <v>100</v>
      </c>
      <c r="P23" s="17"/>
      <c r="Q23" s="17"/>
      <c r="R23" s="17"/>
      <c r="S23" s="17"/>
    </row>
    <row r="24" spans="1:19" s="18" customFormat="1">
      <c r="B24" s="19" t="s">
        <v>14</v>
      </c>
      <c r="C24" s="20">
        <f>'5'!N114</f>
        <v>100</v>
      </c>
      <c r="D24" s="20"/>
      <c r="E24" s="20">
        <f>'5'!P114</f>
        <v>100</v>
      </c>
      <c r="F24" s="20"/>
      <c r="G24" s="20">
        <f>'5'!R114</f>
        <v>100</v>
      </c>
      <c r="H24" s="20"/>
      <c r="I24" s="20">
        <f>'5'!T114</f>
        <v>33.333333333333329</v>
      </c>
      <c r="J24" s="20"/>
      <c r="K24" s="20">
        <f>'5'!V114</f>
        <v>58.333333333333336</v>
      </c>
      <c r="L24" s="20"/>
      <c r="M24" s="20">
        <f>'5'!X114</f>
        <v>33.333333333333329</v>
      </c>
      <c r="N24" s="20"/>
      <c r="O24" s="20">
        <f>'5'!Z114</f>
        <v>100</v>
      </c>
      <c r="P24" s="20"/>
      <c r="Q24" s="20"/>
      <c r="R24" s="20"/>
      <c r="S24" s="20"/>
    </row>
    <row r="25" spans="1:19" s="9" customFormat="1">
      <c r="A25" s="9">
        <v>6</v>
      </c>
      <c r="B25" s="10" t="s">
        <v>11</v>
      </c>
      <c r="C25" s="11">
        <f>'6'!N28</f>
        <v>100</v>
      </c>
      <c r="D25" s="11"/>
      <c r="E25" s="11">
        <f>'6'!P28</f>
        <v>100</v>
      </c>
      <c r="F25" s="11"/>
      <c r="G25" s="11">
        <f>'6'!R28</f>
        <v>100</v>
      </c>
      <c r="H25" s="11"/>
      <c r="I25" s="11">
        <f>'6'!T28</f>
        <v>50</v>
      </c>
      <c r="J25" s="11"/>
      <c r="K25" s="11">
        <f>'6'!V28</f>
        <v>50</v>
      </c>
      <c r="L25" s="11"/>
      <c r="M25" s="11">
        <f>'6'!X28</f>
        <v>33.333333333333329</v>
      </c>
      <c r="N25" s="11"/>
      <c r="O25" s="11">
        <f>'6'!Z28</f>
        <v>100</v>
      </c>
      <c r="P25" s="11"/>
      <c r="Q25" s="11"/>
      <c r="R25" s="11"/>
      <c r="S25" s="11"/>
    </row>
    <row r="26" spans="1:19" s="12" customFormat="1">
      <c r="B26" s="13" t="s">
        <v>12</v>
      </c>
      <c r="C26" s="14">
        <f>'6'!N57</f>
        <v>100</v>
      </c>
      <c r="D26" s="14"/>
      <c r="E26" s="14">
        <f>'6'!P57</f>
        <v>100</v>
      </c>
      <c r="F26" s="14"/>
      <c r="G26" s="14">
        <f>'6'!R57</f>
        <v>100</v>
      </c>
      <c r="H26" s="14"/>
      <c r="I26" s="14">
        <f>'6'!T57</f>
        <v>75</v>
      </c>
      <c r="J26" s="14"/>
      <c r="K26" s="14">
        <f>'6'!V57</f>
        <v>75</v>
      </c>
      <c r="L26" s="14"/>
      <c r="M26" s="14">
        <f>'6'!X57</f>
        <v>50</v>
      </c>
      <c r="N26" s="14"/>
      <c r="O26" s="14">
        <f>'6'!Z57</f>
        <v>83.333333333333343</v>
      </c>
      <c r="P26" s="14"/>
      <c r="Q26" s="14"/>
      <c r="R26" s="14"/>
      <c r="S26" s="14"/>
    </row>
    <row r="27" spans="1:19" s="15" customFormat="1">
      <c r="B27" s="16" t="s">
        <v>13</v>
      </c>
      <c r="C27" s="17">
        <f>'6'!N85</f>
        <v>100</v>
      </c>
      <c r="D27" s="17"/>
      <c r="E27" s="17">
        <f>'6'!P85</f>
        <v>100</v>
      </c>
      <c r="F27" s="17"/>
      <c r="G27" s="17">
        <f>'6'!R85</f>
        <v>100</v>
      </c>
      <c r="H27" s="17"/>
      <c r="I27" s="17">
        <f>'6'!T85</f>
        <v>66.666666666666657</v>
      </c>
      <c r="J27" s="17"/>
      <c r="K27" s="17">
        <f>'6'!V85</f>
        <v>66.666666666666657</v>
      </c>
      <c r="L27" s="17"/>
      <c r="M27" s="17">
        <f>'6'!X85</f>
        <v>66.666666666666657</v>
      </c>
      <c r="N27" s="17"/>
      <c r="O27" s="17">
        <f>'6'!Z85</f>
        <v>100</v>
      </c>
      <c r="P27" s="17"/>
      <c r="Q27" s="17"/>
      <c r="R27" s="17"/>
      <c r="S27" s="17"/>
    </row>
    <row r="28" spans="1:19" s="18" customFormat="1">
      <c r="B28" s="19" t="s">
        <v>14</v>
      </c>
      <c r="C28" s="20">
        <f>'6'!N114</f>
        <v>100</v>
      </c>
      <c r="D28" s="20"/>
      <c r="E28" s="20">
        <f>'6'!P114</f>
        <v>100</v>
      </c>
      <c r="F28" s="20"/>
      <c r="G28" s="20">
        <f>'6'!R114</f>
        <v>100</v>
      </c>
      <c r="H28" s="20"/>
      <c r="I28" s="20">
        <f>'6'!T114</f>
        <v>100</v>
      </c>
      <c r="J28" s="20"/>
      <c r="K28" s="20">
        <f>'6'!V114</f>
        <v>91.666666666666657</v>
      </c>
      <c r="L28" s="20"/>
      <c r="M28" s="20">
        <f>'6'!X114</f>
        <v>83.333333333333343</v>
      </c>
      <c r="N28" s="20"/>
      <c r="O28" s="20">
        <f>'6'!Z114</f>
        <v>100</v>
      </c>
      <c r="P28" s="20"/>
      <c r="Q28" s="20"/>
      <c r="R28" s="20"/>
      <c r="S28" s="20"/>
    </row>
    <row r="29" spans="1:19" s="9" customFormat="1">
      <c r="A29" s="9">
        <v>7</v>
      </c>
      <c r="B29" s="10" t="s">
        <v>11</v>
      </c>
      <c r="C29" s="11">
        <f>'7'!N28</f>
        <v>100</v>
      </c>
      <c r="D29" s="11"/>
      <c r="E29" s="11">
        <f>'7'!P28</f>
        <v>100</v>
      </c>
      <c r="F29" s="11"/>
      <c r="G29" s="11">
        <f>'7'!R28</f>
        <v>100</v>
      </c>
      <c r="H29" s="11"/>
      <c r="I29" s="11">
        <f>'7'!T28</f>
        <v>100</v>
      </c>
      <c r="J29" s="11"/>
      <c r="K29" s="11">
        <f>'7'!V28</f>
        <v>91.666666666666657</v>
      </c>
      <c r="L29" s="11"/>
      <c r="M29" s="11">
        <f>'7'!X28</f>
        <v>33.333333333333329</v>
      </c>
      <c r="N29" s="11"/>
      <c r="O29" s="11">
        <f>'7'!Z28</f>
        <v>100</v>
      </c>
      <c r="P29" s="11"/>
      <c r="Q29" s="11"/>
      <c r="R29" s="11"/>
      <c r="S29" s="11"/>
    </row>
    <row r="30" spans="1:19" s="12" customFormat="1">
      <c r="B30" s="13" t="s">
        <v>12</v>
      </c>
      <c r="C30" s="14">
        <f>'7'!N57</f>
        <v>100</v>
      </c>
      <c r="D30" s="14"/>
      <c r="E30" s="14">
        <f>'7'!P57</f>
        <v>100</v>
      </c>
      <c r="F30" s="14"/>
      <c r="G30" s="14">
        <f>'7'!R57</f>
        <v>100</v>
      </c>
      <c r="H30" s="14"/>
      <c r="I30" s="14">
        <f>'7'!T57</f>
        <v>75</v>
      </c>
      <c r="J30" s="14"/>
      <c r="K30" s="14">
        <f>'7'!V57</f>
        <v>66.666666666666657</v>
      </c>
      <c r="L30" s="14"/>
      <c r="M30" s="14">
        <f>'7'!X57</f>
        <v>58.333333333333336</v>
      </c>
      <c r="N30" s="14"/>
      <c r="O30" s="14">
        <f>'7'!Z57</f>
        <v>100</v>
      </c>
      <c r="P30" s="14"/>
      <c r="Q30" s="14"/>
      <c r="R30" s="14"/>
      <c r="S30" s="14"/>
    </row>
    <row r="31" spans="1:19" s="15" customFormat="1">
      <c r="B31" s="16" t="s">
        <v>13</v>
      </c>
      <c r="C31" s="17">
        <f>'7'!N85</f>
        <v>100</v>
      </c>
      <c r="D31" s="17"/>
      <c r="E31" s="17">
        <f>'7'!P85</f>
        <v>100</v>
      </c>
      <c r="F31" s="17"/>
      <c r="G31" s="17">
        <f>'7'!R85</f>
        <v>100</v>
      </c>
      <c r="H31" s="17"/>
      <c r="I31" s="17">
        <f>'7'!T85</f>
        <v>41.666666666666671</v>
      </c>
      <c r="J31" s="17"/>
      <c r="K31" s="17">
        <f>'7'!V85</f>
        <v>41.666666666666671</v>
      </c>
      <c r="L31" s="17"/>
      <c r="M31" s="17">
        <f>'7'!X85</f>
        <v>41.666666666666671</v>
      </c>
      <c r="N31" s="17"/>
      <c r="O31" s="17">
        <f>'7'!Z85</f>
        <v>100</v>
      </c>
      <c r="P31" s="17"/>
      <c r="Q31" s="17"/>
      <c r="R31" s="17"/>
      <c r="S31" s="17"/>
    </row>
    <row r="32" spans="1:19" s="18" customFormat="1">
      <c r="B32" s="19" t="s">
        <v>14</v>
      </c>
      <c r="C32" s="20">
        <f>'7'!N114</f>
        <v>100</v>
      </c>
      <c r="D32" s="20"/>
      <c r="E32" s="20">
        <f>'7'!P114</f>
        <v>100</v>
      </c>
      <c r="F32" s="20"/>
      <c r="G32" s="20">
        <f>'7'!R114</f>
        <v>100</v>
      </c>
      <c r="H32" s="20"/>
      <c r="I32" s="20">
        <f>'7'!T114</f>
        <v>100</v>
      </c>
      <c r="J32" s="20"/>
      <c r="K32" s="20">
        <f>'7'!V114</f>
        <v>91.666666666666657</v>
      </c>
      <c r="L32" s="20"/>
      <c r="M32" s="20">
        <f>'7'!X114</f>
        <v>83.333333333333343</v>
      </c>
      <c r="N32" s="20"/>
      <c r="O32" s="20">
        <f>'7'!Z114</f>
        <v>100</v>
      </c>
      <c r="P32" s="20"/>
      <c r="Q32" s="20"/>
      <c r="R32" s="20"/>
      <c r="S32" s="20"/>
    </row>
    <row r="33" spans="1:19" s="9" customFormat="1">
      <c r="A33" s="9">
        <v>8</v>
      </c>
      <c r="B33" s="10" t="s">
        <v>11</v>
      </c>
      <c r="C33" s="11">
        <f>'8'!N28</f>
        <v>100</v>
      </c>
      <c r="D33" s="11"/>
      <c r="E33" s="11">
        <f>'8'!P28</f>
        <v>100</v>
      </c>
      <c r="F33" s="11"/>
      <c r="G33" s="11">
        <f>'8'!R28</f>
        <v>100</v>
      </c>
      <c r="H33" s="11"/>
      <c r="I33" s="11">
        <f>'8'!T28</f>
        <v>91.666666666666657</v>
      </c>
      <c r="J33" s="11"/>
      <c r="K33" s="11">
        <f>'8'!V28</f>
        <v>91.666666666666657</v>
      </c>
      <c r="L33" s="11"/>
      <c r="M33" s="11">
        <f>'8'!X28</f>
        <v>75</v>
      </c>
      <c r="N33" s="11"/>
      <c r="O33" s="11">
        <f>'8'!Z28</f>
        <v>100</v>
      </c>
      <c r="P33" s="11"/>
      <c r="Q33" s="11"/>
      <c r="R33" s="11"/>
      <c r="S33" s="11"/>
    </row>
    <row r="34" spans="1:19" s="12" customFormat="1">
      <c r="B34" s="13" t="s">
        <v>12</v>
      </c>
      <c r="C34" s="14">
        <f>'8'!N57</f>
        <v>100</v>
      </c>
      <c r="D34" s="14"/>
      <c r="E34" s="14">
        <f>'8'!P57</f>
        <v>100</v>
      </c>
      <c r="F34" s="14"/>
      <c r="G34" s="14">
        <f>'8'!R57</f>
        <v>100</v>
      </c>
      <c r="H34" s="14"/>
      <c r="I34" s="14">
        <f>'8'!T57</f>
        <v>100</v>
      </c>
      <c r="J34" s="14"/>
      <c r="K34" s="14">
        <f>'8'!V57</f>
        <v>100</v>
      </c>
      <c r="L34" s="14"/>
      <c r="M34" s="14">
        <f>'8'!X57</f>
        <v>58.333333333333336</v>
      </c>
      <c r="N34" s="14"/>
      <c r="O34" s="14">
        <f>'8'!Z57</f>
        <v>100</v>
      </c>
      <c r="P34" s="14"/>
      <c r="Q34" s="14"/>
      <c r="R34" s="14"/>
      <c r="S34" s="14"/>
    </row>
    <row r="35" spans="1:19" s="15" customFormat="1">
      <c r="B35" s="16" t="s">
        <v>13</v>
      </c>
      <c r="C35" s="17">
        <f>'8'!N85</f>
        <v>100</v>
      </c>
      <c r="D35" s="17"/>
      <c r="E35" s="17">
        <f>'8'!P85</f>
        <v>100</v>
      </c>
      <c r="F35" s="17"/>
      <c r="G35" s="17">
        <f>'8'!R85</f>
        <v>100</v>
      </c>
      <c r="H35" s="17"/>
      <c r="I35" s="17">
        <f>'8'!T85</f>
        <v>66.666666666666657</v>
      </c>
      <c r="J35" s="17"/>
      <c r="K35" s="17">
        <f>'8'!V85</f>
        <v>100</v>
      </c>
      <c r="L35" s="17"/>
      <c r="M35" s="17">
        <f>'8'!X85</f>
        <v>33.333333333333329</v>
      </c>
      <c r="N35" s="17"/>
      <c r="O35" s="17">
        <f>'8'!Z85</f>
        <v>100</v>
      </c>
      <c r="P35" s="17"/>
      <c r="Q35" s="17"/>
      <c r="R35" s="17"/>
      <c r="S35" s="17"/>
    </row>
    <row r="36" spans="1:19" s="18" customFormat="1">
      <c r="B36" s="19" t="s">
        <v>14</v>
      </c>
      <c r="C36" s="20">
        <f>'8'!N114</f>
        <v>100</v>
      </c>
      <c r="D36" s="20"/>
      <c r="E36" s="20">
        <f>'8'!P114</f>
        <v>100</v>
      </c>
      <c r="F36" s="20"/>
      <c r="G36" s="20">
        <f>'8'!R114</f>
        <v>100</v>
      </c>
      <c r="H36" s="20"/>
      <c r="I36" s="20">
        <f>'8'!T114</f>
        <v>75</v>
      </c>
      <c r="J36" s="20"/>
      <c r="K36" s="20">
        <f>'8'!V114</f>
        <v>66.666666666666657</v>
      </c>
      <c r="L36" s="20"/>
      <c r="M36" s="20">
        <f>'8'!X114</f>
        <v>75</v>
      </c>
      <c r="N36" s="20"/>
      <c r="O36" s="20">
        <f>'8'!Z114</f>
        <v>100</v>
      </c>
      <c r="P36" s="20"/>
      <c r="Q36" s="20"/>
      <c r="R36" s="20"/>
      <c r="S36" s="20"/>
    </row>
    <row r="37" spans="1:19" s="9" customFormat="1">
      <c r="A37" s="9">
        <v>9</v>
      </c>
      <c r="B37" s="10" t="s">
        <v>11</v>
      </c>
      <c r="C37" s="11">
        <f>'9'!N28</f>
        <v>100</v>
      </c>
      <c r="D37" s="11"/>
      <c r="E37" s="11">
        <f>'9'!P28</f>
        <v>100</v>
      </c>
      <c r="F37" s="11"/>
      <c r="G37" s="11">
        <f>'9'!R28</f>
        <v>100</v>
      </c>
      <c r="H37" s="11"/>
      <c r="I37" s="11">
        <f>'9'!T28</f>
        <v>75</v>
      </c>
      <c r="J37" s="11"/>
      <c r="K37" s="11">
        <f>'9'!V28</f>
        <v>75</v>
      </c>
      <c r="L37" s="11"/>
      <c r="M37" s="11">
        <f>'9'!X28</f>
        <v>66.666666666666657</v>
      </c>
      <c r="N37" s="11"/>
      <c r="O37" s="11">
        <f>'9'!Z28</f>
        <v>100</v>
      </c>
      <c r="P37" s="11"/>
      <c r="Q37" s="11"/>
      <c r="R37" s="11"/>
      <c r="S37" s="11"/>
    </row>
    <row r="38" spans="1:19" s="12" customFormat="1">
      <c r="B38" s="13" t="s">
        <v>12</v>
      </c>
      <c r="C38" s="14">
        <f>'9'!N57</f>
        <v>100</v>
      </c>
      <c r="D38" s="14"/>
      <c r="E38" s="14">
        <f>'9'!P57</f>
        <v>100</v>
      </c>
      <c r="F38" s="14"/>
      <c r="G38" s="14">
        <f>'9'!R57</f>
        <v>100</v>
      </c>
      <c r="H38" s="14"/>
      <c r="I38" s="14">
        <f>'9'!T57</f>
        <v>100</v>
      </c>
      <c r="J38" s="14"/>
      <c r="K38" s="14">
        <f>'9'!V57</f>
        <v>100</v>
      </c>
      <c r="L38" s="14"/>
      <c r="M38" s="14">
        <f>'9'!X57</f>
        <v>100</v>
      </c>
      <c r="N38" s="14"/>
      <c r="O38" s="14">
        <f>'9'!Z57</f>
        <v>100</v>
      </c>
      <c r="P38" s="14"/>
      <c r="Q38" s="14"/>
      <c r="R38" s="14"/>
      <c r="S38" s="14"/>
    </row>
    <row r="39" spans="1:19" s="15" customFormat="1">
      <c r="B39" s="16" t="s">
        <v>13</v>
      </c>
      <c r="C39" s="17">
        <f>'9'!N85</f>
        <v>100</v>
      </c>
      <c r="D39" s="17"/>
      <c r="E39" s="17">
        <f>'9'!P85</f>
        <v>100</v>
      </c>
      <c r="F39" s="17"/>
      <c r="G39" s="17">
        <f>'9'!R85</f>
        <v>100</v>
      </c>
      <c r="H39" s="17"/>
      <c r="I39" s="17">
        <f>'9'!T85</f>
        <v>41.666666666666671</v>
      </c>
      <c r="J39" s="17"/>
      <c r="K39" s="17">
        <f>'9'!V85</f>
        <v>41.666666666666671</v>
      </c>
      <c r="L39" s="17"/>
      <c r="M39" s="17">
        <f>'9'!X85</f>
        <v>41.666666666666671</v>
      </c>
      <c r="N39" s="17"/>
      <c r="O39" s="17">
        <f>'9'!Z85</f>
        <v>100</v>
      </c>
      <c r="P39" s="17"/>
      <c r="Q39" s="17"/>
      <c r="R39" s="17"/>
      <c r="S39" s="17"/>
    </row>
    <row r="40" spans="1:19" s="18" customFormat="1">
      <c r="B40" s="19" t="s">
        <v>14</v>
      </c>
      <c r="C40" s="20">
        <f>'9'!N114</f>
        <v>100</v>
      </c>
      <c r="D40" s="20"/>
      <c r="E40" s="20">
        <f>'9'!P114</f>
        <v>100</v>
      </c>
      <c r="F40" s="20"/>
      <c r="G40" s="20">
        <f>'9'!R114</f>
        <v>100</v>
      </c>
      <c r="H40" s="20"/>
      <c r="I40" s="20">
        <f>'9'!T114</f>
        <v>100</v>
      </c>
      <c r="J40" s="20"/>
      <c r="K40" s="20">
        <f>'9'!V114</f>
        <v>100</v>
      </c>
      <c r="L40" s="20"/>
      <c r="M40" s="20">
        <f>'9'!X114</f>
        <v>100</v>
      </c>
      <c r="N40" s="20"/>
      <c r="O40" s="20">
        <f>'9'!Z114</f>
        <v>100</v>
      </c>
      <c r="P40" s="20"/>
      <c r="Q40" s="20"/>
      <c r="R40" s="20"/>
      <c r="S40" s="20"/>
    </row>
    <row r="41" spans="1:19" s="9" customFormat="1">
      <c r="A41" s="9">
        <v>10</v>
      </c>
      <c r="B41" s="10" t="s">
        <v>11</v>
      </c>
      <c r="C41" s="11">
        <f>'10'!N28</f>
        <v>100</v>
      </c>
      <c r="D41" s="11"/>
      <c r="E41" s="11">
        <f>'10'!P28</f>
        <v>100</v>
      </c>
      <c r="F41" s="11"/>
      <c r="G41" s="11">
        <f>'10'!R28</f>
        <v>100</v>
      </c>
      <c r="H41" s="11"/>
      <c r="I41" s="11">
        <f>'10'!T28</f>
        <v>100</v>
      </c>
      <c r="J41" s="11"/>
      <c r="K41" s="11">
        <f>'10'!V28</f>
        <v>91.666666666666657</v>
      </c>
      <c r="L41" s="11"/>
      <c r="M41" s="11">
        <f>'10'!X28</f>
        <v>100</v>
      </c>
      <c r="N41" s="11"/>
      <c r="O41" s="11">
        <f>'10'!Z28</f>
        <v>100</v>
      </c>
      <c r="P41" s="11"/>
      <c r="Q41" s="11"/>
      <c r="R41" s="11"/>
      <c r="S41" s="11"/>
    </row>
    <row r="42" spans="1:19" s="12" customFormat="1">
      <c r="B42" s="13" t="s">
        <v>12</v>
      </c>
      <c r="C42" s="14">
        <f>'10'!N57</f>
        <v>100</v>
      </c>
      <c r="D42" s="14"/>
      <c r="E42" s="14">
        <f>'10'!P57</f>
        <v>100</v>
      </c>
      <c r="F42" s="14"/>
      <c r="G42" s="14">
        <f>'10'!R57</f>
        <v>100</v>
      </c>
      <c r="H42" s="14"/>
      <c r="I42" s="14">
        <f>'10'!T57</f>
        <v>100</v>
      </c>
      <c r="J42" s="14"/>
      <c r="K42" s="14">
        <f>'10'!V57</f>
        <v>91.666666666666657</v>
      </c>
      <c r="L42" s="14"/>
      <c r="M42" s="14">
        <f>'10'!X57</f>
        <v>100</v>
      </c>
      <c r="N42" s="14"/>
      <c r="O42" s="14">
        <f>'10'!Z57</f>
        <v>100</v>
      </c>
      <c r="P42" s="14"/>
      <c r="Q42" s="14"/>
      <c r="R42" s="14"/>
      <c r="S42" s="14"/>
    </row>
    <row r="43" spans="1:19" s="15" customFormat="1">
      <c r="B43" s="16" t="s">
        <v>13</v>
      </c>
      <c r="C43" s="17">
        <f>'10'!N85</f>
        <v>100</v>
      </c>
      <c r="D43" s="17"/>
      <c r="E43" s="17">
        <f>'10'!P85</f>
        <v>100</v>
      </c>
      <c r="F43" s="17"/>
      <c r="G43" s="17">
        <f>'10'!R85</f>
        <v>100</v>
      </c>
      <c r="H43" s="17"/>
      <c r="I43" s="17">
        <f>'10'!T85</f>
        <v>100</v>
      </c>
      <c r="J43" s="17"/>
      <c r="K43" s="17">
        <f>'10'!V85</f>
        <v>100</v>
      </c>
      <c r="L43" s="17"/>
      <c r="M43" s="17">
        <f>'10'!X85</f>
        <v>100</v>
      </c>
      <c r="N43" s="17"/>
      <c r="O43" s="17">
        <f>'10'!Z85</f>
        <v>100</v>
      </c>
      <c r="P43" s="17"/>
      <c r="Q43" s="17"/>
      <c r="R43" s="17"/>
      <c r="S43" s="17"/>
    </row>
    <row r="44" spans="1:19" s="18" customFormat="1">
      <c r="B44" s="19" t="s">
        <v>14</v>
      </c>
      <c r="C44" s="20">
        <f>'10'!N114</f>
        <v>100</v>
      </c>
      <c r="D44" s="20"/>
      <c r="E44" s="20">
        <f>'10'!P114</f>
        <v>100</v>
      </c>
      <c r="F44" s="20"/>
      <c r="G44" s="20">
        <f>'10'!R114</f>
        <v>100</v>
      </c>
      <c r="H44" s="20"/>
      <c r="I44" s="20">
        <f>'10'!T114</f>
        <v>100</v>
      </c>
      <c r="J44" s="20"/>
      <c r="K44" s="20">
        <f>'10'!V114</f>
        <v>100</v>
      </c>
      <c r="L44" s="20"/>
      <c r="M44" s="20">
        <f>'10'!X114</f>
        <v>75</v>
      </c>
      <c r="N44" s="20"/>
      <c r="O44" s="20">
        <f>'10'!Z114</f>
        <v>100</v>
      </c>
      <c r="P44" s="20"/>
      <c r="Q44" s="20"/>
      <c r="R44" s="20"/>
      <c r="S44" s="20"/>
    </row>
    <row r="45" spans="1:19" s="9" customFormat="1">
      <c r="A45" s="9">
        <v>11</v>
      </c>
      <c r="B45" s="10" t="s">
        <v>11</v>
      </c>
      <c r="C45" s="11">
        <f>'11'!N28</f>
        <v>100</v>
      </c>
      <c r="D45" s="11"/>
      <c r="E45" s="11">
        <f>'11'!P28</f>
        <v>100</v>
      </c>
      <c r="F45" s="11"/>
      <c r="G45" s="11">
        <f>'11'!R28</f>
        <v>100</v>
      </c>
      <c r="H45" s="11"/>
      <c r="I45" s="11">
        <f>'11'!T28</f>
        <v>75</v>
      </c>
      <c r="J45" s="11"/>
      <c r="K45" s="11">
        <f>'11'!V28</f>
        <v>66.666666666666657</v>
      </c>
      <c r="L45" s="11"/>
      <c r="M45" s="11">
        <f>'11'!X28</f>
        <v>41.666666666666671</v>
      </c>
      <c r="N45" s="11"/>
      <c r="O45" s="11">
        <f>'11'!Z28</f>
        <v>100</v>
      </c>
      <c r="P45" s="11"/>
      <c r="Q45" s="11"/>
      <c r="R45" s="11"/>
      <c r="S45" s="11"/>
    </row>
    <row r="46" spans="1:19" s="12" customFormat="1">
      <c r="B46" s="13" t="s">
        <v>12</v>
      </c>
      <c r="C46" s="14">
        <f>'11'!N57</f>
        <v>100</v>
      </c>
      <c r="D46" s="14"/>
      <c r="E46" s="14">
        <f>'11'!P57</f>
        <v>100</v>
      </c>
      <c r="F46" s="14"/>
      <c r="G46" s="14">
        <f>'11'!R57</f>
        <v>100</v>
      </c>
      <c r="H46" s="14"/>
      <c r="I46" s="14">
        <f>'11'!T57</f>
        <v>75</v>
      </c>
      <c r="J46" s="14"/>
      <c r="K46" s="14">
        <f>'11'!V57</f>
        <v>66.666666666666657</v>
      </c>
      <c r="L46" s="14"/>
      <c r="M46" s="14">
        <f>'11'!X57</f>
        <v>66.666666666666657</v>
      </c>
      <c r="N46" s="14"/>
      <c r="O46" s="14">
        <f>'11'!Z57</f>
        <v>100</v>
      </c>
      <c r="P46" s="14"/>
      <c r="Q46" s="14"/>
      <c r="R46" s="14"/>
      <c r="S46" s="14"/>
    </row>
    <row r="47" spans="1:19" s="15" customFormat="1">
      <c r="B47" s="16" t="s">
        <v>13</v>
      </c>
      <c r="C47" s="17">
        <f>'11'!N85</f>
        <v>100</v>
      </c>
      <c r="D47" s="17"/>
      <c r="E47" s="17">
        <f>'11'!P85</f>
        <v>100</v>
      </c>
      <c r="F47" s="17"/>
      <c r="G47" s="17">
        <f>'11'!R85</f>
        <v>100</v>
      </c>
      <c r="H47" s="17"/>
      <c r="I47" s="17">
        <f>'11'!T85</f>
        <v>91.666666666666657</v>
      </c>
      <c r="J47" s="17"/>
      <c r="K47" s="17">
        <f>'11'!V85</f>
        <v>91.666666666666657</v>
      </c>
      <c r="L47" s="17"/>
      <c r="M47" s="17">
        <f>'11'!X85</f>
        <v>100</v>
      </c>
      <c r="N47" s="17"/>
      <c r="O47" s="17">
        <f>'11'!Z85</f>
        <v>100</v>
      </c>
      <c r="P47" s="17"/>
      <c r="Q47" s="17"/>
      <c r="R47" s="17"/>
      <c r="S47" s="17"/>
    </row>
    <row r="48" spans="1:19" s="18" customFormat="1">
      <c r="B48" s="19" t="s">
        <v>14</v>
      </c>
      <c r="C48" s="20">
        <f>'11'!N114</f>
        <v>100</v>
      </c>
      <c r="D48" s="20"/>
      <c r="E48" s="20">
        <f>'11'!P114</f>
        <v>100</v>
      </c>
      <c r="F48" s="20"/>
      <c r="G48" s="20">
        <f>'11'!R114</f>
        <v>100</v>
      </c>
      <c r="H48" s="20"/>
      <c r="I48" s="20">
        <f>'11'!T114</f>
        <v>91.666666666666657</v>
      </c>
      <c r="J48" s="20"/>
      <c r="K48" s="20">
        <f>'11'!V114</f>
        <v>91.666666666666657</v>
      </c>
      <c r="L48" s="20"/>
      <c r="M48" s="20">
        <f>'11'!X114</f>
        <v>83.333333333333343</v>
      </c>
      <c r="N48" s="20"/>
      <c r="O48" s="20">
        <f>'11'!Z114</f>
        <v>100</v>
      </c>
      <c r="P48" s="20"/>
      <c r="Q48" s="20"/>
      <c r="R48" s="20"/>
      <c r="S48" s="20"/>
    </row>
    <row r="49" spans="1:19" s="9" customFormat="1">
      <c r="A49" s="9">
        <v>12</v>
      </c>
      <c r="B49" s="10" t="s">
        <v>11</v>
      </c>
      <c r="C49" s="11">
        <f>'12'!N28</f>
        <v>100</v>
      </c>
      <c r="D49" s="11"/>
      <c r="E49" s="11">
        <f>'12'!P28</f>
        <v>100</v>
      </c>
      <c r="F49" s="11"/>
      <c r="G49" s="11">
        <f>'12'!R28</f>
        <v>100</v>
      </c>
      <c r="H49" s="11"/>
      <c r="I49" s="11">
        <f>'12'!T28</f>
        <v>100</v>
      </c>
      <c r="J49" s="11"/>
      <c r="K49" s="11">
        <f>'12'!V28</f>
        <v>75</v>
      </c>
      <c r="L49" s="11"/>
      <c r="M49" s="11">
        <f>'12'!X28</f>
        <v>33.333333333333329</v>
      </c>
      <c r="N49" s="11"/>
      <c r="O49" s="11">
        <f>'12'!Z28</f>
        <v>100</v>
      </c>
      <c r="P49" s="11"/>
      <c r="Q49" s="11"/>
      <c r="R49" s="11"/>
      <c r="S49" s="11"/>
    </row>
    <row r="50" spans="1:19" s="12" customFormat="1">
      <c r="B50" s="13" t="s">
        <v>12</v>
      </c>
      <c r="C50" s="14">
        <f>'12'!N57</f>
        <v>100</v>
      </c>
      <c r="D50" s="14"/>
      <c r="E50" s="14">
        <f>'12'!P57</f>
        <v>100</v>
      </c>
      <c r="F50" s="14"/>
      <c r="G50" s="14">
        <f>'12'!R57</f>
        <v>100</v>
      </c>
      <c r="H50" s="14"/>
      <c r="I50" s="14">
        <f>'12'!T57</f>
        <v>100</v>
      </c>
      <c r="J50" s="14"/>
      <c r="K50" s="14">
        <f>'12'!V57</f>
        <v>75</v>
      </c>
      <c r="L50" s="14"/>
      <c r="M50" s="14">
        <f>'12'!X57</f>
        <v>58.333333333333336</v>
      </c>
      <c r="N50" s="14"/>
      <c r="O50" s="14">
        <f>'12'!Z57</f>
        <v>100</v>
      </c>
      <c r="P50" s="14"/>
      <c r="Q50" s="14"/>
      <c r="R50" s="14"/>
      <c r="S50" s="14"/>
    </row>
    <row r="51" spans="1:19" s="15" customFormat="1">
      <c r="B51" s="16" t="s">
        <v>13</v>
      </c>
      <c r="C51" s="17">
        <f>'12'!N85</f>
        <v>100</v>
      </c>
      <c r="D51" s="17"/>
      <c r="E51" s="17">
        <f>'12'!P85</f>
        <v>100</v>
      </c>
      <c r="F51" s="17"/>
      <c r="G51" s="17">
        <f>'12'!R85</f>
        <v>100</v>
      </c>
      <c r="H51" s="17"/>
      <c r="I51" s="17">
        <f>'12'!T85</f>
        <v>91.666666666666657</v>
      </c>
      <c r="J51" s="17"/>
      <c r="K51" s="17">
        <f>'12'!V85</f>
        <v>100</v>
      </c>
      <c r="L51" s="17"/>
      <c r="M51" s="17">
        <f>'12'!X85</f>
        <v>8.3333333333333321</v>
      </c>
      <c r="N51" s="17"/>
      <c r="O51" s="17">
        <f>'12'!Z85</f>
        <v>100</v>
      </c>
      <c r="P51" s="17"/>
      <c r="Q51" s="17"/>
      <c r="R51" s="17"/>
      <c r="S51" s="17"/>
    </row>
    <row r="52" spans="1:19" s="18" customFormat="1">
      <c r="B52" s="19" t="s">
        <v>14</v>
      </c>
      <c r="C52" s="20">
        <f>'12'!N114</f>
        <v>100</v>
      </c>
      <c r="D52" s="20"/>
      <c r="E52" s="20">
        <f>'12'!P114</f>
        <v>100</v>
      </c>
      <c r="F52" s="20"/>
      <c r="G52" s="20">
        <f>'12'!R114</f>
        <v>100</v>
      </c>
      <c r="H52" s="20"/>
      <c r="I52" s="20">
        <f>'12'!T114</f>
        <v>75</v>
      </c>
      <c r="J52" s="20"/>
      <c r="K52" s="20">
        <f>'12'!V114</f>
        <v>75</v>
      </c>
      <c r="L52" s="20"/>
      <c r="M52" s="20">
        <f>'12'!X114</f>
        <v>91.666666666666657</v>
      </c>
      <c r="N52" s="20"/>
      <c r="O52" s="20">
        <f>'12'!Z114</f>
        <v>100</v>
      </c>
      <c r="P52" s="20"/>
      <c r="Q52" s="20"/>
      <c r="R52" s="20"/>
      <c r="S52" s="20"/>
    </row>
    <row r="53" spans="1:19" s="9" customFormat="1">
      <c r="A53" s="9">
        <v>13</v>
      </c>
      <c r="B53" s="10" t="s">
        <v>11</v>
      </c>
      <c r="C53" s="11">
        <f>'13'!N28</f>
        <v>100</v>
      </c>
      <c r="D53" s="11"/>
      <c r="E53" s="11">
        <f>'13'!P28</f>
        <v>100</v>
      </c>
      <c r="F53" s="11"/>
      <c r="G53" s="11">
        <f>'13'!R28</f>
        <v>100</v>
      </c>
      <c r="H53" s="11"/>
      <c r="I53" s="11">
        <f>'13'!T28</f>
        <v>91.666666666666657</v>
      </c>
      <c r="J53" s="11"/>
      <c r="K53" s="11">
        <f>'13'!V28</f>
        <v>100</v>
      </c>
      <c r="L53" s="11"/>
      <c r="M53" s="11">
        <f>'13'!X28</f>
        <v>50</v>
      </c>
      <c r="N53" s="11"/>
      <c r="O53" s="11">
        <f>'13'!Z28</f>
        <v>100</v>
      </c>
      <c r="P53" s="11"/>
      <c r="Q53" s="11"/>
      <c r="R53" s="11"/>
      <c r="S53" s="11"/>
    </row>
    <row r="54" spans="1:19" s="12" customFormat="1">
      <c r="B54" s="13" t="s">
        <v>12</v>
      </c>
      <c r="C54" s="14">
        <f>'13'!N57</f>
        <v>100</v>
      </c>
      <c r="D54" s="14"/>
      <c r="E54" s="14">
        <f>'13'!P57</f>
        <v>100</v>
      </c>
      <c r="F54" s="14"/>
      <c r="G54" s="14">
        <f>'13'!R57</f>
        <v>100</v>
      </c>
      <c r="H54" s="14"/>
      <c r="I54" s="14">
        <f>'13'!T57</f>
        <v>83.333333333333343</v>
      </c>
      <c r="J54" s="14"/>
      <c r="K54" s="14">
        <f>'13'!V57</f>
        <v>91.666666666666657</v>
      </c>
      <c r="L54" s="14"/>
      <c r="M54" s="14">
        <f>'13'!X57</f>
        <v>33.333333333333329</v>
      </c>
      <c r="N54" s="14"/>
      <c r="O54" s="14">
        <f>'13'!Z57</f>
        <v>100</v>
      </c>
      <c r="P54" s="14"/>
      <c r="Q54" s="14"/>
      <c r="R54" s="14"/>
      <c r="S54" s="14"/>
    </row>
    <row r="55" spans="1:19" s="15" customFormat="1">
      <c r="B55" s="16" t="s">
        <v>13</v>
      </c>
      <c r="C55" s="17">
        <f>'13'!N85</f>
        <v>100</v>
      </c>
      <c r="D55" s="17"/>
      <c r="E55" s="17">
        <f>'13'!P85</f>
        <v>100</v>
      </c>
      <c r="F55" s="17"/>
      <c r="G55" s="17">
        <f>'13'!R85</f>
        <v>100</v>
      </c>
      <c r="H55" s="17"/>
      <c r="I55" s="17">
        <f>'13'!T85</f>
        <v>75</v>
      </c>
      <c r="J55" s="17"/>
      <c r="K55" s="17">
        <f>'13'!V85</f>
        <v>66.666666666666657</v>
      </c>
      <c r="L55" s="17"/>
      <c r="M55" s="17">
        <f>'13'!X85</f>
        <v>58.333333333333336</v>
      </c>
      <c r="N55" s="17"/>
      <c r="O55" s="17">
        <f>'13'!Z85</f>
        <v>100</v>
      </c>
      <c r="P55" s="17"/>
      <c r="Q55" s="17"/>
      <c r="R55" s="17"/>
      <c r="S55" s="17"/>
    </row>
    <row r="56" spans="1:19" s="18" customFormat="1">
      <c r="B56" s="19" t="s">
        <v>14</v>
      </c>
      <c r="C56" s="20">
        <f>'13'!N114</f>
        <v>100</v>
      </c>
      <c r="D56" s="20"/>
      <c r="E56" s="20">
        <f>'13'!P114</f>
        <v>100</v>
      </c>
      <c r="F56" s="20"/>
      <c r="G56" s="20">
        <f>'13'!R114</f>
        <v>100</v>
      </c>
      <c r="H56" s="20"/>
      <c r="I56" s="20">
        <f>'13'!T114</f>
        <v>100</v>
      </c>
      <c r="J56" s="20"/>
      <c r="K56" s="20">
        <f>'13'!V114</f>
        <v>100</v>
      </c>
      <c r="L56" s="20"/>
      <c r="M56" s="20">
        <f>'13'!X114</f>
        <v>100</v>
      </c>
      <c r="N56" s="20"/>
      <c r="O56" s="20">
        <f>'13'!Z114</f>
        <v>100</v>
      </c>
      <c r="P56" s="20"/>
      <c r="Q56" s="20"/>
      <c r="R56" s="20"/>
      <c r="S56" s="20"/>
    </row>
    <row r="57" spans="1:19" s="9" customFormat="1">
      <c r="A57" s="9">
        <v>14</v>
      </c>
      <c r="B57" s="10" t="s">
        <v>11</v>
      </c>
      <c r="C57" s="11">
        <f>'14'!N28</f>
        <v>100</v>
      </c>
      <c r="D57" s="11"/>
      <c r="E57" s="11">
        <f>'14'!P28</f>
        <v>100</v>
      </c>
      <c r="F57" s="11"/>
      <c r="G57" s="11">
        <f>'14'!R28</f>
        <v>100</v>
      </c>
      <c r="H57" s="11"/>
      <c r="I57" s="11">
        <f>'14'!T28</f>
        <v>100</v>
      </c>
      <c r="J57" s="11"/>
      <c r="K57" s="11">
        <f>'14'!V28</f>
        <v>100</v>
      </c>
      <c r="L57" s="11"/>
      <c r="M57" s="11">
        <f>'14'!X28</f>
        <v>100</v>
      </c>
      <c r="N57" s="11"/>
      <c r="O57" s="11">
        <f>'14'!Z28</f>
        <v>100</v>
      </c>
      <c r="P57" s="11"/>
      <c r="Q57" s="11"/>
      <c r="R57" s="11"/>
      <c r="S57" s="11"/>
    </row>
    <row r="58" spans="1:19" s="12" customFormat="1">
      <c r="B58" s="13" t="s">
        <v>12</v>
      </c>
      <c r="C58" s="14">
        <f>'14'!N57</f>
        <v>100</v>
      </c>
      <c r="D58" s="14"/>
      <c r="E58" s="14">
        <f>'14'!P57</f>
        <v>100</v>
      </c>
      <c r="F58" s="14"/>
      <c r="G58" s="14">
        <f>'14'!R57</f>
        <v>100</v>
      </c>
      <c r="H58" s="14"/>
      <c r="I58" s="14">
        <f>'14'!T57</f>
        <v>100</v>
      </c>
      <c r="J58" s="14"/>
      <c r="K58" s="14">
        <f>'14'!V57</f>
        <v>100</v>
      </c>
      <c r="L58" s="14"/>
      <c r="M58" s="14">
        <f>'14'!X57</f>
        <v>100</v>
      </c>
      <c r="N58" s="14"/>
      <c r="O58" s="14">
        <f>'14'!Z57</f>
        <v>100</v>
      </c>
      <c r="P58" s="14"/>
      <c r="Q58" s="14"/>
      <c r="R58" s="14"/>
      <c r="S58" s="14"/>
    </row>
    <row r="59" spans="1:19" s="15" customFormat="1">
      <c r="B59" s="16" t="s">
        <v>13</v>
      </c>
      <c r="C59" s="17">
        <f>'14'!N85</f>
        <v>100</v>
      </c>
      <c r="D59" s="17"/>
      <c r="E59" s="17">
        <f>'14'!P85</f>
        <v>100</v>
      </c>
      <c r="F59" s="17"/>
      <c r="G59" s="17">
        <f>'14'!R85</f>
        <v>100</v>
      </c>
      <c r="H59" s="17"/>
      <c r="I59" s="17">
        <f>'14'!T85</f>
        <v>91.666666666666657</v>
      </c>
      <c r="J59" s="17"/>
      <c r="K59" s="17">
        <f>'14'!V85</f>
        <v>83.333333333333343</v>
      </c>
      <c r="L59" s="17"/>
      <c r="M59" s="17">
        <f>'14'!X85</f>
        <v>91.666666666666657</v>
      </c>
      <c r="N59" s="17"/>
      <c r="O59" s="17">
        <f>'14'!Z85</f>
        <v>100</v>
      </c>
      <c r="P59" s="17"/>
      <c r="Q59" s="17"/>
      <c r="R59" s="17"/>
      <c r="S59" s="17"/>
    </row>
    <row r="60" spans="1:19" s="18" customFormat="1">
      <c r="B60" s="19" t="s">
        <v>14</v>
      </c>
      <c r="C60" s="20">
        <f>'14'!N114</f>
        <v>100</v>
      </c>
      <c r="D60" s="20"/>
      <c r="E60" s="20">
        <f>'14'!P114</f>
        <v>100</v>
      </c>
      <c r="F60" s="20"/>
      <c r="G60" s="20">
        <f>'14'!R114</f>
        <v>100</v>
      </c>
      <c r="H60" s="20"/>
      <c r="I60" s="20">
        <f>'14'!T114</f>
        <v>83.333333333333343</v>
      </c>
      <c r="J60" s="20"/>
      <c r="K60" s="20">
        <f>'14'!V114</f>
        <v>83.333333333333343</v>
      </c>
      <c r="L60" s="20"/>
      <c r="M60" s="20">
        <f>'14'!X114</f>
        <v>91.666666666666657</v>
      </c>
      <c r="N60" s="20"/>
      <c r="O60" s="20">
        <f>'14'!Z114</f>
        <v>100</v>
      </c>
      <c r="P60" s="20"/>
      <c r="Q60" s="20"/>
      <c r="R60" s="20"/>
      <c r="S60" s="20"/>
    </row>
    <row r="61" spans="1:19" s="9" customFormat="1">
      <c r="A61" s="9">
        <v>15</v>
      </c>
      <c r="B61" s="10" t="s">
        <v>11</v>
      </c>
      <c r="C61" s="11">
        <f>'15'!N28</f>
        <v>100</v>
      </c>
      <c r="D61" s="11"/>
      <c r="E61" s="11">
        <f>'15'!P28</f>
        <v>100</v>
      </c>
      <c r="F61" s="11"/>
      <c r="G61" s="11">
        <f>'15'!R28</f>
        <v>100</v>
      </c>
      <c r="H61" s="11"/>
      <c r="I61" s="11">
        <f>'15'!T28</f>
        <v>91.666666666666657</v>
      </c>
      <c r="J61" s="11"/>
      <c r="K61" s="11">
        <f>'15'!V28</f>
        <v>100</v>
      </c>
      <c r="L61" s="11"/>
      <c r="M61" s="11">
        <f>'15'!X28</f>
        <v>58.333333333333336</v>
      </c>
      <c r="N61" s="11"/>
      <c r="O61" s="11">
        <f>'15'!Z28</f>
        <v>100</v>
      </c>
      <c r="P61" s="11"/>
      <c r="Q61" s="11"/>
      <c r="R61" s="11"/>
      <c r="S61" s="11"/>
    </row>
    <row r="62" spans="1:19" s="12" customFormat="1">
      <c r="B62" s="13" t="s">
        <v>12</v>
      </c>
      <c r="C62" s="14">
        <f>'15'!N57</f>
        <v>100</v>
      </c>
      <c r="D62" s="14"/>
      <c r="E62" s="14">
        <f>'15'!P57</f>
        <v>100</v>
      </c>
      <c r="F62" s="14"/>
      <c r="G62" s="14">
        <f>'15'!R57</f>
        <v>100</v>
      </c>
      <c r="H62" s="14"/>
      <c r="I62" s="14">
        <f>'15'!T57</f>
        <v>91.666666666666657</v>
      </c>
      <c r="J62" s="14"/>
      <c r="K62" s="14">
        <f>'15'!V57</f>
        <v>91.666666666666657</v>
      </c>
      <c r="L62" s="14"/>
      <c r="M62" s="14">
        <f>'15'!X57</f>
        <v>58.333333333333336</v>
      </c>
      <c r="N62" s="14"/>
      <c r="O62" s="14">
        <f>'15'!Z57</f>
        <v>100</v>
      </c>
      <c r="P62" s="14"/>
      <c r="Q62" s="14"/>
      <c r="R62" s="14"/>
      <c r="S62" s="14"/>
    </row>
    <row r="63" spans="1:19" s="15" customFormat="1">
      <c r="B63" s="16" t="s">
        <v>13</v>
      </c>
      <c r="C63" s="17">
        <f>'15'!N85</f>
        <v>100</v>
      </c>
      <c r="D63" s="17"/>
      <c r="E63" s="17">
        <f>'15'!P85</f>
        <v>100</v>
      </c>
      <c r="F63" s="17"/>
      <c r="G63" s="17">
        <f>'15'!R85</f>
        <v>100</v>
      </c>
      <c r="H63" s="17"/>
      <c r="I63" s="17">
        <f>'15'!T85</f>
        <v>83.333333333333343</v>
      </c>
      <c r="J63" s="17"/>
      <c r="K63" s="17">
        <f>'15'!V85</f>
        <v>75</v>
      </c>
      <c r="L63" s="17"/>
      <c r="M63" s="17">
        <f>'15'!X85</f>
        <v>58.333333333333336</v>
      </c>
      <c r="N63" s="17"/>
      <c r="O63" s="17">
        <f>'15'!Z85</f>
        <v>100</v>
      </c>
      <c r="P63" s="17"/>
      <c r="Q63" s="17"/>
      <c r="R63" s="17"/>
      <c r="S63" s="17"/>
    </row>
    <row r="64" spans="1:19" s="18" customFormat="1">
      <c r="B64" s="19" t="s">
        <v>14</v>
      </c>
      <c r="C64" s="20">
        <f>'15'!N114</f>
        <v>100</v>
      </c>
      <c r="D64" s="20"/>
      <c r="E64" s="20">
        <f>'15'!P114</f>
        <v>100</v>
      </c>
      <c r="F64" s="20"/>
      <c r="G64" s="20">
        <f>'15'!R114</f>
        <v>100</v>
      </c>
      <c r="H64" s="20"/>
      <c r="I64" s="20">
        <f>'15'!T114</f>
        <v>83.333333333333343</v>
      </c>
      <c r="J64" s="20"/>
      <c r="K64" s="20">
        <f>'15'!V114</f>
        <v>91.666666666666657</v>
      </c>
      <c r="L64" s="20"/>
      <c r="M64" s="20">
        <f>'15'!X114</f>
        <v>75</v>
      </c>
      <c r="N64" s="20"/>
      <c r="O64" s="20">
        <f>'15'!Z114</f>
        <v>100</v>
      </c>
      <c r="P64" s="20"/>
      <c r="Q64" s="20"/>
      <c r="R64" s="20"/>
      <c r="S64" s="20"/>
    </row>
    <row r="65" spans="1:19" s="9" customFormat="1">
      <c r="A65" s="9">
        <v>16</v>
      </c>
      <c r="B65" s="10" t="s">
        <v>11</v>
      </c>
      <c r="C65" s="11">
        <f>'16'!N28</f>
        <v>100</v>
      </c>
      <c r="D65" s="11"/>
      <c r="E65" s="11">
        <f>'16'!P28</f>
        <v>100</v>
      </c>
      <c r="F65" s="11"/>
      <c r="G65" s="11">
        <f>'16'!R28</f>
        <v>100</v>
      </c>
      <c r="H65" s="11"/>
      <c r="I65" s="11">
        <f>'16'!T28</f>
        <v>75</v>
      </c>
      <c r="J65" s="11"/>
      <c r="K65" s="11">
        <f>'16'!V28</f>
        <v>75</v>
      </c>
      <c r="L65" s="11"/>
      <c r="M65" s="11">
        <f>'16'!X28</f>
        <v>41.666666666666671</v>
      </c>
      <c r="N65" s="11"/>
      <c r="O65" s="11">
        <f>'16'!Z28</f>
        <v>100</v>
      </c>
      <c r="P65" s="11"/>
      <c r="Q65" s="11"/>
      <c r="R65" s="11"/>
      <c r="S65" s="11"/>
    </row>
    <row r="66" spans="1:19" s="12" customFormat="1">
      <c r="B66" s="13" t="s">
        <v>12</v>
      </c>
      <c r="C66" s="14">
        <f>'16'!N57</f>
        <v>100</v>
      </c>
      <c r="D66" s="14"/>
      <c r="E66" s="14">
        <f>'16'!P57</f>
        <v>100</v>
      </c>
      <c r="F66" s="14"/>
      <c r="G66" s="14">
        <f>'16'!R57</f>
        <v>100</v>
      </c>
      <c r="H66" s="14"/>
      <c r="I66" s="14">
        <f>'16'!T57</f>
        <v>58.333333333333336</v>
      </c>
      <c r="J66" s="14"/>
      <c r="K66" s="14">
        <f>'16'!V57</f>
        <v>66.666666666666657</v>
      </c>
      <c r="L66" s="14"/>
      <c r="M66" s="14">
        <f>'16'!X57</f>
        <v>66.666666666666657</v>
      </c>
      <c r="N66" s="14"/>
      <c r="O66" s="14">
        <f>'16'!Z57</f>
        <v>100</v>
      </c>
      <c r="P66" s="14"/>
      <c r="Q66" s="14"/>
      <c r="R66" s="14"/>
      <c r="S66" s="14"/>
    </row>
    <row r="67" spans="1:19" s="15" customFormat="1">
      <c r="B67" s="16" t="s">
        <v>13</v>
      </c>
      <c r="C67" s="17">
        <f>'16'!N85</f>
        <v>100</v>
      </c>
      <c r="D67" s="17"/>
      <c r="E67" s="17">
        <f>'16'!P85</f>
        <v>100</v>
      </c>
      <c r="F67" s="17"/>
      <c r="G67" s="17">
        <f>'16'!R85</f>
        <v>100</v>
      </c>
      <c r="H67" s="17"/>
      <c r="I67" s="17">
        <f>'16'!T85</f>
        <v>58.333333333333336</v>
      </c>
      <c r="J67" s="17"/>
      <c r="K67" s="17">
        <f>'16'!V85</f>
        <v>66.666666666666657</v>
      </c>
      <c r="L67" s="17"/>
      <c r="M67" s="17">
        <f>'16'!X85</f>
        <v>83.333333333333343</v>
      </c>
      <c r="N67" s="17"/>
      <c r="O67" s="17">
        <f>'16'!Z85</f>
        <v>100</v>
      </c>
      <c r="P67" s="17"/>
      <c r="Q67" s="17"/>
      <c r="R67" s="17"/>
      <c r="S67" s="17"/>
    </row>
    <row r="68" spans="1:19" s="18" customFormat="1">
      <c r="B68" s="19" t="s">
        <v>14</v>
      </c>
      <c r="C68" s="20">
        <f>'16'!N114</f>
        <v>100</v>
      </c>
      <c r="D68" s="20"/>
      <c r="E68" s="20">
        <f>'16'!P114</f>
        <v>100</v>
      </c>
      <c r="F68" s="20"/>
      <c r="G68" s="20">
        <f>'16'!R114</f>
        <v>100</v>
      </c>
      <c r="H68" s="20"/>
      <c r="I68" s="20">
        <f>'16'!T114</f>
        <v>100</v>
      </c>
      <c r="J68" s="20"/>
      <c r="K68" s="20">
        <f>'16'!V114</f>
        <v>100</v>
      </c>
      <c r="L68" s="20"/>
      <c r="M68" s="20">
        <f>'16'!X114</f>
        <v>75</v>
      </c>
      <c r="N68" s="20"/>
      <c r="O68" s="20">
        <f>'16'!Z114</f>
        <v>100</v>
      </c>
      <c r="P68" s="20"/>
      <c r="Q68" s="20"/>
      <c r="R68" s="20"/>
      <c r="S68" s="20"/>
    </row>
    <row r="69" spans="1:19" s="9" customFormat="1">
      <c r="A69" s="9">
        <v>17</v>
      </c>
      <c r="B69" s="10" t="s">
        <v>11</v>
      </c>
      <c r="C69" s="11">
        <f>'17'!N28</f>
        <v>100</v>
      </c>
      <c r="D69" s="11"/>
      <c r="E69" s="11">
        <f>'17'!P28</f>
        <v>100</v>
      </c>
      <c r="F69" s="11"/>
      <c r="G69" s="11">
        <f>'17'!R28</f>
        <v>100</v>
      </c>
      <c r="H69" s="11"/>
      <c r="I69" s="11">
        <f>'17'!T28</f>
        <v>83.333333333333343</v>
      </c>
      <c r="J69" s="11"/>
      <c r="K69" s="11">
        <f>'17'!V28</f>
        <v>83.333333333333343</v>
      </c>
      <c r="L69" s="11"/>
      <c r="M69" s="11">
        <f>'17'!X28</f>
        <v>25</v>
      </c>
      <c r="N69" s="11"/>
      <c r="O69" s="11">
        <f>'17'!Z28</f>
        <v>100</v>
      </c>
      <c r="P69" s="11"/>
      <c r="Q69" s="11"/>
      <c r="R69" s="11"/>
      <c r="S69" s="11"/>
    </row>
    <row r="70" spans="1:19" s="12" customFormat="1">
      <c r="B70" s="13" t="s">
        <v>12</v>
      </c>
      <c r="C70" s="14">
        <f>'17'!N57</f>
        <v>100</v>
      </c>
      <c r="D70" s="14"/>
      <c r="E70" s="14">
        <f>'17'!P57</f>
        <v>100</v>
      </c>
      <c r="F70" s="14"/>
      <c r="G70" s="14">
        <f>'17'!R57</f>
        <v>100</v>
      </c>
      <c r="H70" s="14"/>
      <c r="I70" s="14">
        <f>'17'!T57</f>
        <v>83.333333333333343</v>
      </c>
      <c r="J70" s="14"/>
      <c r="K70" s="14">
        <f>'17'!V57</f>
        <v>83.333333333333343</v>
      </c>
      <c r="L70" s="14"/>
      <c r="M70" s="14">
        <f>'17'!X57</f>
        <v>66.666666666666657</v>
      </c>
      <c r="N70" s="14"/>
      <c r="O70" s="14">
        <f>'17'!Z57</f>
        <v>100</v>
      </c>
      <c r="P70" s="14"/>
      <c r="Q70" s="14"/>
      <c r="R70" s="14"/>
      <c r="S70" s="14"/>
    </row>
    <row r="71" spans="1:19" s="15" customFormat="1">
      <c r="B71" s="16" t="s">
        <v>13</v>
      </c>
      <c r="C71" s="17">
        <f>'17'!N85</f>
        <v>100</v>
      </c>
      <c r="D71" s="17"/>
      <c r="E71" s="17">
        <f>'17'!P85</f>
        <v>100</v>
      </c>
      <c r="F71" s="17"/>
      <c r="G71" s="17">
        <f>'17'!R85</f>
        <v>100</v>
      </c>
      <c r="H71" s="17"/>
      <c r="I71" s="17">
        <f>'17'!T85</f>
        <v>50</v>
      </c>
      <c r="J71" s="17"/>
      <c r="K71" s="17">
        <f>'17'!V85</f>
        <v>41.666666666666671</v>
      </c>
      <c r="L71" s="17"/>
      <c r="M71" s="17">
        <f>'17'!X85</f>
        <v>41.666666666666671</v>
      </c>
      <c r="N71" s="17"/>
      <c r="O71" s="17">
        <f>'17'!Z85</f>
        <v>100</v>
      </c>
      <c r="P71" s="17"/>
      <c r="Q71" s="17"/>
      <c r="R71" s="17"/>
      <c r="S71" s="17"/>
    </row>
    <row r="72" spans="1:19" s="18" customFormat="1">
      <c r="B72" s="19" t="s">
        <v>14</v>
      </c>
      <c r="C72" s="20">
        <f>'17'!N114</f>
        <v>100</v>
      </c>
      <c r="D72" s="20"/>
      <c r="E72" s="20">
        <f>'17'!P114</f>
        <v>100</v>
      </c>
      <c r="F72" s="20"/>
      <c r="G72" s="20">
        <f>'17'!R114</f>
        <v>100</v>
      </c>
      <c r="H72" s="20"/>
      <c r="I72" s="20">
        <f>'17'!T114</f>
        <v>100</v>
      </c>
      <c r="J72" s="20"/>
      <c r="K72" s="20">
        <f>'17'!V114</f>
        <v>100</v>
      </c>
      <c r="L72" s="20"/>
      <c r="M72" s="20">
        <f>'17'!X114</f>
        <v>66.666666666666657</v>
      </c>
      <c r="N72" s="20"/>
      <c r="O72" s="20">
        <f>'17'!Z114</f>
        <v>100</v>
      </c>
      <c r="P72" s="20"/>
      <c r="Q72" s="20"/>
      <c r="R72" s="20"/>
      <c r="S72" s="20"/>
    </row>
    <row r="73" spans="1:19" s="9" customFormat="1">
      <c r="A73" s="9">
        <v>18</v>
      </c>
      <c r="B73" s="10" t="s">
        <v>11</v>
      </c>
      <c r="C73" s="11">
        <f>'18'!N28</f>
        <v>100</v>
      </c>
      <c r="D73" s="11"/>
      <c r="E73" s="11">
        <f>'18'!P28</f>
        <v>100</v>
      </c>
      <c r="F73" s="11"/>
      <c r="G73" s="11">
        <f>'18'!R28</f>
        <v>100</v>
      </c>
      <c r="H73" s="11"/>
      <c r="I73" s="11">
        <f>'18'!T28</f>
        <v>66.666666666666657</v>
      </c>
      <c r="J73" s="11"/>
      <c r="K73" s="11">
        <f>'18'!V28</f>
        <v>66.666666666666657</v>
      </c>
      <c r="L73" s="11"/>
      <c r="M73" s="11">
        <f>'18'!X28</f>
        <v>41.666666666666671</v>
      </c>
      <c r="N73" s="11"/>
      <c r="O73" s="11">
        <f>'18'!Z28</f>
        <v>100</v>
      </c>
      <c r="P73" s="11"/>
      <c r="Q73" s="11"/>
      <c r="R73" s="11"/>
      <c r="S73" s="11"/>
    </row>
    <row r="74" spans="1:19" s="12" customFormat="1">
      <c r="B74" s="13" t="s">
        <v>12</v>
      </c>
      <c r="C74" s="14">
        <f>'18'!N57</f>
        <v>100</v>
      </c>
      <c r="D74" s="14"/>
      <c r="E74" s="14">
        <f>'18'!P57</f>
        <v>100</v>
      </c>
      <c r="F74" s="14"/>
      <c r="G74" s="14">
        <f>'18'!R57</f>
        <v>100</v>
      </c>
      <c r="H74" s="14"/>
      <c r="I74" s="14">
        <f>'18'!T57</f>
        <v>50</v>
      </c>
      <c r="J74" s="14"/>
      <c r="K74" s="14">
        <f>'18'!V57</f>
        <v>33.333333333333329</v>
      </c>
      <c r="L74" s="14"/>
      <c r="M74" s="14">
        <f>'18'!X57</f>
        <v>100</v>
      </c>
      <c r="N74" s="14"/>
      <c r="O74" s="14">
        <f>'18'!Z57</f>
        <v>100</v>
      </c>
      <c r="P74" s="14"/>
      <c r="Q74" s="14"/>
      <c r="R74" s="14"/>
      <c r="S74" s="14"/>
    </row>
    <row r="75" spans="1:19" s="15" customFormat="1">
      <c r="B75" s="16" t="s">
        <v>13</v>
      </c>
      <c r="C75" s="17">
        <f>'18'!N85</f>
        <v>100</v>
      </c>
      <c r="D75" s="17"/>
      <c r="E75" s="17">
        <f>'18'!P85</f>
        <v>100</v>
      </c>
      <c r="F75" s="17"/>
      <c r="G75" s="17">
        <f>'18'!R85</f>
        <v>100</v>
      </c>
      <c r="H75" s="17"/>
      <c r="I75" s="17">
        <f>'18'!T85</f>
        <v>8.3333333333333321</v>
      </c>
      <c r="J75" s="17"/>
      <c r="K75" s="17">
        <f>'18'!V85</f>
        <v>0</v>
      </c>
      <c r="L75" s="17"/>
      <c r="M75" s="17">
        <f>'18'!X85</f>
        <v>58.333333333333336</v>
      </c>
      <c r="N75" s="17"/>
      <c r="O75" s="17">
        <f>'18'!Z85</f>
        <v>100</v>
      </c>
      <c r="P75" s="17"/>
      <c r="Q75" s="17"/>
      <c r="R75" s="17"/>
      <c r="S75" s="17"/>
    </row>
    <row r="76" spans="1:19" s="18" customFormat="1">
      <c r="B76" s="19" t="s">
        <v>14</v>
      </c>
      <c r="C76" s="20">
        <f>'18'!N114</f>
        <v>100</v>
      </c>
      <c r="D76" s="20"/>
      <c r="E76" s="20">
        <f>'18'!P114</f>
        <v>100</v>
      </c>
      <c r="F76" s="20"/>
      <c r="G76" s="20">
        <f>'18'!R114</f>
        <v>100</v>
      </c>
      <c r="H76" s="20"/>
      <c r="I76" s="20">
        <f>'18'!T114</f>
        <v>83.333333333333343</v>
      </c>
      <c r="J76" s="20"/>
      <c r="K76" s="20">
        <f>'18'!V114</f>
        <v>75</v>
      </c>
      <c r="L76" s="20"/>
      <c r="M76" s="20">
        <f>'18'!X114</f>
        <v>83.333333333333343</v>
      </c>
      <c r="N76" s="20"/>
      <c r="O76" s="20">
        <f>'18'!Z114</f>
        <v>100</v>
      </c>
      <c r="P76" s="20"/>
      <c r="Q76" s="20"/>
      <c r="R76" s="20"/>
      <c r="S76" s="20"/>
    </row>
    <row r="77" spans="1:19" s="9" customFormat="1">
      <c r="A77" s="9">
        <v>19</v>
      </c>
      <c r="B77" s="10" t="s">
        <v>11</v>
      </c>
      <c r="C77" s="11">
        <f>'19'!N28</f>
        <v>100</v>
      </c>
      <c r="D77" s="11"/>
      <c r="E77" s="11">
        <f>'19'!P28</f>
        <v>100</v>
      </c>
      <c r="F77" s="11"/>
      <c r="G77" s="11">
        <f>'19'!R28</f>
        <v>100</v>
      </c>
      <c r="H77" s="11"/>
      <c r="I77" s="11">
        <f>'19'!T28</f>
        <v>100</v>
      </c>
      <c r="J77" s="11"/>
      <c r="K77" s="11">
        <f>'19'!V28</f>
        <v>58.333333333333336</v>
      </c>
      <c r="L77" s="11"/>
      <c r="M77" s="11">
        <f>'19'!X28</f>
        <v>58.333333333333336</v>
      </c>
      <c r="N77" s="11"/>
      <c r="O77" s="11">
        <f>'19'!Z28</f>
        <v>100</v>
      </c>
      <c r="P77" s="11"/>
      <c r="Q77" s="11"/>
      <c r="R77" s="11"/>
      <c r="S77" s="11"/>
    </row>
    <row r="78" spans="1:19" s="12" customFormat="1">
      <c r="B78" s="13" t="s">
        <v>12</v>
      </c>
      <c r="C78" s="14">
        <f>'19'!N57</f>
        <v>100</v>
      </c>
      <c r="D78" s="14"/>
      <c r="E78" s="14">
        <f>'19'!P57</f>
        <v>100</v>
      </c>
      <c r="F78" s="14"/>
      <c r="G78" s="14">
        <f>'19'!R57</f>
        <v>100</v>
      </c>
      <c r="H78" s="14"/>
      <c r="I78" s="14">
        <f>'19'!T57</f>
        <v>75</v>
      </c>
      <c r="J78" s="14"/>
      <c r="K78" s="14">
        <f>'19'!V57</f>
        <v>83.333333333333343</v>
      </c>
      <c r="L78" s="14"/>
      <c r="M78" s="14">
        <f>'19'!X57</f>
        <v>83.333333333333343</v>
      </c>
      <c r="N78" s="14"/>
      <c r="O78" s="14">
        <f>'19'!Z57</f>
        <v>100</v>
      </c>
      <c r="P78" s="14"/>
      <c r="Q78" s="14"/>
      <c r="R78" s="14"/>
      <c r="S78" s="14"/>
    </row>
    <row r="79" spans="1:19" s="15" customFormat="1">
      <c r="B79" s="16" t="s">
        <v>13</v>
      </c>
      <c r="C79" s="17">
        <f>'19'!N85</f>
        <v>100</v>
      </c>
      <c r="D79" s="17"/>
      <c r="E79" s="17">
        <f>'19'!P85</f>
        <v>100</v>
      </c>
      <c r="F79" s="17"/>
      <c r="G79" s="17">
        <f>'19'!R85</f>
        <v>100</v>
      </c>
      <c r="H79" s="17"/>
      <c r="I79" s="17">
        <f>'19'!T85</f>
        <v>91.666666666666657</v>
      </c>
      <c r="J79" s="17"/>
      <c r="K79" s="17">
        <f>'19'!V85</f>
        <v>91.666666666666657</v>
      </c>
      <c r="L79" s="17"/>
      <c r="M79" s="17">
        <f>'19'!X85</f>
        <v>83.333333333333343</v>
      </c>
      <c r="N79" s="17"/>
      <c r="O79" s="17">
        <f>'19'!Z85</f>
        <v>100</v>
      </c>
      <c r="P79" s="17"/>
      <c r="Q79" s="17"/>
      <c r="R79" s="17"/>
      <c r="S79" s="17"/>
    </row>
    <row r="80" spans="1:19" s="18" customFormat="1">
      <c r="B80" s="19" t="s">
        <v>14</v>
      </c>
      <c r="C80" s="20">
        <f>'19'!N114</f>
        <v>100</v>
      </c>
      <c r="D80" s="20"/>
      <c r="E80" s="20">
        <f>'19'!P114</f>
        <v>100</v>
      </c>
      <c r="F80" s="20"/>
      <c r="G80" s="20">
        <f>'19'!R114</f>
        <v>100</v>
      </c>
      <c r="H80" s="20"/>
      <c r="I80" s="20">
        <f>'19'!T114</f>
        <v>100</v>
      </c>
      <c r="J80" s="20"/>
      <c r="K80" s="20">
        <f>'19'!V114</f>
        <v>91.666666666666657</v>
      </c>
      <c r="L80" s="20"/>
      <c r="M80" s="20">
        <f>'19'!X114</f>
        <v>83.333333333333343</v>
      </c>
      <c r="N80" s="20"/>
      <c r="O80" s="20">
        <f>'19'!Z114</f>
        <v>100</v>
      </c>
      <c r="P80" s="20"/>
      <c r="Q80" s="20"/>
      <c r="R80" s="20"/>
      <c r="S80" s="20"/>
    </row>
    <row r="81" spans="1:19" s="9" customFormat="1">
      <c r="A81" s="9">
        <v>20</v>
      </c>
      <c r="B81" s="10" t="s">
        <v>11</v>
      </c>
      <c r="C81" s="11">
        <f>'20'!N28</f>
        <v>100</v>
      </c>
      <c r="D81" s="11"/>
      <c r="E81" s="11">
        <f>'20'!P28</f>
        <v>100</v>
      </c>
      <c r="F81" s="11"/>
      <c r="G81" s="11">
        <f>'20'!R28</f>
        <v>100</v>
      </c>
      <c r="H81" s="11"/>
      <c r="I81" s="11">
        <f>'20'!T28</f>
        <v>75</v>
      </c>
      <c r="J81" s="11"/>
      <c r="K81" s="11">
        <f>'20'!V28</f>
        <v>75</v>
      </c>
      <c r="L81" s="11"/>
      <c r="M81" s="11">
        <f>'20'!X28</f>
        <v>75</v>
      </c>
      <c r="N81" s="11"/>
      <c r="O81" s="11">
        <f>'20'!Z28</f>
        <v>100</v>
      </c>
      <c r="P81" s="11"/>
      <c r="Q81" s="11"/>
      <c r="R81" s="11"/>
      <c r="S81" s="11"/>
    </row>
    <row r="82" spans="1:19" s="12" customFormat="1">
      <c r="B82" s="13" t="s">
        <v>12</v>
      </c>
      <c r="C82" s="14">
        <f>'20'!N57</f>
        <v>100</v>
      </c>
      <c r="D82" s="14"/>
      <c r="E82" s="14">
        <f>'20'!P57</f>
        <v>100</v>
      </c>
      <c r="F82" s="14"/>
      <c r="G82" s="14">
        <f>'20'!R57</f>
        <v>100</v>
      </c>
      <c r="H82" s="14"/>
      <c r="I82" s="14">
        <f>'20'!T57</f>
        <v>75</v>
      </c>
      <c r="J82" s="14"/>
      <c r="K82" s="14">
        <f>'20'!V57</f>
        <v>75</v>
      </c>
      <c r="L82" s="14"/>
      <c r="M82" s="14">
        <f>'20'!X57</f>
        <v>75</v>
      </c>
      <c r="N82" s="14"/>
      <c r="O82" s="14">
        <f>'20'!Z57</f>
        <v>100</v>
      </c>
      <c r="P82" s="14"/>
      <c r="Q82" s="14"/>
      <c r="R82" s="14"/>
      <c r="S82" s="14"/>
    </row>
    <row r="83" spans="1:19" s="15" customFormat="1">
      <c r="B83" s="16" t="s">
        <v>13</v>
      </c>
      <c r="C83" s="17">
        <f>'20'!N85</f>
        <v>100</v>
      </c>
      <c r="D83" s="17"/>
      <c r="E83" s="17">
        <f>'20'!P85</f>
        <v>100</v>
      </c>
      <c r="F83" s="17"/>
      <c r="G83" s="17">
        <f>'20'!R85</f>
        <v>100</v>
      </c>
      <c r="H83" s="17"/>
      <c r="I83" s="17">
        <f>'20'!T85</f>
        <v>100</v>
      </c>
      <c r="J83" s="17"/>
      <c r="K83" s="17">
        <f>'20'!V85</f>
        <v>100</v>
      </c>
      <c r="L83" s="17"/>
      <c r="M83" s="17">
        <f>'20'!X85</f>
        <v>83.333333333333343</v>
      </c>
      <c r="N83" s="17"/>
      <c r="O83" s="17">
        <f>'20'!Z85</f>
        <v>100</v>
      </c>
      <c r="P83" s="17"/>
      <c r="Q83" s="17"/>
      <c r="R83" s="17"/>
      <c r="S83" s="17"/>
    </row>
    <row r="84" spans="1:19" s="18" customFormat="1">
      <c r="B84" s="19" t="s">
        <v>14</v>
      </c>
      <c r="C84" s="20">
        <f>'20'!N114</f>
        <v>100</v>
      </c>
      <c r="D84" s="20"/>
      <c r="E84" s="20">
        <f>'20'!P114</f>
        <v>100</v>
      </c>
      <c r="F84" s="20"/>
      <c r="G84" s="20">
        <f>'20'!R114</f>
        <v>100</v>
      </c>
      <c r="H84" s="20"/>
      <c r="I84" s="20">
        <f>'20'!T114</f>
        <v>100</v>
      </c>
      <c r="J84" s="20"/>
      <c r="K84" s="20">
        <f>'20'!V114</f>
        <v>100</v>
      </c>
      <c r="L84" s="20"/>
      <c r="M84" s="20">
        <f>'20'!X114</f>
        <v>50</v>
      </c>
      <c r="N84" s="20"/>
      <c r="O84" s="20">
        <f>'20'!Z114</f>
        <v>100</v>
      </c>
      <c r="P84" s="20"/>
      <c r="Q84" s="20"/>
      <c r="R84" s="20"/>
      <c r="S84" s="20"/>
    </row>
    <row r="85" spans="1:19" s="9" customFormat="1">
      <c r="A85" s="9">
        <v>21</v>
      </c>
      <c r="B85" s="10" t="s">
        <v>11</v>
      </c>
      <c r="C85" s="11">
        <f>'21'!N28</f>
        <v>100</v>
      </c>
      <c r="D85" s="11"/>
      <c r="E85" s="11">
        <f>'21'!P28</f>
        <v>100</v>
      </c>
      <c r="F85" s="11"/>
      <c r="G85" s="11">
        <f>'21'!R28</f>
        <v>100</v>
      </c>
      <c r="H85" s="11"/>
      <c r="I85" s="11">
        <f>'21'!T28</f>
        <v>100</v>
      </c>
      <c r="J85" s="11"/>
      <c r="K85" s="11">
        <f>'21'!V28</f>
        <v>100</v>
      </c>
      <c r="L85" s="11"/>
      <c r="M85" s="11">
        <f>'21'!X28</f>
        <v>16.666666666666664</v>
      </c>
      <c r="N85" s="11"/>
      <c r="O85" s="11">
        <f>'21'!Z28</f>
        <v>100</v>
      </c>
      <c r="P85" s="11"/>
      <c r="Q85" s="11"/>
      <c r="R85" s="11"/>
      <c r="S85" s="11"/>
    </row>
    <row r="86" spans="1:19" s="12" customFormat="1">
      <c r="B86" s="13" t="s">
        <v>12</v>
      </c>
      <c r="C86" s="14">
        <f>'21'!N57</f>
        <v>100</v>
      </c>
      <c r="D86" s="14"/>
      <c r="E86" s="14">
        <f>'21'!P57</f>
        <v>100</v>
      </c>
      <c r="F86" s="14"/>
      <c r="G86" s="14">
        <f>'21'!R57</f>
        <v>100</v>
      </c>
      <c r="H86" s="14"/>
      <c r="I86" s="14">
        <f>'21'!T57</f>
        <v>100</v>
      </c>
      <c r="J86" s="14"/>
      <c r="K86" s="14">
        <f>'21'!V57</f>
        <v>100</v>
      </c>
      <c r="L86" s="14"/>
      <c r="M86" s="14">
        <f>'21'!X57</f>
        <v>75</v>
      </c>
      <c r="N86" s="14"/>
      <c r="O86" s="14">
        <f>'21'!Z57</f>
        <v>100</v>
      </c>
      <c r="P86" s="14"/>
      <c r="Q86" s="14"/>
      <c r="R86" s="14"/>
      <c r="S86" s="14"/>
    </row>
    <row r="87" spans="1:19" s="15" customFormat="1">
      <c r="B87" s="16" t="s">
        <v>13</v>
      </c>
      <c r="C87" s="17">
        <f>'21'!N85</f>
        <v>100</v>
      </c>
      <c r="D87" s="17"/>
      <c r="E87" s="17">
        <f>'21'!P85</f>
        <v>100</v>
      </c>
      <c r="F87" s="17"/>
      <c r="G87" s="17">
        <f>'21'!R85</f>
        <v>100</v>
      </c>
      <c r="H87" s="17"/>
      <c r="I87" s="17">
        <f>'21'!T85</f>
        <v>75</v>
      </c>
      <c r="J87" s="17"/>
      <c r="K87" s="17">
        <f>'21'!V85</f>
        <v>75</v>
      </c>
      <c r="L87" s="17"/>
      <c r="M87" s="17">
        <f>'21'!X85</f>
        <v>33.333333333333329</v>
      </c>
      <c r="N87" s="17"/>
      <c r="O87" s="17">
        <f>'21'!Z85</f>
        <v>58.333333333333336</v>
      </c>
      <c r="P87" s="17"/>
      <c r="Q87" s="17"/>
      <c r="R87" s="17"/>
      <c r="S87" s="17"/>
    </row>
    <row r="88" spans="1:19" s="18" customFormat="1">
      <c r="B88" s="19" t="s">
        <v>14</v>
      </c>
      <c r="C88" s="20">
        <f>'21'!N114</f>
        <v>100</v>
      </c>
      <c r="D88" s="20"/>
      <c r="E88" s="20">
        <f>'21'!P114</f>
        <v>100</v>
      </c>
      <c r="F88" s="20"/>
      <c r="G88" s="20">
        <f>'21'!R114</f>
        <v>100</v>
      </c>
      <c r="H88" s="20"/>
      <c r="I88" s="20">
        <f>'21'!T114</f>
        <v>100</v>
      </c>
      <c r="J88" s="20"/>
      <c r="K88" s="20">
        <f>'21'!V114</f>
        <v>100</v>
      </c>
      <c r="L88" s="20"/>
      <c r="M88" s="20">
        <f>'21'!X114</f>
        <v>50</v>
      </c>
      <c r="N88" s="20"/>
      <c r="O88" s="20">
        <f>'21'!Z114</f>
        <v>100</v>
      </c>
      <c r="P88" s="20"/>
      <c r="Q88" s="20"/>
      <c r="R88" s="20"/>
      <c r="S88" s="20"/>
    </row>
    <row r="89" spans="1:19" s="9" customFormat="1">
      <c r="A89" s="9">
        <v>22</v>
      </c>
      <c r="B89" s="10" t="s">
        <v>11</v>
      </c>
      <c r="C89" s="21">
        <f>'22'!N28</f>
        <v>100</v>
      </c>
      <c r="D89" s="21"/>
      <c r="E89" s="21">
        <f>'22'!P28</f>
        <v>100</v>
      </c>
      <c r="F89" s="21"/>
      <c r="G89" s="21">
        <f>'22'!R28</f>
        <v>100</v>
      </c>
      <c r="H89" s="21"/>
      <c r="I89" s="21">
        <f>'22'!T28</f>
        <v>75</v>
      </c>
      <c r="J89" s="21"/>
      <c r="K89" s="21">
        <f>'22'!V28</f>
        <v>75</v>
      </c>
      <c r="L89" s="21"/>
      <c r="M89" s="21">
        <f>'22'!X28</f>
        <v>75</v>
      </c>
      <c r="N89" s="21"/>
      <c r="O89" s="21">
        <f>'22'!Z28</f>
        <v>100</v>
      </c>
      <c r="P89" s="11"/>
      <c r="Q89" s="11"/>
      <c r="R89" s="11"/>
      <c r="S89" s="11"/>
    </row>
    <row r="90" spans="1:19" s="12" customFormat="1">
      <c r="B90" s="13" t="s">
        <v>12</v>
      </c>
      <c r="C90" s="14">
        <f>'22'!N57</f>
        <v>100</v>
      </c>
      <c r="D90" s="14"/>
      <c r="E90" s="14">
        <f>'22'!P57</f>
        <v>100</v>
      </c>
      <c r="F90" s="14"/>
      <c r="G90" s="14">
        <f>'22'!R57</f>
        <v>100</v>
      </c>
      <c r="H90" s="14"/>
      <c r="I90" s="14">
        <f>'22'!T57</f>
        <v>75</v>
      </c>
      <c r="J90" s="14"/>
      <c r="K90" s="14">
        <f>'22'!V57</f>
        <v>75</v>
      </c>
      <c r="L90" s="14"/>
      <c r="M90" s="14">
        <f>'22'!X57</f>
        <v>25</v>
      </c>
      <c r="N90" s="14"/>
      <c r="O90" s="14">
        <f>'22'!Z57</f>
        <v>100</v>
      </c>
      <c r="P90" s="14"/>
      <c r="Q90" s="14"/>
      <c r="R90" s="14"/>
      <c r="S90" s="14"/>
    </row>
    <row r="91" spans="1:19" s="15" customFormat="1">
      <c r="B91" s="16" t="s">
        <v>13</v>
      </c>
      <c r="C91" s="17">
        <f>'22'!N85</f>
        <v>100</v>
      </c>
      <c r="D91" s="17"/>
      <c r="E91" s="17">
        <f>'22'!P85</f>
        <v>100</v>
      </c>
      <c r="F91" s="17"/>
      <c r="G91" s="17">
        <f>'22'!R85</f>
        <v>100</v>
      </c>
      <c r="H91" s="17"/>
      <c r="I91" s="17">
        <f>'22'!T85</f>
        <v>75</v>
      </c>
      <c r="J91" s="17"/>
      <c r="K91" s="17">
        <f>'22'!V85</f>
        <v>75</v>
      </c>
      <c r="L91" s="17"/>
      <c r="M91" s="17">
        <f>'22'!X85</f>
        <v>100</v>
      </c>
      <c r="N91" s="17"/>
      <c r="O91" s="17">
        <f>'22'!Z85</f>
        <v>100</v>
      </c>
      <c r="P91" s="17"/>
      <c r="Q91" s="17"/>
      <c r="R91" s="17"/>
      <c r="S91" s="17"/>
    </row>
    <row r="92" spans="1:19" s="18" customFormat="1">
      <c r="B92" s="19" t="s">
        <v>14</v>
      </c>
      <c r="C92" s="20">
        <f>'22'!N114</f>
        <v>100</v>
      </c>
      <c r="D92" s="20"/>
      <c r="E92" s="20">
        <f>'22'!P114</f>
        <v>100</v>
      </c>
      <c r="F92" s="20"/>
      <c r="G92" s="20">
        <f>'22'!R114</f>
        <v>100</v>
      </c>
      <c r="H92" s="20"/>
      <c r="I92" s="20">
        <f>'22'!T114</f>
        <v>100</v>
      </c>
      <c r="J92" s="20"/>
      <c r="K92" s="20">
        <f>'22'!V114</f>
        <v>100</v>
      </c>
      <c r="L92" s="20"/>
      <c r="M92" s="20">
        <f>'22'!X114</f>
        <v>75</v>
      </c>
      <c r="N92" s="20"/>
      <c r="O92" s="20">
        <f>'22'!Z114</f>
        <v>100</v>
      </c>
      <c r="P92" s="20"/>
      <c r="Q92" s="20"/>
      <c r="R92" s="20"/>
      <c r="S92" s="20"/>
    </row>
    <row r="93" spans="1:19" s="9" customFormat="1">
      <c r="A93" s="9">
        <v>23</v>
      </c>
      <c r="B93" s="10" t="s">
        <v>11</v>
      </c>
      <c r="C93" s="11">
        <f>'23'!N28</f>
        <v>100</v>
      </c>
      <c r="D93" s="11"/>
      <c r="E93" s="11">
        <f>'23'!P28</f>
        <v>100</v>
      </c>
      <c r="F93" s="11"/>
      <c r="G93" s="11">
        <f>'23'!R28</f>
        <v>100</v>
      </c>
      <c r="H93" s="11"/>
      <c r="I93" s="11">
        <f>'23'!T28</f>
        <v>66.666666666666657</v>
      </c>
      <c r="J93" s="11"/>
      <c r="K93" s="11">
        <f>'23'!V28</f>
        <v>66.666666666666657</v>
      </c>
      <c r="L93" s="11"/>
      <c r="M93" s="11">
        <f>'23'!X28</f>
        <v>91.666666666666657</v>
      </c>
      <c r="N93" s="11"/>
      <c r="O93" s="11">
        <f>'23'!Z28</f>
        <v>100</v>
      </c>
      <c r="P93" s="11"/>
      <c r="Q93" s="11"/>
      <c r="R93" s="11"/>
      <c r="S93" s="11"/>
    </row>
    <row r="94" spans="1:19" s="12" customFormat="1">
      <c r="B94" s="13" t="s">
        <v>12</v>
      </c>
      <c r="C94" s="14">
        <f>'23'!N57</f>
        <v>100</v>
      </c>
      <c r="D94" s="14"/>
      <c r="E94" s="14">
        <f>'23'!P57</f>
        <v>100</v>
      </c>
      <c r="F94" s="14"/>
      <c r="G94" s="14">
        <f>'23'!R57</f>
        <v>100</v>
      </c>
      <c r="H94" s="14"/>
      <c r="I94" s="14">
        <f>'23'!T57</f>
        <v>25</v>
      </c>
      <c r="J94" s="14"/>
      <c r="K94" s="14">
        <f>'23'!V57</f>
        <v>25</v>
      </c>
      <c r="L94" s="14"/>
      <c r="M94" s="14">
        <f>'23'!X57</f>
        <v>33.333333333333329</v>
      </c>
      <c r="N94" s="14"/>
      <c r="O94" s="14">
        <f>'23'!Z57</f>
        <v>100</v>
      </c>
      <c r="P94" s="14"/>
      <c r="Q94" s="14"/>
      <c r="R94" s="14"/>
      <c r="S94" s="14"/>
    </row>
    <row r="95" spans="1:19" s="15" customFormat="1">
      <c r="B95" s="16" t="s">
        <v>13</v>
      </c>
      <c r="C95" s="17">
        <f>'23'!N85</f>
        <v>100</v>
      </c>
      <c r="D95" s="17"/>
      <c r="E95" s="17">
        <f>'23'!P85</f>
        <v>100</v>
      </c>
      <c r="F95" s="17"/>
      <c r="G95" s="17">
        <f>'23'!R85</f>
        <v>100</v>
      </c>
      <c r="H95" s="17"/>
      <c r="I95" s="17">
        <f>'23'!T85</f>
        <v>25</v>
      </c>
      <c r="J95" s="17"/>
      <c r="K95" s="17">
        <f>'23'!V85</f>
        <v>33.333333333333329</v>
      </c>
      <c r="L95" s="17"/>
      <c r="M95" s="17">
        <f>'23'!X85</f>
        <v>33.333333333333329</v>
      </c>
      <c r="N95" s="17"/>
      <c r="O95" s="17">
        <f>'23'!Z85</f>
        <v>100</v>
      </c>
      <c r="P95" s="17"/>
      <c r="Q95" s="17"/>
      <c r="R95" s="17"/>
      <c r="S95" s="17"/>
    </row>
    <row r="96" spans="1:19" s="18" customFormat="1">
      <c r="B96" s="19" t="s">
        <v>14</v>
      </c>
      <c r="C96" s="20">
        <f>'23'!N114</f>
        <v>100</v>
      </c>
      <c r="D96" s="20"/>
      <c r="E96" s="20">
        <f>'23'!P114</f>
        <v>100</v>
      </c>
      <c r="F96" s="20"/>
      <c r="G96" s="20">
        <f>'23'!R114</f>
        <v>100</v>
      </c>
      <c r="H96" s="20"/>
      <c r="I96" s="20">
        <f>'23'!T114</f>
        <v>58.333333333333336</v>
      </c>
      <c r="J96" s="20"/>
      <c r="K96" s="20">
        <f>'23'!V114</f>
        <v>41.666666666666671</v>
      </c>
      <c r="L96" s="20"/>
      <c r="M96" s="20">
        <f>'23'!X114</f>
        <v>50</v>
      </c>
      <c r="N96" s="20"/>
      <c r="O96" s="20">
        <f>'23'!Z114</f>
        <v>100</v>
      </c>
      <c r="P96" s="20"/>
      <c r="Q96" s="20"/>
      <c r="R96" s="20"/>
      <c r="S96" s="20"/>
    </row>
    <row r="97" spans="1:19" s="9" customFormat="1">
      <c r="A97" s="9">
        <v>24</v>
      </c>
      <c r="B97" s="10" t="s">
        <v>11</v>
      </c>
      <c r="C97" s="11">
        <f>'24'!N28</f>
        <v>100</v>
      </c>
      <c r="D97" s="11"/>
      <c r="E97" s="11">
        <f>'24'!P28</f>
        <v>100</v>
      </c>
      <c r="F97" s="11"/>
      <c r="G97" s="11">
        <f>'24'!R28</f>
        <v>100</v>
      </c>
      <c r="H97" s="11"/>
      <c r="I97" s="11">
        <f>'24'!T28</f>
        <v>66.666666666666657</v>
      </c>
      <c r="J97" s="11"/>
      <c r="K97" s="11">
        <f>'24'!V28</f>
        <v>66.666666666666657</v>
      </c>
      <c r="L97" s="11"/>
      <c r="M97" s="11">
        <f>'24'!X28</f>
        <v>41.666666666666671</v>
      </c>
      <c r="N97" s="11"/>
      <c r="O97" s="11">
        <f>'24'!Z28</f>
        <v>100</v>
      </c>
      <c r="P97" s="11"/>
      <c r="Q97" s="11"/>
      <c r="R97" s="11"/>
      <c r="S97" s="11"/>
    </row>
    <row r="98" spans="1:19" s="12" customFormat="1">
      <c r="B98" s="13" t="s">
        <v>12</v>
      </c>
      <c r="C98" s="14">
        <f>'24'!N57</f>
        <v>100</v>
      </c>
      <c r="D98" s="14"/>
      <c r="E98" s="14">
        <f>'24'!P57</f>
        <v>100</v>
      </c>
      <c r="F98" s="14"/>
      <c r="G98" s="14">
        <f>'24'!R57</f>
        <v>100</v>
      </c>
      <c r="H98" s="14"/>
      <c r="I98" s="14">
        <f>'24'!T57</f>
        <v>91.666666666666657</v>
      </c>
      <c r="J98" s="14"/>
      <c r="K98" s="14">
        <f>'24'!V57</f>
        <v>83.333333333333343</v>
      </c>
      <c r="L98" s="14"/>
      <c r="M98" s="14">
        <f>'24'!X57</f>
        <v>66.666666666666657</v>
      </c>
      <c r="N98" s="14"/>
      <c r="O98" s="14">
        <f>'24'!Z57</f>
        <v>100</v>
      </c>
      <c r="P98" s="14"/>
      <c r="Q98" s="14"/>
      <c r="R98" s="14"/>
      <c r="S98" s="14"/>
    </row>
    <row r="99" spans="1:19" s="15" customFormat="1">
      <c r="B99" s="16" t="s">
        <v>13</v>
      </c>
      <c r="C99" s="17">
        <f>'24'!N85</f>
        <v>100</v>
      </c>
      <c r="D99" s="17"/>
      <c r="E99" s="17">
        <f>'24'!P85</f>
        <v>100</v>
      </c>
      <c r="F99" s="17"/>
      <c r="G99" s="17">
        <f>'24'!R85</f>
        <v>100</v>
      </c>
      <c r="H99" s="17"/>
      <c r="I99" s="17">
        <f>'24'!T85</f>
        <v>50</v>
      </c>
      <c r="J99" s="17"/>
      <c r="K99" s="17">
        <f>'24'!V85</f>
        <v>58.333333333333336</v>
      </c>
      <c r="L99" s="17"/>
      <c r="M99" s="17">
        <f>'24'!X85</f>
        <v>58.333333333333336</v>
      </c>
      <c r="N99" s="17"/>
      <c r="O99" s="17">
        <f>'24'!Z85</f>
        <v>100</v>
      </c>
      <c r="P99" s="17"/>
      <c r="Q99" s="17"/>
      <c r="R99" s="17"/>
      <c r="S99" s="17"/>
    </row>
    <row r="100" spans="1:19" s="18" customFormat="1">
      <c r="B100" s="19" t="s">
        <v>14</v>
      </c>
      <c r="C100" s="20">
        <f>'24'!N114</f>
        <v>100</v>
      </c>
      <c r="D100" s="20"/>
      <c r="E100" s="20">
        <f>'24'!P114</f>
        <v>100</v>
      </c>
      <c r="F100" s="20"/>
      <c r="G100" s="20">
        <f>'24'!R114</f>
        <v>100</v>
      </c>
      <c r="H100" s="20"/>
      <c r="I100" s="20">
        <f>'24'!T114</f>
        <v>66.666666666666657</v>
      </c>
      <c r="J100" s="20"/>
      <c r="K100" s="20">
        <f>'24'!V114</f>
        <v>83.333333333333343</v>
      </c>
      <c r="L100" s="20"/>
      <c r="M100" s="20">
        <f>'24'!X114</f>
        <v>75</v>
      </c>
      <c r="N100" s="20"/>
      <c r="O100" s="20">
        <f>'24'!Z114</f>
        <v>100</v>
      </c>
      <c r="P100" s="20"/>
      <c r="Q100" s="20"/>
      <c r="R100" s="20"/>
      <c r="S100" s="20"/>
    </row>
    <row r="101" spans="1:19" s="9" customFormat="1">
      <c r="A101" s="9">
        <v>25</v>
      </c>
      <c r="B101" s="10" t="s">
        <v>11</v>
      </c>
      <c r="C101" s="11">
        <f>'25'!N28</f>
        <v>100</v>
      </c>
      <c r="D101" s="11"/>
      <c r="E101" s="11">
        <f>'25'!P28</f>
        <v>100</v>
      </c>
      <c r="F101" s="11"/>
      <c r="G101" s="11">
        <f>'25'!R28</f>
        <v>100</v>
      </c>
      <c r="H101" s="11"/>
      <c r="I101" s="11">
        <f>'25'!T28</f>
        <v>58.333333333333336</v>
      </c>
      <c r="J101" s="11"/>
      <c r="K101" s="11">
        <f>'25'!V28</f>
        <v>50</v>
      </c>
      <c r="L101" s="11"/>
      <c r="M101" s="11">
        <f>'25'!X28</f>
        <v>41.666666666666671</v>
      </c>
      <c r="N101" s="11"/>
      <c r="O101" s="11">
        <f>'25'!Z28</f>
        <v>100</v>
      </c>
      <c r="P101" s="11"/>
      <c r="Q101" s="11"/>
      <c r="R101" s="11"/>
      <c r="S101" s="11"/>
    </row>
    <row r="102" spans="1:19" s="12" customFormat="1">
      <c r="B102" s="13" t="s">
        <v>12</v>
      </c>
      <c r="C102" s="14">
        <f>'25'!N57</f>
        <v>100</v>
      </c>
      <c r="D102" s="14"/>
      <c r="E102" s="14">
        <f>'25'!P57</f>
        <v>100</v>
      </c>
      <c r="F102" s="14"/>
      <c r="G102" s="14">
        <f>'25'!R57</f>
        <v>100</v>
      </c>
      <c r="H102" s="14"/>
      <c r="I102" s="14">
        <f>'25'!T57</f>
        <v>75</v>
      </c>
      <c r="J102" s="14"/>
      <c r="K102" s="14">
        <f>'25'!V57</f>
        <v>75</v>
      </c>
      <c r="L102" s="14"/>
      <c r="M102" s="14">
        <f>'25'!X57</f>
        <v>16.666666666666664</v>
      </c>
      <c r="N102" s="14"/>
      <c r="O102" s="14">
        <f>'25'!Z57</f>
        <v>100</v>
      </c>
      <c r="P102" s="14"/>
      <c r="Q102" s="14"/>
      <c r="R102" s="14"/>
      <c r="S102" s="14"/>
    </row>
    <row r="103" spans="1:19" s="15" customFormat="1">
      <c r="B103" s="16" t="s">
        <v>13</v>
      </c>
      <c r="C103" s="17">
        <f>'25'!N85</f>
        <v>100</v>
      </c>
      <c r="D103" s="17"/>
      <c r="E103" s="17">
        <f>'25'!P85</f>
        <v>100</v>
      </c>
      <c r="F103" s="17"/>
      <c r="G103" s="17">
        <f>'25'!R85</f>
        <v>100</v>
      </c>
      <c r="H103" s="17"/>
      <c r="I103" s="17">
        <f>'25'!T85</f>
        <v>83.333333333333343</v>
      </c>
      <c r="J103" s="17"/>
      <c r="K103" s="17">
        <f>'25'!V85</f>
        <v>66.666666666666657</v>
      </c>
      <c r="L103" s="17"/>
      <c r="M103" s="17">
        <f>'25'!X85</f>
        <v>66.666666666666657</v>
      </c>
      <c r="N103" s="17"/>
      <c r="O103" s="17">
        <f>'25'!Z85</f>
        <v>100</v>
      </c>
      <c r="P103" s="17"/>
      <c r="Q103" s="17"/>
      <c r="R103" s="17"/>
      <c r="S103" s="17"/>
    </row>
    <row r="104" spans="1:19" s="18" customFormat="1">
      <c r="B104" s="19" t="s">
        <v>14</v>
      </c>
      <c r="C104" s="20">
        <f>'25'!N114</f>
        <v>100</v>
      </c>
      <c r="D104" s="20"/>
      <c r="E104" s="20">
        <f>'25'!P114</f>
        <v>100</v>
      </c>
      <c r="F104" s="20"/>
      <c r="G104" s="20">
        <f>'25'!R114</f>
        <v>100</v>
      </c>
      <c r="H104" s="20"/>
      <c r="I104" s="20">
        <f>'25'!T114</f>
        <v>100</v>
      </c>
      <c r="J104" s="20"/>
      <c r="K104" s="20">
        <f>'25'!V114</f>
        <v>91.666666666666657</v>
      </c>
      <c r="L104" s="20"/>
      <c r="M104" s="20">
        <f>'25'!X114</f>
        <v>58.333333333333336</v>
      </c>
      <c r="N104" s="20"/>
      <c r="O104" s="20">
        <f>'25'!Z114</f>
        <v>100</v>
      </c>
      <c r="P104" s="20"/>
      <c r="Q104" s="20"/>
      <c r="R104" s="20"/>
      <c r="S104" s="20"/>
    </row>
    <row r="105" spans="1:19" s="9" customFormat="1">
      <c r="A105" s="9">
        <v>26</v>
      </c>
      <c r="B105" s="10" t="s">
        <v>11</v>
      </c>
      <c r="C105" s="11">
        <f>'26'!N28</f>
        <v>100</v>
      </c>
      <c r="D105" s="11"/>
      <c r="E105" s="11">
        <f>'26'!P28</f>
        <v>100</v>
      </c>
      <c r="F105" s="11"/>
      <c r="G105" s="11">
        <f>'26'!R28</f>
        <v>100</v>
      </c>
      <c r="H105" s="11"/>
      <c r="I105" s="11">
        <f>'26'!T28</f>
        <v>100</v>
      </c>
      <c r="J105" s="11"/>
      <c r="K105" s="11">
        <f>'26'!V28</f>
        <v>100</v>
      </c>
      <c r="L105" s="11"/>
      <c r="M105" s="11">
        <f>'26'!X28</f>
        <v>16.666666666666664</v>
      </c>
      <c r="N105" s="11"/>
      <c r="O105" s="11">
        <f>'26'!Z28</f>
        <v>100</v>
      </c>
      <c r="P105" s="11"/>
      <c r="Q105" s="11"/>
      <c r="R105" s="11"/>
      <c r="S105" s="11"/>
    </row>
    <row r="106" spans="1:19" s="12" customFormat="1">
      <c r="B106" s="13" t="s">
        <v>12</v>
      </c>
      <c r="C106" s="14">
        <f>'26'!N57</f>
        <v>100</v>
      </c>
      <c r="D106" s="14"/>
      <c r="E106" s="14">
        <f>'26'!P57</f>
        <v>100</v>
      </c>
      <c r="F106" s="14"/>
      <c r="G106" s="14">
        <f>'26'!R57</f>
        <v>100</v>
      </c>
      <c r="H106" s="14"/>
      <c r="I106" s="14">
        <f>'26'!T57</f>
        <v>66.666666666666657</v>
      </c>
      <c r="J106" s="14"/>
      <c r="K106" s="14">
        <f>'26'!V57</f>
        <v>66.666666666666657</v>
      </c>
      <c r="L106" s="14"/>
      <c r="M106" s="14">
        <f>'26'!X57</f>
        <v>50</v>
      </c>
      <c r="N106" s="14"/>
      <c r="O106" s="14">
        <f>'26'!Z57</f>
        <v>100</v>
      </c>
      <c r="P106" s="14"/>
      <c r="Q106" s="14"/>
      <c r="R106" s="14"/>
      <c r="S106" s="14"/>
    </row>
    <row r="107" spans="1:19" s="15" customFormat="1">
      <c r="B107" s="16" t="s">
        <v>13</v>
      </c>
      <c r="C107" s="17">
        <f>'26'!N85</f>
        <v>100</v>
      </c>
      <c r="D107" s="17"/>
      <c r="E107" s="17">
        <f>'26'!P85</f>
        <v>100</v>
      </c>
      <c r="F107" s="17"/>
      <c r="G107" s="17">
        <f>'26'!R85</f>
        <v>100</v>
      </c>
      <c r="H107" s="17"/>
      <c r="I107" s="17">
        <f>'26'!T85</f>
        <v>100</v>
      </c>
      <c r="J107" s="17"/>
      <c r="K107" s="17">
        <f>'26'!V85</f>
        <v>100</v>
      </c>
      <c r="L107" s="17"/>
      <c r="M107" s="17">
        <f>'26'!X85</f>
        <v>83.333333333333343</v>
      </c>
      <c r="N107" s="17"/>
      <c r="O107" s="17">
        <f>'26'!Z85</f>
        <v>100</v>
      </c>
      <c r="P107" s="17"/>
      <c r="Q107" s="17"/>
      <c r="R107" s="17"/>
      <c r="S107" s="17"/>
    </row>
    <row r="108" spans="1:19" s="18" customFormat="1">
      <c r="B108" s="19" t="s">
        <v>14</v>
      </c>
      <c r="C108" s="20">
        <f>'26'!N114</f>
        <v>100</v>
      </c>
      <c r="D108" s="20"/>
      <c r="E108" s="20">
        <f>'26'!P114</f>
        <v>100</v>
      </c>
      <c r="F108" s="20"/>
      <c r="G108" s="20">
        <f>'26'!R114</f>
        <v>100</v>
      </c>
      <c r="H108" s="20"/>
      <c r="I108" s="20">
        <f>'26'!T114</f>
        <v>75</v>
      </c>
      <c r="J108" s="20"/>
      <c r="K108" s="20">
        <f>'26'!V114</f>
        <v>75</v>
      </c>
      <c r="L108" s="20"/>
      <c r="M108" s="20">
        <f>'26'!X114</f>
        <v>58.333333333333336</v>
      </c>
      <c r="N108" s="20"/>
      <c r="O108" s="20">
        <f>'26'!Z114</f>
        <v>100</v>
      </c>
      <c r="P108" s="20"/>
      <c r="Q108" s="20"/>
      <c r="R108" s="20"/>
      <c r="S108" s="20"/>
    </row>
    <row r="109" spans="1:19" s="9" customFormat="1">
      <c r="A109" s="9">
        <v>27</v>
      </c>
      <c r="B109" s="10" t="s">
        <v>11</v>
      </c>
      <c r="C109" s="11">
        <f>'27'!N28</f>
        <v>100</v>
      </c>
      <c r="D109" s="11"/>
      <c r="E109" s="11">
        <f>'27'!P28</f>
        <v>100</v>
      </c>
      <c r="F109" s="11"/>
      <c r="G109" s="11">
        <f>'27'!R28</f>
        <v>100</v>
      </c>
      <c r="H109" s="11"/>
      <c r="I109" s="11">
        <f>'27'!T28</f>
        <v>100</v>
      </c>
      <c r="J109" s="11"/>
      <c r="K109" s="11">
        <f>'27'!V28</f>
        <v>100</v>
      </c>
      <c r="L109" s="11"/>
      <c r="M109" s="11">
        <f>'27'!X28</f>
        <v>33.333333333333329</v>
      </c>
      <c r="N109" s="11"/>
      <c r="O109" s="11">
        <f>'27'!Z28</f>
        <v>100</v>
      </c>
      <c r="P109" s="11"/>
      <c r="Q109" s="11"/>
      <c r="R109" s="11"/>
      <c r="S109" s="11"/>
    </row>
    <row r="110" spans="1:19" s="18" customFormat="1">
      <c r="B110" s="19" t="s">
        <v>12</v>
      </c>
      <c r="C110" s="20">
        <f>'27'!N57</f>
        <v>100</v>
      </c>
      <c r="D110" s="20"/>
      <c r="E110" s="20">
        <f>'27'!P57</f>
        <v>100</v>
      </c>
      <c r="F110" s="20"/>
      <c r="G110" s="20">
        <f>'27'!R57</f>
        <v>100</v>
      </c>
      <c r="H110" s="20"/>
      <c r="I110" s="20">
        <f>'27'!T57</f>
        <v>50</v>
      </c>
      <c r="J110" s="20"/>
      <c r="K110" s="20">
        <f>'27'!V57</f>
        <v>50</v>
      </c>
      <c r="L110" s="20"/>
      <c r="M110" s="20">
        <f>'27'!X57</f>
        <v>100</v>
      </c>
      <c r="N110" s="20"/>
      <c r="O110" s="20">
        <f>'27'!Z57</f>
        <v>100</v>
      </c>
      <c r="P110" s="20"/>
      <c r="Q110" s="20"/>
      <c r="R110" s="20"/>
      <c r="S110" s="20"/>
    </row>
    <row r="111" spans="1:19" s="15" customFormat="1">
      <c r="B111" s="16" t="s">
        <v>13</v>
      </c>
      <c r="C111" s="17">
        <f>'27'!N85</f>
        <v>100</v>
      </c>
      <c r="D111" s="17"/>
      <c r="E111" s="17">
        <f>'27'!P85</f>
        <v>100</v>
      </c>
      <c r="F111" s="17"/>
      <c r="G111" s="17">
        <f>'27'!R85</f>
        <v>100</v>
      </c>
      <c r="H111" s="17"/>
      <c r="I111" s="17">
        <f>'27'!T85</f>
        <v>83.333333333333343</v>
      </c>
      <c r="J111" s="17"/>
      <c r="K111" s="17">
        <f>'27'!V85</f>
        <v>91.666666666666657</v>
      </c>
      <c r="L111" s="17"/>
      <c r="M111" s="17">
        <f>'27'!X85</f>
        <v>91.666666666666657</v>
      </c>
      <c r="N111" s="17"/>
      <c r="O111" s="17">
        <f>'27'!Z85</f>
        <v>100</v>
      </c>
      <c r="P111" s="17"/>
      <c r="Q111" s="17"/>
      <c r="R111" s="17"/>
      <c r="S111" s="17"/>
    </row>
    <row r="112" spans="1:19" s="18" customFormat="1">
      <c r="B112" s="19" t="s">
        <v>14</v>
      </c>
      <c r="C112" s="20">
        <f>'27'!N114</f>
        <v>100</v>
      </c>
      <c r="D112" s="20"/>
      <c r="E112" s="20">
        <f>'27'!P114</f>
        <v>100</v>
      </c>
      <c r="F112" s="20"/>
      <c r="G112" s="20">
        <f>'27'!R114</f>
        <v>100</v>
      </c>
      <c r="H112" s="20"/>
      <c r="I112" s="20">
        <f>'27'!T114</f>
        <v>66.666666666666657</v>
      </c>
      <c r="J112" s="20"/>
      <c r="K112" s="20">
        <f>'27'!V114</f>
        <v>58.333333333333336</v>
      </c>
      <c r="L112" s="20"/>
      <c r="M112" s="20">
        <f>'27'!X114</f>
        <v>91.666666666666657</v>
      </c>
      <c r="N112" s="20"/>
      <c r="O112" s="20">
        <f>'27'!Z114</f>
        <v>100</v>
      </c>
      <c r="P112" s="20"/>
      <c r="Q112" s="20"/>
      <c r="R112" s="20"/>
      <c r="S112" s="20"/>
    </row>
    <row r="113" spans="1:27" s="9" customFormat="1">
      <c r="A113" s="9">
        <v>28</v>
      </c>
      <c r="B113" s="10" t="s">
        <v>11</v>
      </c>
      <c r="C113" s="11">
        <f>'28'!N28</f>
        <v>100</v>
      </c>
      <c r="D113" s="11"/>
      <c r="E113" s="11">
        <f>'28'!P28</f>
        <v>100</v>
      </c>
      <c r="F113" s="11"/>
      <c r="G113" s="11">
        <f>'28'!R28</f>
        <v>100</v>
      </c>
      <c r="H113" s="11"/>
      <c r="I113" s="11">
        <f>'28'!T28</f>
        <v>100</v>
      </c>
      <c r="J113" s="11"/>
      <c r="K113" s="11">
        <f>'28'!V28</f>
        <v>100</v>
      </c>
      <c r="L113" s="11"/>
      <c r="M113" s="11">
        <f>'28'!X28</f>
        <v>50</v>
      </c>
      <c r="N113" s="11"/>
      <c r="O113" s="11">
        <f>'28'!Z28</f>
        <v>100</v>
      </c>
      <c r="P113" s="11"/>
      <c r="Q113" s="11"/>
      <c r="R113" s="11"/>
      <c r="S113" s="11"/>
    </row>
    <row r="114" spans="1:27" s="12" customFormat="1">
      <c r="B114" s="13" t="s">
        <v>12</v>
      </c>
      <c r="C114" s="14">
        <f>'28'!N57</f>
        <v>100</v>
      </c>
      <c r="D114" s="14"/>
      <c r="E114" s="14">
        <f>'28'!P57</f>
        <v>100</v>
      </c>
      <c r="F114" s="14"/>
      <c r="G114" s="14">
        <f>'28'!R57</f>
        <v>100</v>
      </c>
      <c r="H114" s="14"/>
      <c r="I114" s="14">
        <f>'28'!T57</f>
        <v>75</v>
      </c>
      <c r="J114" s="14"/>
      <c r="K114" s="14">
        <f>'28'!V57</f>
        <v>75</v>
      </c>
      <c r="L114" s="14"/>
      <c r="M114" s="14">
        <f>'28'!X57</f>
        <v>41.666666666666671</v>
      </c>
      <c r="N114" s="14"/>
      <c r="O114" s="14">
        <f>'28'!Z57</f>
        <v>100</v>
      </c>
      <c r="P114" s="14"/>
      <c r="Q114" s="14"/>
      <c r="R114" s="14"/>
      <c r="S114" s="14"/>
    </row>
    <row r="115" spans="1:27" s="15" customFormat="1">
      <c r="B115" s="16" t="s">
        <v>13</v>
      </c>
      <c r="C115" s="17">
        <f>'28'!N85</f>
        <v>100</v>
      </c>
      <c r="D115" s="17"/>
      <c r="E115" s="17">
        <f>'28'!P85</f>
        <v>100</v>
      </c>
      <c r="F115" s="17"/>
      <c r="G115" s="17">
        <f>'28'!R85</f>
        <v>100</v>
      </c>
      <c r="H115" s="17"/>
      <c r="I115" s="17">
        <f>'28'!T85</f>
        <v>75</v>
      </c>
      <c r="J115" s="17"/>
      <c r="K115" s="17">
        <f>'28'!V85</f>
        <v>75</v>
      </c>
      <c r="L115" s="17"/>
      <c r="M115" s="17">
        <f>'28'!X85</f>
        <v>58.333333333333336</v>
      </c>
      <c r="N115" s="17"/>
      <c r="O115" s="17">
        <f>'28'!Z85</f>
        <v>100</v>
      </c>
      <c r="P115" s="17"/>
      <c r="Q115" s="17"/>
      <c r="R115" s="17"/>
      <c r="S115" s="17"/>
    </row>
    <row r="116" spans="1:27" s="18" customFormat="1">
      <c r="B116" s="19" t="s">
        <v>14</v>
      </c>
      <c r="C116" s="20">
        <f>'28'!N114</f>
        <v>100</v>
      </c>
      <c r="D116" s="20"/>
      <c r="E116" s="20">
        <f>'28'!P114</f>
        <v>100</v>
      </c>
      <c r="F116" s="20"/>
      <c r="G116" s="20">
        <f>'28'!R114</f>
        <v>100</v>
      </c>
      <c r="H116" s="20"/>
      <c r="I116" s="20">
        <f>'28'!T114</f>
        <v>66.666666666666657</v>
      </c>
      <c r="J116" s="20"/>
      <c r="K116" s="20">
        <f>'28'!V114</f>
        <v>75</v>
      </c>
      <c r="L116" s="20"/>
      <c r="M116" s="20">
        <f>'28'!X114</f>
        <v>100</v>
      </c>
      <c r="N116" s="20"/>
      <c r="O116" s="20">
        <f>'28'!Z114</f>
        <v>100</v>
      </c>
      <c r="P116" s="20"/>
      <c r="Q116" s="20"/>
      <c r="R116" s="20"/>
      <c r="S116" s="20"/>
    </row>
    <row r="117" spans="1:27" s="9" customFormat="1">
      <c r="A117" s="9">
        <v>29</v>
      </c>
      <c r="B117" s="10" t="s">
        <v>11</v>
      </c>
      <c r="C117" s="11">
        <f>'29'!N28</f>
        <v>100</v>
      </c>
      <c r="D117" s="11"/>
      <c r="E117" s="11">
        <f>'29'!P28</f>
        <v>100</v>
      </c>
      <c r="F117" s="11"/>
      <c r="G117" s="11">
        <f>'29'!R28</f>
        <v>100</v>
      </c>
      <c r="H117" s="11"/>
      <c r="I117" s="11">
        <f>'29'!T28</f>
        <v>91.666666666666657</v>
      </c>
      <c r="J117" s="11"/>
      <c r="K117" s="11">
        <f>'29'!V28</f>
        <v>100</v>
      </c>
      <c r="L117" s="11"/>
      <c r="M117" s="11">
        <f>'29'!X28</f>
        <v>91.666666666666657</v>
      </c>
      <c r="N117" s="11"/>
      <c r="O117" s="11">
        <f>'29'!Z28</f>
        <v>100</v>
      </c>
      <c r="P117" s="11"/>
      <c r="Q117" s="11"/>
      <c r="R117" s="11"/>
      <c r="S117" s="11"/>
    </row>
    <row r="118" spans="1:27" s="12" customFormat="1">
      <c r="B118" s="13" t="s">
        <v>12</v>
      </c>
      <c r="C118" s="14">
        <f>'29'!N57</f>
        <v>100</v>
      </c>
      <c r="D118" s="14"/>
      <c r="E118" s="14">
        <f>'29'!P57</f>
        <v>100</v>
      </c>
      <c r="F118" s="14"/>
      <c r="G118" s="14">
        <f>'29'!R57</f>
        <v>100</v>
      </c>
      <c r="H118" s="14"/>
      <c r="I118" s="14">
        <f>'29'!T57</f>
        <v>100</v>
      </c>
      <c r="J118" s="14"/>
      <c r="K118" s="14">
        <f>'29'!V57</f>
        <v>100</v>
      </c>
      <c r="L118" s="14"/>
      <c r="M118" s="14">
        <f>'29'!X57</f>
        <v>50</v>
      </c>
      <c r="N118" s="14"/>
      <c r="O118" s="14">
        <f>'29'!Z57</f>
        <v>100</v>
      </c>
      <c r="P118" s="14"/>
      <c r="Q118" s="14"/>
      <c r="R118" s="14"/>
      <c r="S118" s="14"/>
    </row>
    <row r="119" spans="1:27" s="15" customFormat="1">
      <c r="B119" s="16" t="s">
        <v>13</v>
      </c>
      <c r="C119" s="17">
        <f>'29'!N85</f>
        <v>100</v>
      </c>
      <c r="D119" s="17"/>
      <c r="E119" s="17">
        <f>'29'!P85</f>
        <v>100</v>
      </c>
      <c r="F119" s="17"/>
      <c r="G119" s="17">
        <f>'29'!R85</f>
        <v>100</v>
      </c>
      <c r="H119" s="17"/>
      <c r="I119" s="17">
        <f>'29'!T85</f>
        <v>100</v>
      </c>
      <c r="J119" s="17"/>
      <c r="K119" s="17">
        <f>'29'!V85</f>
        <v>100</v>
      </c>
      <c r="L119" s="17"/>
      <c r="M119" s="17">
        <f>'29'!X85</f>
        <v>58.333333333333336</v>
      </c>
      <c r="N119" s="17"/>
      <c r="O119" s="17">
        <f>'29'!Z85</f>
        <v>100</v>
      </c>
      <c r="P119" s="17"/>
      <c r="Q119" s="17"/>
      <c r="R119" s="17"/>
      <c r="S119" s="17"/>
    </row>
    <row r="120" spans="1:27" s="18" customFormat="1">
      <c r="B120" s="19" t="s">
        <v>14</v>
      </c>
      <c r="C120" s="20">
        <f>'29'!N114</f>
        <v>100</v>
      </c>
      <c r="D120" s="20"/>
      <c r="E120" s="20">
        <f>'29'!P114</f>
        <v>100</v>
      </c>
      <c r="F120" s="20"/>
      <c r="G120" s="20">
        <f>'29'!R114</f>
        <v>100</v>
      </c>
      <c r="H120" s="20"/>
      <c r="I120" s="20">
        <f>'29'!T114</f>
        <v>100</v>
      </c>
      <c r="J120" s="20"/>
      <c r="K120" s="20">
        <f>'29'!V114</f>
        <v>100</v>
      </c>
      <c r="L120" s="20"/>
      <c r="M120" s="20">
        <f>'29'!X114</f>
        <v>83.333333333333343</v>
      </c>
      <c r="N120" s="20"/>
      <c r="O120" s="20">
        <f>'29'!Z114</f>
        <v>100</v>
      </c>
      <c r="P120" s="20"/>
      <c r="Q120" s="20"/>
      <c r="R120" s="20"/>
      <c r="S120" s="20"/>
    </row>
    <row r="121" spans="1:27" s="9" customFormat="1">
      <c r="A121" s="9">
        <v>30</v>
      </c>
      <c r="B121" s="10" t="s">
        <v>11</v>
      </c>
      <c r="C121" s="11">
        <f>'30'!N28</f>
        <v>100</v>
      </c>
      <c r="D121" s="11"/>
      <c r="E121" s="11">
        <f>'30'!P28</f>
        <v>100</v>
      </c>
      <c r="F121" s="11"/>
      <c r="G121" s="11">
        <f>'30'!R28</f>
        <v>100</v>
      </c>
      <c r="H121" s="11"/>
      <c r="I121" s="11">
        <f>'30'!T28</f>
        <v>100</v>
      </c>
      <c r="J121" s="11"/>
      <c r="K121" s="11">
        <f>'30'!V28</f>
        <v>100</v>
      </c>
      <c r="L121" s="11"/>
      <c r="M121" s="11">
        <f>'30'!X28</f>
        <v>83.333333333333343</v>
      </c>
      <c r="N121" s="11"/>
      <c r="O121" s="11">
        <f>'30'!Z28</f>
        <v>100</v>
      </c>
      <c r="P121" s="11"/>
      <c r="Q121" s="11"/>
      <c r="R121" s="11"/>
      <c r="S121" s="11"/>
    </row>
    <row r="122" spans="1:27" s="12" customFormat="1">
      <c r="B122" s="13" t="s">
        <v>12</v>
      </c>
      <c r="C122" s="14">
        <f>'30'!N57</f>
        <v>100</v>
      </c>
      <c r="D122" s="14"/>
      <c r="E122" s="14">
        <f>'30'!P57</f>
        <v>100</v>
      </c>
      <c r="F122" s="14"/>
      <c r="G122" s="14">
        <f>'30'!R57</f>
        <v>100</v>
      </c>
      <c r="H122" s="14"/>
      <c r="I122" s="14">
        <f>'30'!T57</f>
        <v>100</v>
      </c>
      <c r="J122" s="14"/>
      <c r="K122" s="14">
        <f>'30'!V57</f>
        <v>100</v>
      </c>
      <c r="L122" s="14"/>
      <c r="M122" s="14">
        <f>'30'!X57</f>
        <v>100</v>
      </c>
      <c r="N122" s="14"/>
      <c r="O122" s="14">
        <f>'30'!Z57</f>
        <v>100</v>
      </c>
      <c r="P122" s="14"/>
      <c r="Q122" s="14"/>
      <c r="R122" s="14"/>
      <c r="S122" s="14"/>
    </row>
    <row r="123" spans="1:27" s="15" customFormat="1">
      <c r="B123" s="16" t="s">
        <v>13</v>
      </c>
      <c r="C123" s="17">
        <f>'30'!N85</f>
        <v>100</v>
      </c>
      <c r="D123" s="17"/>
      <c r="E123" s="17">
        <f>'30'!P85</f>
        <v>100</v>
      </c>
      <c r="F123" s="17"/>
      <c r="G123" s="17">
        <f>'30'!R85</f>
        <v>100</v>
      </c>
      <c r="H123" s="17"/>
      <c r="I123" s="17">
        <f>'30'!T85</f>
        <v>75</v>
      </c>
      <c r="J123" s="17"/>
      <c r="K123" s="17">
        <f>'30'!V85</f>
        <v>75</v>
      </c>
      <c r="L123" s="17"/>
      <c r="M123" s="17">
        <f>'30'!X85</f>
        <v>66.666666666666657</v>
      </c>
      <c r="N123" s="17"/>
      <c r="O123" s="17">
        <f>'30'!Z85</f>
        <v>100</v>
      </c>
      <c r="P123" s="17"/>
      <c r="Q123" s="17"/>
      <c r="R123" s="17"/>
      <c r="S123" s="17"/>
    </row>
    <row r="124" spans="1:27" s="18" customFormat="1">
      <c r="B124" s="19" t="s">
        <v>14</v>
      </c>
      <c r="C124" s="20">
        <f>'30'!N114</f>
        <v>100</v>
      </c>
      <c r="D124" s="20"/>
      <c r="E124" s="20">
        <f>'30'!P114</f>
        <v>100</v>
      </c>
      <c r="F124" s="20"/>
      <c r="G124" s="20">
        <f>'30'!R114</f>
        <v>100</v>
      </c>
      <c r="H124" s="20"/>
      <c r="I124" s="20">
        <f>'30'!T114</f>
        <v>100</v>
      </c>
      <c r="J124" s="20"/>
      <c r="K124" s="20">
        <f>'30'!V114</f>
        <v>100</v>
      </c>
      <c r="L124" s="20"/>
      <c r="M124" s="20">
        <f>'30'!X114</f>
        <v>66.666666666666657</v>
      </c>
      <c r="N124" s="20"/>
      <c r="O124" s="20">
        <f>'30'!Z114</f>
        <v>100</v>
      </c>
      <c r="P124" s="20"/>
      <c r="Q124" s="20"/>
      <c r="R124" s="20"/>
      <c r="S124" s="20"/>
    </row>
    <row r="125" spans="1:27" s="9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s="12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s="1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s="18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FEC41-18D6-5747-B9AE-AA3B9073395F}">
  <sheetPr>
    <tabColor theme="0"/>
  </sheetPr>
  <dimension ref="A1:AE115"/>
  <sheetViews>
    <sheetView topLeftCell="A76" zoomScale="90" zoomScaleNormal="90" workbookViewId="0">
      <selection activeCell="G97" sqref="G97"/>
    </sheetView>
  </sheetViews>
  <sheetFormatPr defaultColWidth="11.5" defaultRowHeight="15.75"/>
  <cols>
    <col min="12" max="12" width="68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49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</v>
      </c>
      <c r="B7" s="28">
        <v>0</v>
      </c>
      <c r="C7" s="29" t="s">
        <v>39</v>
      </c>
      <c r="D7" s="29"/>
      <c r="E7" s="29">
        <v>280</v>
      </c>
      <c r="F7" s="29">
        <v>5</v>
      </c>
      <c r="G7" s="29">
        <v>0</v>
      </c>
      <c r="H7" s="29">
        <v>7000</v>
      </c>
      <c r="I7" s="29">
        <v>0</v>
      </c>
      <c r="J7" s="30" t="s">
        <v>51</v>
      </c>
      <c r="K7" s="29">
        <v>800</v>
      </c>
      <c r="L7" s="1" t="s">
        <v>43</v>
      </c>
      <c r="M7" s="32">
        <f t="shared" ref="M7:M13" si="0">IF(ISNUMBER(VALUE(FIND("VRB",L7))),999,VALUE(MID(L7,20,3)))</f>
        <v>350</v>
      </c>
      <c r="N7" s="33">
        <f t="shared" ref="N7:N13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3" si="2">VALUE(MID(L7,23,2))</f>
        <v>4</v>
      </c>
      <c r="P7" s="33">
        <f t="shared" ref="P7:P13" si="3">IF(ABS(O7-F7)&lt;11,1,0)</f>
        <v>1</v>
      </c>
      <c r="Q7" s="34">
        <f t="shared" ref="Q7:Q13" si="4">IF(MID(L7,25,1)="G","GUST",0)</f>
        <v>0</v>
      </c>
      <c r="R7" s="33">
        <f t="shared" ref="R7:R13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5000</v>
      </c>
      <c r="T7" s="34">
        <f t="shared" ref="T7:T13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3" si="7">IF(AND(IFERROR(FIND("RA",L7),0)&gt;0, IFERROR(FIND("RA",L7),0)&lt;38),"RA",0)</f>
        <v>0</v>
      </c>
      <c r="V7" s="34">
        <f t="shared" ref="V7:V13" si="8">IF(U7=I7,1,0)</f>
        <v>1</v>
      </c>
      <c r="W7" s="34" t="str">
        <f t="shared" ref="W7:W13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FEW</v>
      </c>
      <c r="X7" s="34">
        <f t="shared" ref="X7:X13" si="10">IF(OR(AND(OR(J7="SKC",J7="FEW",J7="SCT"),OR(W7="SKC",W7="FEW",W7="SCT")),(AND(OR(J7="BKN",J7="OVC"),OR(W7="BKN",W7="OVC")))),1,0)</f>
        <v>1</v>
      </c>
      <c r="Y7" s="34">
        <f t="shared" ref="Y7:Y13" si="11">IF(ISNUMBER(VALUE(FIND("CAVOK",L7))),9999,IF(ISNUMBER(VALUE(FIND("NSC",L7))),9999,(MID(L7,(FIND(W7,L7)+4),2))*100))</f>
        <v>800</v>
      </c>
      <c r="Z7" s="34">
        <f t="shared" ref="Z7:Z13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40</v>
      </c>
      <c r="D8" s="29"/>
      <c r="E8" s="29">
        <v>280</v>
      </c>
      <c r="F8" s="29">
        <v>5</v>
      </c>
      <c r="G8" s="29">
        <v>0</v>
      </c>
      <c r="H8" s="29">
        <v>4000</v>
      </c>
      <c r="I8" s="29" t="s">
        <v>52</v>
      </c>
      <c r="J8" s="30" t="s">
        <v>51</v>
      </c>
      <c r="K8" s="29">
        <v>800</v>
      </c>
      <c r="L8" s="1" t="s">
        <v>44</v>
      </c>
      <c r="M8" s="32">
        <f t="shared" si="0"/>
        <v>330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6000</v>
      </c>
      <c r="T8" s="34">
        <f t="shared" si="6"/>
        <v>0</v>
      </c>
      <c r="U8" s="34">
        <f t="shared" si="7"/>
        <v>0</v>
      </c>
      <c r="V8" s="34">
        <f t="shared" si="8"/>
        <v>0</v>
      </c>
      <c r="W8" s="34" t="str">
        <f t="shared" si="9"/>
        <v>FEW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40</v>
      </c>
      <c r="D9" s="29"/>
      <c r="E9" s="29">
        <v>280</v>
      </c>
      <c r="F9" s="29">
        <v>5</v>
      </c>
      <c r="G9" s="29">
        <v>0</v>
      </c>
      <c r="H9" s="29">
        <v>4000</v>
      </c>
      <c r="I9" s="29" t="s">
        <v>52</v>
      </c>
      <c r="J9" s="30" t="s">
        <v>51</v>
      </c>
      <c r="K9" s="29">
        <v>800</v>
      </c>
      <c r="L9" s="60" t="s">
        <v>45</v>
      </c>
      <c r="M9" s="32">
        <f t="shared" si="0"/>
        <v>300</v>
      </c>
      <c r="N9" s="33">
        <f t="shared" si="1"/>
        <v>1</v>
      </c>
      <c r="O9" s="33">
        <f t="shared" si="2"/>
        <v>3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7000</v>
      </c>
      <c r="T9" s="34">
        <f t="shared" si="6"/>
        <v>0</v>
      </c>
      <c r="U9" s="34">
        <f t="shared" si="7"/>
        <v>0</v>
      </c>
      <c r="V9" s="34">
        <f t="shared" si="8"/>
        <v>0</v>
      </c>
      <c r="W9" s="34" t="str">
        <f t="shared" si="9"/>
        <v>BKN</v>
      </c>
      <c r="X9" s="34">
        <f t="shared" si="10"/>
        <v>0</v>
      </c>
      <c r="Y9" s="34">
        <f t="shared" ref="Y9:Y10" si="14">IF(ISNUMBER(VALUE(FIND("CAVOK",L9))),9999,IF(ISNUMBER(VALUE(FIND("NSC",L9))),9999,(MID(L9,(FIND(W9,L9)+4),2))*100))</f>
        <v>900</v>
      </c>
      <c r="Z9" s="34">
        <f t="shared" ref="Z9:Z10" si="15">IF(AND(Y9&lt;1001,ABS(K9-Y9)&lt;101),1,IF(AND(Y9&gt;1000,ABS(Y9-K9)/K9&lt;0.30005),1,0))</f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40</v>
      </c>
      <c r="D10" s="29"/>
      <c r="E10" s="29">
        <v>280</v>
      </c>
      <c r="F10" s="29">
        <v>5</v>
      </c>
      <c r="G10" s="29">
        <v>0</v>
      </c>
      <c r="H10" s="29">
        <v>4000</v>
      </c>
      <c r="I10" s="29" t="s">
        <v>52</v>
      </c>
      <c r="J10" s="30" t="s">
        <v>51</v>
      </c>
      <c r="K10" s="29">
        <v>800</v>
      </c>
      <c r="L10" s="1" t="s">
        <v>46</v>
      </c>
      <c r="M10" s="32">
        <f t="shared" si="0"/>
        <v>330</v>
      </c>
      <c r="N10" s="33">
        <f t="shared" si="1"/>
        <v>1</v>
      </c>
      <c r="O10" s="33">
        <f t="shared" si="2"/>
        <v>5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0</v>
      </c>
      <c r="U10" s="34">
        <f t="shared" si="7"/>
        <v>0</v>
      </c>
      <c r="V10" s="34">
        <f t="shared" si="8"/>
        <v>0</v>
      </c>
      <c r="W10" s="34" t="str">
        <f t="shared" si="9"/>
        <v>BKN</v>
      </c>
      <c r="X10" s="34">
        <f t="shared" si="10"/>
        <v>0</v>
      </c>
      <c r="Y10" s="34">
        <f t="shared" si="14"/>
        <v>900</v>
      </c>
      <c r="Z10" s="34">
        <f t="shared" si="15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40</v>
      </c>
      <c r="D11" s="29"/>
      <c r="E11" s="29">
        <v>280</v>
      </c>
      <c r="F11" s="29">
        <v>5</v>
      </c>
      <c r="G11" s="29">
        <v>0</v>
      </c>
      <c r="H11" s="29">
        <v>4000</v>
      </c>
      <c r="I11" s="29" t="s">
        <v>52</v>
      </c>
      <c r="J11" s="30" t="s">
        <v>51</v>
      </c>
      <c r="K11" s="29">
        <v>800</v>
      </c>
      <c r="L11" s="1" t="s">
        <v>47</v>
      </c>
      <c r="M11" s="32">
        <f t="shared" si="0"/>
        <v>320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0</v>
      </c>
      <c r="U11" s="34">
        <f t="shared" si="7"/>
        <v>0</v>
      </c>
      <c r="V11" s="34">
        <f t="shared" si="8"/>
        <v>0</v>
      </c>
      <c r="W11" s="34" t="str">
        <f t="shared" si="9"/>
        <v>BKN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280</v>
      </c>
      <c r="F12" s="29">
        <v>5</v>
      </c>
      <c r="G12" s="29">
        <v>0</v>
      </c>
      <c r="H12" s="29">
        <v>7000</v>
      </c>
      <c r="I12" s="29">
        <v>0</v>
      </c>
      <c r="J12" s="30" t="s">
        <v>51</v>
      </c>
      <c r="K12" s="29">
        <v>800</v>
      </c>
      <c r="L12" s="1" t="s">
        <v>48</v>
      </c>
      <c r="M12" s="32">
        <f t="shared" si="0"/>
        <v>310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34</v>
      </c>
      <c r="D13" s="29"/>
      <c r="E13" s="29">
        <v>280</v>
      </c>
      <c r="F13" s="29">
        <v>5</v>
      </c>
      <c r="G13" s="29">
        <v>0</v>
      </c>
      <c r="H13" s="29">
        <v>8000</v>
      </c>
      <c r="I13" s="29">
        <v>0</v>
      </c>
      <c r="J13" s="30" t="s">
        <v>53</v>
      </c>
      <c r="K13" s="29">
        <v>900</v>
      </c>
      <c r="L13" s="1" t="s">
        <v>54</v>
      </c>
      <c r="M13" s="32">
        <f t="shared" si="0"/>
        <v>220</v>
      </c>
      <c r="N13" s="33">
        <f t="shared" si="1"/>
        <v>1</v>
      </c>
      <c r="O13" s="33">
        <f t="shared" si="2"/>
        <v>2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BKN</v>
      </c>
      <c r="X13" s="34">
        <f t="shared" si="10"/>
        <v>0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34</v>
      </c>
      <c r="D14" s="29"/>
      <c r="E14" s="29">
        <v>280</v>
      </c>
      <c r="F14" s="29">
        <v>5</v>
      </c>
      <c r="G14" s="29">
        <v>0</v>
      </c>
      <c r="H14" s="29">
        <v>8000</v>
      </c>
      <c r="I14" s="29">
        <v>0</v>
      </c>
      <c r="J14" s="30" t="s">
        <v>53</v>
      </c>
      <c r="K14" s="29">
        <v>900</v>
      </c>
      <c r="L14" s="1" t="s">
        <v>55</v>
      </c>
      <c r="M14" s="32">
        <f t="shared" ref="M14:M18" si="16">IF(ISNUMBER(VALUE(FIND("VRB",L14))),999,VALUE(MID(L14,20,3)))</f>
        <v>240</v>
      </c>
      <c r="N14" s="33">
        <f t="shared" ref="N14:N18" si="17">IF(OR(ABS(E14-M14)&lt;61,AND(ABS(E14-M14)&gt;60,O14&lt;10),E14=M14,AND(E14=999,ISNUMBER(VALUE(FIND("TS",L14)))),AND(E14=999,ISNUMBER(VALUE(FIND("CB",L14)))),AND(E14=999,O14&lt;10),AND(F14&lt;10,M14=999,O14&lt;10)),1,0)</f>
        <v>1</v>
      </c>
      <c r="O14" s="33">
        <f t="shared" ref="O14:O18" si="18">VALUE(MID(L14,23,2))</f>
        <v>3</v>
      </c>
      <c r="P14" s="33">
        <f t="shared" ref="P14:P18" si="19">IF(ABS(O14-F14)&lt;11,1,0)</f>
        <v>1</v>
      </c>
      <c r="Q14" s="34">
        <f t="shared" ref="Q14:Q18" si="20">IF(MID(L14,25,1)="G","GUST",0)</f>
        <v>0</v>
      </c>
      <c r="R14" s="33">
        <f t="shared" ref="R14:R18" si="21">IF(G14=Q14,1,0)</f>
        <v>1</v>
      </c>
      <c r="S14" s="34">
        <f t="shared" si="13"/>
        <v>8000</v>
      </c>
      <c r="T14" s="34">
        <f t="shared" ref="T14:T18" si="22">IF(OR(AND(H14&lt;801,S14&lt;801),AND(H14&gt;799,H14&lt;1501,S14&gt;799,S14&lt;1502),AND(H14&gt;1499,H14&lt;3001,S14&gt;1499,S14&lt;3001),AND(H14&gt;2999,H14&lt;5001,S14&gt;2999,S14&lt;5001),AND(H14&gt;4999,S14&gt;4999)),1,0)</f>
        <v>1</v>
      </c>
      <c r="U14" s="34">
        <f t="shared" ref="U14:U18" si="23">IF(AND(IFERROR(FIND("RA",L14),0)&gt;0, IFERROR(FIND("RA",L14),0)&lt;38),"RA",0)</f>
        <v>0</v>
      </c>
      <c r="V14" s="34">
        <f t="shared" ref="V14:V18" si="24">IF(U14=I14,1,0)</f>
        <v>1</v>
      </c>
      <c r="W14" s="34" t="str">
        <f t="shared" ref="W14:W18" si="25">IF(ISNUMBER(VALUE(FIND("FEW",L14))),"FEW",IF(ISNUMBER(VALUE(FIND("SCT",L14))),"SCT",IF(ISNUMBER(VALUE(FIND("BKN",L14))),"BKN",IF(ISNUMBER(VALUE(FIND("OVC",L14))),"OVC",IF(ISNUMBER(VALUE(FIND("SKC",L14))),"SKC",IF(ISNUMBER(VALUE(FIND("CAVOK",L14))),"SKC",IF(ISNUMBER(VALUE(FIND("NSC",L14))),"SKC","EROR")))))))</f>
        <v>SCT</v>
      </c>
      <c r="X14" s="34">
        <f t="shared" ref="X14:X18" si="26">IF(OR(AND(OR(J14="SKC",J14="FEW",J14="SCT"),OR(W14="SKC",W14="FEW",W14="SCT")),(AND(OR(J14="BKN",J14="OVC"),OR(W14="BKN",W14="OVC")))),1,0)</f>
        <v>1</v>
      </c>
      <c r="Y14" s="34">
        <f t="shared" ref="Y14:Y18" si="27">IF(ISNUMBER(VALUE(FIND("CAVOK",L14))),9999,IF(ISNUMBER(VALUE(FIND("NSC",L14))),9999,(MID(L14,(FIND(W14,L14)+4),2))*100))</f>
        <v>900</v>
      </c>
      <c r="Z14" s="34">
        <f t="shared" ref="Z14:Z18" si="28">IF(AND(Y14&lt;1001,ABS(K14-Y14)&lt;101),1,IF(AND(Y14&gt;1000,ABS(Y14-K14)/K14&lt;0.30005),1,0))</f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34</v>
      </c>
      <c r="D15" s="29"/>
      <c r="E15" s="29">
        <v>280</v>
      </c>
      <c r="F15" s="29">
        <v>5</v>
      </c>
      <c r="G15" s="29">
        <v>0</v>
      </c>
      <c r="H15" s="29">
        <v>8000</v>
      </c>
      <c r="I15" s="29">
        <v>0</v>
      </c>
      <c r="J15" s="30" t="s">
        <v>53</v>
      </c>
      <c r="K15" s="29">
        <v>900</v>
      </c>
      <c r="L15" s="1" t="s">
        <v>60</v>
      </c>
      <c r="M15" s="32">
        <f t="shared" si="16"/>
        <v>210</v>
      </c>
      <c r="N15" s="33">
        <f t="shared" si="17"/>
        <v>1</v>
      </c>
      <c r="O15" s="33">
        <f t="shared" si="18"/>
        <v>4</v>
      </c>
      <c r="P15" s="33">
        <f t="shared" si="19"/>
        <v>1</v>
      </c>
      <c r="Q15" s="34">
        <f t="shared" si="20"/>
        <v>0</v>
      </c>
      <c r="R15" s="33">
        <f t="shared" si="21"/>
        <v>1</v>
      </c>
      <c r="S15" s="34">
        <f t="shared" si="13"/>
        <v>9000</v>
      </c>
      <c r="T15" s="34">
        <f t="shared" si="22"/>
        <v>1</v>
      </c>
      <c r="U15" s="34">
        <f t="shared" si="23"/>
        <v>0</v>
      </c>
      <c r="V15" s="34">
        <f t="shared" si="24"/>
        <v>1</v>
      </c>
      <c r="W15" s="34" t="str">
        <f t="shared" si="25"/>
        <v>SCT</v>
      </c>
      <c r="X15" s="34">
        <f t="shared" si="26"/>
        <v>1</v>
      </c>
      <c r="Y15" s="34">
        <f t="shared" si="27"/>
        <v>900</v>
      </c>
      <c r="Z15" s="34">
        <f t="shared" si="28"/>
        <v>1</v>
      </c>
      <c r="AA15" s="35"/>
      <c r="AB15" s="35">
        <v>0</v>
      </c>
      <c r="AC15" s="35" t="e">
        <v>#VALUE!</v>
      </c>
      <c r="AD15" s="35"/>
      <c r="AE15" s="35"/>
    </row>
    <row r="16" spans="1:31" ht="15.75" customHeight="1">
      <c r="A16" s="36"/>
      <c r="B16" s="37">
        <v>0.375</v>
      </c>
      <c r="C16" s="29" t="s">
        <v>34</v>
      </c>
      <c r="D16" s="29"/>
      <c r="E16" s="29">
        <v>280</v>
      </c>
      <c r="F16" s="29">
        <v>5</v>
      </c>
      <c r="G16" s="29">
        <v>0</v>
      </c>
      <c r="H16" s="29">
        <v>8000</v>
      </c>
      <c r="I16" s="29">
        <v>0</v>
      </c>
      <c r="J16" s="30" t="s">
        <v>53</v>
      </c>
      <c r="K16" s="29">
        <v>900</v>
      </c>
      <c r="L16" s="1" t="s">
        <v>61</v>
      </c>
      <c r="M16" s="32">
        <f t="shared" si="16"/>
        <v>0</v>
      </c>
      <c r="N16" s="33">
        <f t="shared" si="17"/>
        <v>1</v>
      </c>
      <c r="O16" s="33">
        <f t="shared" si="18"/>
        <v>0</v>
      </c>
      <c r="P16" s="33">
        <f t="shared" si="19"/>
        <v>1</v>
      </c>
      <c r="Q16" s="34">
        <f t="shared" si="20"/>
        <v>0</v>
      </c>
      <c r="R16" s="33">
        <f t="shared" si="21"/>
        <v>1</v>
      </c>
      <c r="S16" s="34">
        <f t="shared" si="13"/>
        <v>9999</v>
      </c>
      <c r="T16" s="34">
        <f t="shared" si="22"/>
        <v>1</v>
      </c>
      <c r="U16" s="34">
        <f t="shared" si="23"/>
        <v>0</v>
      </c>
      <c r="V16" s="34">
        <f t="shared" si="24"/>
        <v>1</v>
      </c>
      <c r="W16" s="34" t="str">
        <f t="shared" si="25"/>
        <v>SCT</v>
      </c>
      <c r="X16" s="34">
        <f t="shared" si="26"/>
        <v>1</v>
      </c>
      <c r="Y16" s="34">
        <f t="shared" si="27"/>
        <v>900</v>
      </c>
      <c r="Z16" s="34">
        <f t="shared" si="28"/>
        <v>1</v>
      </c>
      <c r="AA16" s="35"/>
      <c r="AB16" s="35">
        <v>0</v>
      </c>
      <c r="AC16" s="35" t="e">
        <v>#VALUE!</v>
      </c>
      <c r="AD16" s="35"/>
      <c r="AE16" s="35"/>
    </row>
    <row r="17" spans="1:31" ht="13.5" customHeight="1">
      <c r="A17" s="36"/>
      <c r="B17" s="37">
        <v>0.41666666666666669</v>
      </c>
      <c r="C17" s="29" t="s">
        <v>34</v>
      </c>
      <c r="D17" s="29"/>
      <c r="E17" s="29">
        <v>280</v>
      </c>
      <c r="F17" s="29">
        <v>5</v>
      </c>
      <c r="G17" s="29">
        <v>0</v>
      </c>
      <c r="H17" s="29">
        <v>8000</v>
      </c>
      <c r="I17" s="29">
        <v>0</v>
      </c>
      <c r="J17" s="30" t="s">
        <v>53</v>
      </c>
      <c r="K17" s="29">
        <v>900</v>
      </c>
      <c r="L17" s="1" t="s">
        <v>62</v>
      </c>
      <c r="M17" s="32">
        <f t="shared" si="16"/>
        <v>270</v>
      </c>
      <c r="N17" s="33">
        <f t="shared" si="17"/>
        <v>1</v>
      </c>
      <c r="O17" s="33">
        <f t="shared" si="18"/>
        <v>2</v>
      </c>
      <c r="P17" s="33">
        <f t="shared" si="19"/>
        <v>1</v>
      </c>
      <c r="Q17" s="34">
        <f t="shared" si="20"/>
        <v>0</v>
      </c>
      <c r="R17" s="33">
        <f t="shared" si="21"/>
        <v>1</v>
      </c>
      <c r="S17" s="34">
        <f t="shared" si="13"/>
        <v>9999</v>
      </c>
      <c r="T17" s="34">
        <f t="shared" si="22"/>
        <v>1</v>
      </c>
      <c r="U17" s="34">
        <f t="shared" si="23"/>
        <v>0</v>
      </c>
      <c r="V17" s="34">
        <f t="shared" si="24"/>
        <v>1</v>
      </c>
      <c r="W17" s="34" t="str">
        <f t="shared" si="25"/>
        <v>SCT</v>
      </c>
      <c r="X17" s="34">
        <f t="shared" si="26"/>
        <v>1</v>
      </c>
      <c r="Y17" s="34">
        <f t="shared" si="27"/>
        <v>900</v>
      </c>
      <c r="Z17" s="34">
        <f t="shared" si="28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34</v>
      </c>
      <c r="D18" s="29"/>
      <c r="E18" s="29">
        <v>280</v>
      </c>
      <c r="F18" s="29">
        <v>5</v>
      </c>
      <c r="G18" s="29">
        <v>0</v>
      </c>
      <c r="H18" s="29">
        <v>8000</v>
      </c>
      <c r="I18" s="29">
        <v>0</v>
      </c>
      <c r="J18" s="30" t="s">
        <v>53</v>
      </c>
      <c r="K18" s="29">
        <v>900</v>
      </c>
      <c r="L18" s="1" t="s">
        <v>63</v>
      </c>
      <c r="M18" s="32">
        <f t="shared" si="16"/>
        <v>0</v>
      </c>
      <c r="N18" s="33">
        <f t="shared" si="17"/>
        <v>1</v>
      </c>
      <c r="O18" s="33">
        <f t="shared" si="18"/>
        <v>0</v>
      </c>
      <c r="P18" s="33">
        <f t="shared" si="19"/>
        <v>1</v>
      </c>
      <c r="Q18" s="34">
        <f t="shared" si="20"/>
        <v>0</v>
      </c>
      <c r="R18" s="33">
        <f t="shared" si="21"/>
        <v>1</v>
      </c>
      <c r="S18" s="34">
        <f t="shared" si="13"/>
        <v>8000</v>
      </c>
      <c r="T18" s="34">
        <f t="shared" si="22"/>
        <v>1</v>
      </c>
      <c r="U18" s="34">
        <f t="shared" si="23"/>
        <v>0</v>
      </c>
      <c r="V18" s="34">
        <f t="shared" si="24"/>
        <v>1</v>
      </c>
      <c r="W18" s="34" t="str">
        <f t="shared" si="25"/>
        <v>SCT</v>
      </c>
      <c r="X18" s="34">
        <f t="shared" si="26"/>
        <v>1</v>
      </c>
      <c r="Y18" s="34">
        <f t="shared" si="27"/>
        <v>900</v>
      </c>
      <c r="Z18" s="34">
        <f t="shared" si="28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8</v>
      </c>
      <c r="U23" s="25"/>
      <c r="V23" s="25">
        <f>SUM(V7:V18)</f>
        <v>8</v>
      </c>
      <c r="W23" s="25"/>
      <c r="X23" s="25">
        <f>SUM(X7:X18)</f>
        <v>7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2</v>
      </c>
      <c r="O24" s="25"/>
      <c r="P24" s="25">
        <f>SUMIF($C7:$C18,"GENERAL",P7:P18)</f>
        <v>2</v>
      </c>
      <c r="Q24" s="25"/>
      <c r="R24" s="25">
        <f>SUMIF($C7:$C18,"GENERAL",R7:R18)</f>
        <v>2</v>
      </c>
      <c r="S24" s="25"/>
      <c r="T24" s="25">
        <f>SUMIF($C7:$C18,"GENERAL",T7:T18)</f>
        <v>2</v>
      </c>
      <c r="U24" s="25"/>
      <c r="V24" s="25">
        <f>SUMIF($C7:$C18,"GENERAL",V7:V18)</f>
        <v>2</v>
      </c>
      <c r="W24" s="25"/>
      <c r="X24" s="25">
        <f>SUMIF($C7:$C18,"GENERAL",X7:X18)</f>
        <v>1</v>
      </c>
      <c r="Y24" s="25"/>
      <c r="Z24" s="25">
        <f>SUMIF($C7:$C18,"GENERAL",Z7:Z18)</f>
        <v>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6</v>
      </c>
      <c r="O25" s="25"/>
      <c r="P25" s="25">
        <f>SUMIF($C7:$C18,"BECMG",P7:P18)</f>
        <v>6</v>
      </c>
      <c r="Q25" s="25"/>
      <c r="R25" s="25">
        <f>SUMIF($C7:$C18,"BECMG",R7:R18)</f>
        <v>6</v>
      </c>
      <c r="S25" s="25"/>
      <c r="T25" s="25">
        <f>SUMIF($C7:$C18,"BECMG",T7:T18)</f>
        <v>6</v>
      </c>
      <c r="U25" s="25"/>
      <c r="V25" s="25">
        <f>SUMIF($C7:$C18,"BECMG",V7:V18)</f>
        <v>6</v>
      </c>
      <c r="W25" s="25"/>
      <c r="X25" s="25">
        <f>SUMIF($C7:$C18,"BECMG",X7:X18)</f>
        <v>5</v>
      </c>
      <c r="Y25" s="25"/>
      <c r="Z25" s="25">
        <f>SUMIF($C7:$C18,"BECMG",Z7:Z18)</f>
        <v>6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4</v>
      </c>
      <c r="M27" s="42">
        <f>SUMIF($C7:$C18,"TEMPO",N7:N18)</f>
        <v>4</v>
      </c>
      <c r="N27" s="42">
        <f>M27</f>
        <v>4</v>
      </c>
      <c r="O27" s="42">
        <f>SUMIF($C7:$C18,"TEMPO",P7:P18)</f>
        <v>4</v>
      </c>
      <c r="P27" s="42">
        <f>O27</f>
        <v>4</v>
      </c>
      <c r="Q27" s="42">
        <f>SUMIF($C7:$C18,"TEMPO",R7:R18)</f>
        <v>4</v>
      </c>
      <c r="R27" s="42">
        <f>Q27</f>
        <v>4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1</v>
      </c>
      <c r="X27" s="42">
        <f>W27</f>
        <v>1</v>
      </c>
      <c r="Y27" s="42">
        <f>SUMIF($C7:$C18,"TEMPO",Z7:Z18)</f>
        <v>4</v>
      </c>
      <c r="Z27" s="42">
        <f>Y27</f>
        <v>4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66.666666666666657</v>
      </c>
      <c r="U28" s="38"/>
      <c r="V28" s="38">
        <f>(SUM(V24:V27)/COUNTA(V7:V18))*100</f>
        <v>66.666666666666657</v>
      </c>
      <c r="W28" s="38"/>
      <c r="X28" s="38">
        <f>(SUM(X24:X27)/COUNTA(X7:X18))*100</f>
        <v>58.333333333333336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50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</v>
      </c>
      <c r="B36" s="28">
        <v>0.25</v>
      </c>
      <c r="C36" s="29" t="s">
        <v>39</v>
      </c>
      <c r="D36" s="29"/>
      <c r="E36" s="29">
        <v>240</v>
      </c>
      <c r="F36" s="29">
        <v>3</v>
      </c>
      <c r="G36" s="29">
        <v>0</v>
      </c>
      <c r="H36" s="29">
        <v>8000</v>
      </c>
      <c r="I36" s="29">
        <v>0</v>
      </c>
      <c r="J36" s="30" t="s">
        <v>53</v>
      </c>
      <c r="K36" s="29">
        <v>900</v>
      </c>
      <c r="L36" s="1" t="s">
        <v>54</v>
      </c>
      <c r="M36" s="32">
        <f t="shared" ref="M36:M47" si="29">IF(ISNUMBER(VALUE(FIND("VRB",L36))),999,VALUE(MID(L36,20,3)))</f>
        <v>220</v>
      </c>
      <c r="N36" s="33">
        <f t="shared" ref="N36" si="30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" si="31">VALUE(MID(L36,23,2))</f>
        <v>2</v>
      </c>
      <c r="P36" s="33">
        <f t="shared" ref="P36" si="32">IF(ABS(O36-F36)&lt;11,1,0)</f>
        <v>1</v>
      </c>
      <c r="Q36" s="34">
        <f t="shared" ref="Q36" si="33">IF(MID(L36,25,1)="G","GUST",0)</f>
        <v>0</v>
      </c>
      <c r="R36" s="33">
        <f t="shared" ref="R36" si="34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" si="35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" si="36">IF(AND(IFERROR(FIND("RA",L36),0)&gt;0, IFERROR(FIND("RA",L36),0)&lt;38),"RA",0)</f>
        <v>0</v>
      </c>
      <c r="V36" s="34">
        <f t="shared" ref="V36" si="37">IF(U36=I36,1,0)</f>
        <v>1</v>
      </c>
      <c r="W36" s="34" t="str">
        <f t="shared" ref="W36" si="38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" si="39">IF(OR(AND(OR(J36="SKC",J36="FEW",J36="SCT"),OR(W36="SKC",W36="FEW",W36="SCT")),(AND(OR(J36="BKN",J36="OVC"),OR(W36="BKN",W36="OVC")))),1,0)</f>
        <v>0</v>
      </c>
      <c r="Y36" s="34">
        <f t="shared" ref="Y36" si="40">IF(ISNUMBER(VALUE(FIND("CAVOK",L36))),9999,IF(ISNUMBER(VALUE(FIND("NSC",L36))),9999,(MID(L36,(FIND(W36,L36)+4),2))*100))</f>
        <v>900</v>
      </c>
      <c r="Z36" s="34">
        <f t="shared" ref="Z36:Z47" si="41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29"/>
      <c r="E37" s="29">
        <v>240</v>
      </c>
      <c r="F37" s="29">
        <v>3</v>
      </c>
      <c r="G37" s="29">
        <v>0</v>
      </c>
      <c r="H37" s="29">
        <v>8000</v>
      </c>
      <c r="I37" s="29">
        <v>0</v>
      </c>
      <c r="J37" s="30" t="s">
        <v>53</v>
      </c>
      <c r="K37" s="29">
        <v>900</v>
      </c>
      <c r="L37" s="1" t="s">
        <v>55</v>
      </c>
      <c r="M37" s="32">
        <f t="shared" si="29"/>
        <v>240</v>
      </c>
      <c r="N37" s="33">
        <f t="shared" ref="N37:N47" si="42">IF(OR(ABS(E37-M37)&lt;61,AND(ABS(E37-M37)&gt;60,O37&lt;10),E37=M37,AND(E37=999,ISNUMBER(VALUE(FIND("TS",L37)))),AND(E37=999,ISNUMBER(VALUE(FIND("CB",L37)))),AND(E37=999,O37&lt;10),AND(F37&lt;10,M37=999,O37&lt;10)),1,0)</f>
        <v>1</v>
      </c>
      <c r="O37" s="33">
        <f t="shared" ref="O37:O47" si="43">VALUE(MID(L37,23,2))</f>
        <v>3</v>
      </c>
      <c r="P37" s="33">
        <f t="shared" ref="P37:P47" si="44">IF(ABS(O37-F37)&lt;11,1,0)</f>
        <v>1</v>
      </c>
      <c r="Q37" s="34">
        <f t="shared" ref="Q37:Q47" si="45">IF(MID(L37,25,1)="G","GUST",0)</f>
        <v>0</v>
      </c>
      <c r="R37" s="33">
        <f t="shared" ref="R37:R47" si="46">IF(G37=Q37,1,0)</f>
        <v>1</v>
      </c>
      <c r="S37" s="34">
        <f t="shared" ref="S37:S47" si="4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ref="T37:T47" si="48">IF(OR(AND(H37&lt;801,S37&lt;801),AND(H37&gt;799,H37&lt;1501,S37&gt;799,S37&lt;1502),AND(H37&gt;1499,H37&lt;3001,S37&gt;1499,S37&lt;3001),AND(H37&gt;2999,H37&lt;5001,S37&gt;2999,S37&lt;5001),AND(H37&gt;4999,S37&gt;4999)),1,0)</f>
        <v>1</v>
      </c>
      <c r="U37" s="34">
        <f t="shared" ref="U37:U47" si="49">IF(AND(IFERROR(FIND("RA",L37),0)&gt;0, IFERROR(FIND("RA",L37),0)&lt;38),"RA",0)</f>
        <v>0</v>
      </c>
      <c r="V37" s="34">
        <f t="shared" ref="V37:V47" si="50">IF(U37=I37,1,0)</f>
        <v>1</v>
      </c>
      <c r="W37" s="34" t="str">
        <f t="shared" ref="W37:W47" si="51">IF(ISNUMBER(VALUE(FIND("FEW",L37))),"FEW",IF(ISNUMBER(VALUE(FIND("SCT",L37))),"SCT",IF(ISNUMBER(VALUE(FIND("BKN",L37))),"BKN",IF(ISNUMBER(VALUE(FIND("OVC",L37))),"OVC",IF(ISNUMBER(VALUE(FIND("SKC",L37))),"SKC",IF(ISNUMBER(VALUE(FIND("CAVOK",L37))),"SKC",IF(ISNUMBER(VALUE(FIND("NSC",L37))),"SKC","EROR")))))))</f>
        <v>SCT</v>
      </c>
      <c r="X37" s="34">
        <f t="shared" ref="X37:X47" si="52">IF(OR(AND(OR(J37="SKC",J37="FEW",J37="SCT"),OR(W37="SKC",W37="FEW",W37="SCT")),(AND(OR(J37="BKN",J37="OVC"),OR(W37="BKN",W37="OVC")))),1,0)</f>
        <v>1</v>
      </c>
      <c r="Y37" s="34">
        <f t="shared" ref="Y37:Y47" si="53">IF(ISNUMBER(VALUE(FIND("CAVOK",L37))),9999,IF(ISNUMBER(VALUE(FIND("NSC",L37))),9999,(MID(L37,(FIND(W37,L37)+4),2))*100))</f>
        <v>900</v>
      </c>
      <c r="Z37" s="34">
        <f t="shared" si="41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29"/>
      <c r="E38" s="29">
        <v>240</v>
      </c>
      <c r="F38" s="29">
        <v>3</v>
      </c>
      <c r="G38" s="29">
        <v>0</v>
      </c>
      <c r="H38" s="29">
        <v>8000</v>
      </c>
      <c r="I38" s="29">
        <v>0</v>
      </c>
      <c r="J38" s="30" t="s">
        <v>53</v>
      </c>
      <c r="K38" s="29">
        <v>900</v>
      </c>
      <c r="L38" s="1" t="s">
        <v>60</v>
      </c>
      <c r="M38" s="32">
        <f t="shared" si="29"/>
        <v>210</v>
      </c>
      <c r="N38" s="33">
        <f t="shared" si="42"/>
        <v>1</v>
      </c>
      <c r="O38" s="33">
        <f t="shared" si="43"/>
        <v>4</v>
      </c>
      <c r="P38" s="33">
        <f t="shared" si="44"/>
        <v>1</v>
      </c>
      <c r="Q38" s="34">
        <f t="shared" si="45"/>
        <v>0</v>
      </c>
      <c r="R38" s="33">
        <f t="shared" si="46"/>
        <v>1</v>
      </c>
      <c r="S38" s="34">
        <f t="shared" si="47"/>
        <v>9000</v>
      </c>
      <c r="T38" s="34">
        <f t="shared" si="48"/>
        <v>1</v>
      </c>
      <c r="U38" s="34">
        <f t="shared" si="49"/>
        <v>0</v>
      </c>
      <c r="V38" s="34">
        <f t="shared" si="50"/>
        <v>1</v>
      </c>
      <c r="W38" s="34" t="str">
        <f t="shared" si="51"/>
        <v>SCT</v>
      </c>
      <c r="X38" s="34">
        <f t="shared" si="52"/>
        <v>1</v>
      </c>
      <c r="Y38" s="34">
        <f t="shared" si="53"/>
        <v>900</v>
      </c>
      <c r="Z38" s="34">
        <f t="shared" si="41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29"/>
      <c r="E39" s="29">
        <v>240</v>
      </c>
      <c r="F39" s="29">
        <v>3</v>
      </c>
      <c r="G39" s="29">
        <v>0</v>
      </c>
      <c r="H39" s="29">
        <v>8000</v>
      </c>
      <c r="I39" s="29">
        <v>0</v>
      </c>
      <c r="J39" s="30" t="s">
        <v>53</v>
      </c>
      <c r="K39" s="29">
        <v>900</v>
      </c>
      <c r="L39" s="1" t="s">
        <v>61</v>
      </c>
      <c r="M39" s="32">
        <f t="shared" si="29"/>
        <v>0</v>
      </c>
      <c r="N39" s="33">
        <f t="shared" si="42"/>
        <v>1</v>
      </c>
      <c r="O39" s="33">
        <f t="shared" si="43"/>
        <v>0</v>
      </c>
      <c r="P39" s="33">
        <f t="shared" si="44"/>
        <v>1</v>
      </c>
      <c r="Q39" s="34">
        <f t="shared" si="45"/>
        <v>0</v>
      </c>
      <c r="R39" s="33">
        <f t="shared" si="46"/>
        <v>1</v>
      </c>
      <c r="S39" s="34">
        <f t="shared" si="47"/>
        <v>9999</v>
      </c>
      <c r="T39" s="34">
        <f t="shared" si="48"/>
        <v>1</v>
      </c>
      <c r="U39" s="34">
        <f t="shared" si="49"/>
        <v>0</v>
      </c>
      <c r="V39" s="34">
        <f t="shared" si="50"/>
        <v>1</v>
      </c>
      <c r="W39" s="34" t="str">
        <f t="shared" si="51"/>
        <v>SCT</v>
      </c>
      <c r="X39" s="34">
        <f t="shared" si="52"/>
        <v>1</v>
      </c>
      <c r="Y39" s="34">
        <f t="shared" si="53"/>
        <v>900</v>
      </c>
      <c r="Z39" s="34">
        <f t="shared" si="41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29"/>
      <c r="E40" s="29">
        <v>240</v>
      </c>
      <c r="F40" s="29">
        <v>3</v>
      </c>
      <c r="G40" s="29">
        <v>0</v>
      </c>
      <c r="H40" s="29">
        <v>8000</v>
      </c>
      <c r="I40" s="29">
        <v>0</v>
      </c>
      <c r="J40" s="30" t="s">
        <v>53</v>
      </c>
      <c r="K40" s="29">
        <v>900</v>
      </c>
      <c r="L40" s="1" t="s">
        <v>62</v>
      </c>
      <c r="M40" s="32">
        <f t="shared" si="29"/>
        <v>270</v>
      </c>
      <c r="N40" s="33">
        <f t="shared" si="42"/>
        <v>1</v>
      </c>
      <c r="O40" s="33">
        <f t="shared" si="43"/>
        <v>2</v>
      </c>
      <c r="P40" s="33">
        <f t="shared" si="44"/>
        <v>1</v>
      </c>
      <c r="Q40" s="34">
        <f t="shared" si="45"/>
        <v>0</v>
      </c>
      <c r="R40" s="33">
        <f t="shared" si="46"/>
        <v>1</v>
      </c>
      <c r="S40" s="34">
        <f t="shared" si="47"/>
        <v>9999</v>
      </c>
      <c r="T40" s="34">
        <f t="shared" si="48"/>
        <v>1</v>
      </c>
      <c r="U40" s="34">
        <f t="shared" si="49"/>
        <v>0</v>
      </c>
      <c r="V40" s="34">
        <f t="shared" si="50"/>
        <v>1</v>
      </c>
      <c r="W40" s="34" t="str">
        <f t="shared" si="51"/>
        <v>SCT</v>
      </c>
      <c r="X40" s="34">
        <f t="shared" si="52"/>
        <v>1</v>
      </c>
      <c r="Y40" s="34">
        <f t="shared" si="53"/>
        <v>900</v>
      </c>
      <c r="Z40" s="34">
        <f t="shared" si="41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29"/>
      <c r="E41" s="29">
        <v>240</v>
      </c>
      <c r="F41" s="29">
        <v>3</v>
      </c>
      <c r="G41" s="29">
        <v>0</v>
      </c>
      <c r="H41" s="29">
        <v>8000</v>
      </c>
      <c r="I41" s="29">
        <v>0</v>
      </c>
      <c r="J41" s="30" t="s">
        <v>53</v>
      </c>
      <c r="K41" s="29">
        <v>900</v>
      </c>
      <c r="L41" s="1" t="s">
        <v>63</v>
      </c>
      <c r="M41" s="32">
        <f t="shared" si="29"/>
        <v>0</v>
      </c>
      <c r="N41" s="33">
        <f t="shared" si="42"/>
        <v>1</v>
      </c>
      <c r="O41" s="33">
        <f t="shared" si="43"/>
        <v>0</v>
      </c>
      <c r="P41" s="33">
        <f t="shared" si="44"/>
        <v>1</v>
      </c>
      <c r="Q41" s="34">
        <f t="shared" si="45"/>
        <v>0</v>
      </c>
      <c r="R41" s="33">
        <f t="shared" si="46"/>
        <v>1</v>
      </c>
      <c r="S41" s="34">
        <f t="shared" si="47"/>
        <v>8000</v>
      </c>
      <c r="T41" s="34">
        <f t="shared" si="48"/>
        <v>1</v>
      </c>
      <c r="U41" s="34">
        <f t="shared" si="49"/>
        <v>0</v>
      </c>
      <c r="V41" s="34">
        <f t="shared" si="50"/>
        <v>1</v>
      </c>
      <c r="W41" s="34" t="str">
        <f t="shared" si="51"/>
        <v>SCT</v>
      </c>
      <c r="X41" s="34">
        <f t="shared" si="52"/>
        <v>1</v>
      </c>
      <c r="Y41" s="34">
        <f t="shared" si="53"/>
        <v>900</v>
      </c>
      <c r="Z41" s="34">
        <f t="shared" si="41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29"/>
      <c r="E42" s="29">
        <v>240</v>
      </c>
      <c r="F42" s="29">
        <v>3</v>
      </c>
      <c r="G42" s="29">
        <v>0</v>
      </c>
      <c r="H42" s="29">
        <v>8000</v>
      </c>
      <c r="I42" s="29">
        <v>0</v>
      </c>
      <c r="J42" s="30" t="s">
        <v>53</v>
      </c>
      <c r="K42" s="29">
        <v>900</v>
      </c>
      <c r="L42" s="1" t="s">
        <v>64</v>
      </c>
      <c r="M42" s="32">
        <f t="shared" si="29"/>
        <v>0</v>
      </c>
      <c r="N42" s="33">
        <f t="shared" si="42"/>
        <v>1</v>
      </c>
      <c r="O42" s="33">
        <f t="shared" si="43"/>
        <v>0</v>
      </c>
      <c r="P42" s="33">
        <f t="shared" si="44"/>
        <v>1</v>
      </c>
      <c r="Q42" s="34">
        <f t="shared" si="45"/>
        <v>0</v>
      </c>
      <c r="R42" s="33">
        <f t="shared" si="46"/>
        <v>1</v>
      </c>
      <c r="S42" s="34">
        <f t="shared" si="47"/>
        <v>8000</v>
      </c>
      <c r="T42" s="34">
        <f t="shared" si="48"/>
        <v>1</v>
      </c>
      <c r="U42" s="34">
        <f t="shared" si="49"/>
        <v>0</v>
      </c>
      <c r="V42" s="34">
        <f t="shared" si="50"/>
        <v>1</v>
      </c>
      <c r="W42" s="34" t="str">
        <f t="shared" si="51"/>
        <v>SCT</v>
      </c>
      <c r="X42" s="34">
        <f t="shared" si="52"/>
        <v>1</v>
      </c>
      <c r="Y42" s="34">
        <f t="shared" si="53"/>
        <v>900</v>
      </c>
      <c r="Z42" s="34">
        <f t="shared" si="41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0.54166666666666696</v>
      </c>
      <c r="C43" s="29" t="s">
        <v>39</v>
      </c>
      <c r="D43" s="29"/>
      <c r="E43" s="29">
        <v>240</v>
      </c>
      <c r="F43" s="29">
        <v>3</v>
      </c>
      <c r="G43" s="29">
        <v>0</v>
      </c>
      <c r="H43" s="29">
        <v>8000</v>
      </c>
      <c r="I43" s="29">
        <v>0</v>
      </c>
      <c r="J43" s="30" t="s">
        <v>53</v>
      </c>
      <c r="K43" s="29">
        <v>900</v>
      </c>
      <c r="L43" s="1" t="s">
        <v>65</v>
      </c>
      <c r="M43" s="32">
        <f t="shared" si="29"/>
        <v>0</v>
      </c>
      <c r="N43" s="33">
        <f t="shared" si="42"/>
        <v>1</v>
      </c>
      <c r="O43" s="33">
        <f t="shared" si="43"/>
        <v>0</v>
      </c>
      <c r="P43" s="33">
        <f t="shared" si="44"/>
        <v>1</v>
      </c>
      <c r="Q43" s="34">
        <f t="shared" si="45"/>
        <v>0</v>
      </c>
      <c r="R43" s="33">
        <f t="shared" si="46"/>
        <v>1</v>
      </c>
      <c r="S43" s="34">
        <f t="shared" si="47"/>
        <v>8000</v>
      </c>
      <c r="T43" s="34">
        <f t="shared" si="48"/>
        <v>1</v>
      </c>
      <c r="U43" s="34">
        <f t="shared" si="49"/>
        <v>0</v>
      </c>
      <c r="V43" s="34">
        <f t="shared" si="50"/>
        <v>1</v>
      </c>
      <c r="W43" s="34" t="str">
        <f t="shared" si="51"/>
        <v>SCT</v>
      </c>
      <c r="X43" s="34">
        <f t="shared" si="52"/>
        <v>1</v>
      </c>
      <c r="Y43" s="34">
        <f t="shared" si="53"/>
        <v>900</v>
      </c>
      <c r="Z43" s="34">
        <f t="shared" si="41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29"/>
      <c r="E44" s="29">
        <v>240</v>
      </c>
      <c r="F44" s="29">
        <v>3</v>
      </c>
      <c r="G44" s="29">
        <v>0</v>
      </c>
      <c r="H44" s="29">
        <v>8000</v>
      </c>
      <c r="I44" s="29">
        <v>0</v>
      </c>
      <c r="J44" s="30" t="s">
        <v>53</v>
      </c>
      <c r="K44" s="29">
        <v>900</v>
      </c>
      <c r="L44" s="1" t="s">
        <v>66</v>
      </c>
      <c r="M44" s="32">
        <f t="shared" si="29"/>
        <v>310</v>
      </c>
      <c r="N44" s="33">
        <f t="shared" si="42"/>
        <v>1</v>
      </c>
      <c r="O44" s="33">
        <f t="shared" si="43"/>
        <v>2</v>
      </c>
      <c r="P44" s="33">
        <f t="shared" si="44"/>
        <v>1</v>
      </c>
      <c r="Q44" s="34">
        <f t="shared" si="45"/>
        <v>0</v>
      </c>
      <c r="R44" s="33">
        <f t="shared" si="46"/>
        <v>1</v>
      </c>
      <c r="S44" s="34">
        <f t="shared" si="47"/>
        <v>8000</v>
      </c>
      <c r="T44" s="34">
        <f t="shared" si="48"/>
        <v>1</v>
      </c>
      <c r="U44" s="34">
        <f t="shared" si="49"/>
        <v>0</v>
      </c>
      <c r="V44" s="34">
        <f t="shared" si="50"/>
        <v>1</v>
      </c>
      <c r="W44" s="34" t="str">
        <f t="shared" si="51"/>
        <v>SCT</v>
      </c>
      <c r="X44" s="34">
        <f t="shared" si="52"/>
        <v>1</v>
      </c>
      <c r="Y44" s="34">
        <f t="shared" si="53"/>
        <v>900</v>
      </c>
      <c r="Z44" s="34">
        <f t="shared" si="41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29"/>
      <c r="E45" s="29">
        <v>240</v>
      </c>
      <c r="F45" s="29">
        <v>3</v>
      </c>
      <c r="G45" s="29">
        <v>0</v>
      </c>
      <c r="H45" s="29">
        <v>8000</v>
      </c>
      <c r="I45" s="29">
        <v>0</v>
      </c>
      <c r="J45" s="30" t="s">
        <v>53</v>
      </c>
      <c r="K45" s="29">
        <v>900</v>
      </c>
      <c r="L45" s="1" t="s">
        <v>67</v>
      </c>
      <c r="M45" s="32">
        <f t="shared" si="29"/>
        <v>0</v>
      </c>
      <c r="N45" s="33">
        <f t="shared" si="42"/>
        <v>1</v>
      </c>
      <c r="O45" s="33">
        <f t="shared" si="43"/>
        <v>0</v>
      </c>
      <c r="P45" s="33">
        <f t="shared" si="44"/>
        <v>1</v>
      </c>
      <c r="Q45" s="34">
        <f t="shared" si="45"/>
        <v>0</v>
      </c>
      <c r="R45" s="33">
        <f t="shared" si="46"/>
        <v>1</v>
      </c>
      <c r="S45" s="34">
        <f t="shared" si="47"/>
        <v>8000</v>
      </c>
      <c r="T45" s="34">
        <f t="shared" si="48"/>
        <v>1</v>
      </c>
      <c r="U45" s="34">
        <f t="shared" si="49"/>
        <v>0</v>
      </c>
      <c r="V45" s="34">
        <f t="shared" si="50"/>
        <v>1</v>
      </c>
      <c r="W45" s="34" t="str">
        <f t="shared" si="51"/>
        <v>BKN</v>
      </c>
      <c r="X45" s="34">
        <f t="shared" si="52"/>
        <v>0</v>
      </c>
      <c r="Y45" s="34">
        <f t="shared" si="53"/>
        <v>900</v>
      </c>
      <c r="Z45" s="34">
        <f t="shared" si="41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29"/>
      <c r="E46" s="29">
        <v>240</v>
      </c>
      <c r="F46" s="29">
        <v>3</v>
      </c>
      <c r="G46" s="29">
        <v>0</v>
      </c>
      <c r="H46" s="29">
        <v>8000</v>
      </c>
      <c r="I46" s="29">
        <v>0</v>
      </c>
      <c r="J46" s="30" t="s">
        <v>53</v>
      </c>
      <c r="K46" s="29">
        <v>900</v>
      </c>
      <c r="L46" s="1" t="s">
        <v>68</v>
      </c>
      <c r="M46" s="32">
        <f t="shared" si="29"/>
        <v>0</v>
      </c>
      <c r="N46" s="33">
        <f t="shared" si="42"/>
        <v>1</v>
      </c>
      <c r="O46" s="33">
        <f t="shared" si="43"/>
        <v>0</v>
      </c>
      <c r="P46" s="33">
        <f t="shared" si="44"/>
        <v>1</v>
      </c>
      <c r="Q46" s="34">
        <f t="shared" si="45"/>
        <v>0</v>
      </c>
      <c r="R46" s="33">
        <f t="shared" si="46"/>
        <v>1</v>
      </c>
      <c r="S46" s="34">
        <f t="shared" si="47"/>
        <v>8000</v>
      </c>
      <c r="T46" s="34">
        <f t="shared" si="48"/>
        <v>1</v>
      </c>
      <c r="U46" s="34">
        <f t="shared" si="49"/>
        <v>0</v>
      </c>
      <c r="V46" s="34">
        <f t="shared" si="50"/>
        <v>1</v>
      </c>
      <c r="W46" s="34" t="str">
        <f t="shared" si="51"/>
        <v>BKN</v>
      </c>
      <c r="X46" s="34">
        <f t="shared" si="52"/>
        <v>0</v>
      </c>
      <c r="Y46" s="34">
        <f t="shared" si="53"/>
        <v>900</v>
      </c>
      <c r="Z46" s="34">
        <f t="shared" si="41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29"/>
      <c r="E47" s="29">
        <v>240</v>
      </c>
      <c r="F47" s="29">
        <v>3</v>
      </c>
      <c r="G47" s="29">
        <v>0</v>
      </c>
      <c r="H47" s="29">
        <v>8000</v>
      </c>
      <c r="I47" s="29">
        <v>0</v>
      </c>
      <c r="J47" s="30" t="s">
        <v>53</v>
      </c>
      <c r="K47" s="29">
        <v>900</v>
      </c>
      <c r="L47" s="1" t="s">
        <v>69</v>
      </c>
      <c r="M47" s="32">
        <f t="shared" si="29"/>
        <v>0</v>
      </c>
      <c r="N47" s="33">
        <f t="shared" si="42"/>
        <v>1</v>
      </c>
      <c r="O47" s="33">
        <f t="shared" si="43"/>
        <v>0</v>
      </c>
      <c r="P47" s="33">
        <f t="shared" si="44"/>
        <v>1</v>
      </c>
      <c r="Q47" s="34">
        <f t="shared" si="45"/>
        <v>0</v>
      </c>
      <c r="R47" s="33">
        <f t="shared" si="46"/>
        <v>1</v>
      </c>
      <c r="S47" s="34">
        <f t="shared" si="47"/>
        <v>8000</v>
      </c>
      <c r="T47" s="34">
        <f t="shared" si="48"/>
        <v>1</v>
      </c>
      <c r="U47" s="34">
        <f t="shared" si="49"/>
        <v>0</v>
      </c>
      <c r="V47" s="34">
        <f t="shared" si="50"/>
        <v>1</v>
      </c>
      <c r="W47" s="34" t="str">
        <f t="shared" si="51"/>
        <v>BKN</v>
      </c>
      <c r="X47" s="34">
        <f t="shared" si="52"/>
        <v>0</v>
      </c>
      <c r="Y47" s="34">
        <f t="shared" si="53"/>
        <v>900</v>
      </c>
      <c r="Z47" s="34">
        <f t="shared" si="41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12</v>
      </c>
      <c r="W52" s="25"/>
      <c r="X52" s="25">
        <f>SUM(X36:X47)</f>
        <v>8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12</v>
      </c>
      <c r="W53" s="25"/>
      <c r="X53" s="25">
        <f>SUMIF($C36:$C47,"GENERAL",X36:X47)</f>
        <v>8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100</v>
      </c>
      <c r="W57" s="38"/>
      <c r="X57" s="38">
        <f>(SUM(X53:X56)/COUNTA(X36:X47))*100</f>
        <v>66.666666666666657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56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2" t="s">
        <v>53</v>
      </c>
      <c r="K65" s="51">
        <v>900</v>
      </c>
      <c r="L65" s="1" t="s">
        <v>64</v>
      </c>
      <c r="M65" s="32">
        <f t="shared" ref="M65:M70" si="54">IF(ISNUMBER(VALUE(FIND("VRB",L65))),999,VALUE(MID(L65,20,3)))</f>
        <v>0</v>
      </c>
      <c r="N65" s="33">
        <f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5">VALUE(MID(L65,23,2))</f>
        <v>0</v>
      </c>
      <c r="P65" s="33">
        <f>IF(ABS(O65-F65)&lt;11,1,0)</f>
        <v>1</v>
      </c>
      <c r="Q65" s="34">
        <f t="shared" ref="Q65:Q70" si="56">IF(MID(L65,25,1)="G","GUST",0)</f>
        <v>0</v>
      </c>
      <c r="R65" s="33">
        <f t="shared" ref="R65:R70" si="57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58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59">IF(AND(IFERROR(FIND("RA",L65),0)&gt;0, IFERROR(FIND("RA",L65),0)&lt;38),"RA",0)</f>
        <v>0</v>
      </c>
      <c r="V65" s="34">
        <f t="shared" ref="V65:V70" si="60">IF(U65=I65,1,0)</f>
        <v>1</v>
      </c>
      <c r="W65" s="34" t="str">
        <f t="shared" ref="W65:W70" si="61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SCT</v>
      </c>
      <c r="X65" s="34">
        <f t="shared" ref="X65:X70" si="62">IF(OR(AND(OR(J65="SKC",J65="FEW",J65="SCT"),OR(W65="SKC",W65="FEW",W65="SCT")),(AND(OR(J65="BKN",J65="OVC"),OR(W65="BKN",W65="OVC")))),1,0)</f>
        <v>1</v>
      </c>
      <c r="Y65" s="34">
        <f t="shared" ref="Y65:Y70" si="63">IF(ISNUMBER(VALUE(FIND("CAVOK",L65))),9999,IF(ISNUMBER(VALUE(FIND("NSC",L65))),9999,(MID(L65,(FIND(W65,L65)+4),2))*100))</f>
        <v>900</v>
      </c>
      <c r="Z65" s="34">
        <f t="shared" ref="Z65:Z70" si="64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5"/>
      <c r="B66" s="54">
        <v>0.54166666666666696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2" t="s">
        <v>53</v>
      </c>
      <c r="K66" s="51">
        <v>900</v>
      </c>
      <c r="L66" s="1" t="s">
        <v>65</v>
      </c>
      <c r="M66" s="32">
        <f t="shared" si="54"/>
        <v>0</v>
      </c>
      <c r="N66" s="33">
        <f>IF(OR(ABS(E66-M66)&lt;61,AND(ABS(E66-M66)&gt;60,O66&lt;10),E66=M66,AND(E66=999,ISNUMBER(VALUE(FIND("TS",L66)))),AND(E66=999,ISNUMBER(VALUE(FIND("CB",L66)))),AND(E66=999,O66&lt;10),AND(F66&lt;10,M66=999,O66&lt;10)),1,0)</f>
        <v>1</v>
      </c>
      <c r="O66" s="33">
        <f t="shared" si="55"/>
        <v>0</v>
      </c>
      <c r="P66" s="33">
        <f>IF(ABS(O66-F66)&lt;11,1,0)</f>
        <v>1</v>
      </c>
      <c r="Q66" s="34">
        <f t="shared" si="56"/>
        <v>0</v>
      </c>
      <c r="R66" s="33">
        <f t="shared" si="57"/>
        <v>1</v>
      </c>
      <c r="S66" s="34">
        <f t="shared" ref="S66:S76" si="65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58"/>
        <v>1</v>
      </c>
      <c r="U66" s="34">
        <f t="shared" si="59"/>
        <v>0</v>
      </c>
      <c r="V66" s="34">
        <f t="shared" si="60"/>
        <v>1</v>
      </c>
      <c r="W66" s="34" t="str">
        <f t="shared" si="61"/>
        <v>SCT</v>
      </c>
      <c r="X66" s="34">
        <f t="shared" si="62"/>
        <v>1</v>
      </c>
      <c r="Y66" s="34">
        <f t="shared" si="63"/>
        <v>900</v>
      </c>
      <c r="Z66" s="34">
        <f t="shared" si="64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2" t="s">
        <v>53</v>
      </c>
      <c r="K67" s="51">
        <v>900</v>
      </c>
      <c r="L67" s="1" t="s">
        <v>66</v>
      </c>
      <c r="M67" s="32">
        <f t="shared" si="54"/>
        <v>310</v>
      </c>
      <c r="N67" s="33">
        <f t="shared" ref="N67:N70" si="66">IF(OR(ABS(E67-M67)&lt;61,AND(ABS(E67-M67)&gt;60,O67&lt;10),E67=M67,AND(E67=999,ISNUMBER(VALUE(FIND("TS",L67)))),AND(E67=999,ISNUMBER(VALUE(FIND("CB",L67)))),AND(E67=999,O67&lt;10),AND(F67&lt;10,M67=999,O67&lt;10)),1,0)</f>
        <v>1</v>
      </c>
      <c r="O67" s="33">
        <f t="shared" si="55"/>
        <v>2</v>
      </c>
      <c r="P67" s="33">
        <f t="shared" ref="P67:P70" si="67">IF(ABS(O67-F67)&lt;11,1,0)</f>
        <v>1</v>
      </c>
      <c r="Q67" s="34">
        <f t="shared" si="56"/>
        <v>0</v>
      </c>
      <c r="R67" s="33">
        <f t="shared" si="57"/>
        <v>1</v>
      </c>
      <c r="S67" s="34">
        <f t="shared" si="65"/>
        <v>8000</v>
      </c>
      <c r="T67" s="34">
        <f t="shared" si="58"/>
        <v>1</v>
      </c>
      <c r="U67" s="34">
        <f t="shared" si="59"/>
        <v>0</v>
      </c>
      <c r="V67" s="34">
        <f t="shared" si="60"/>
        <v>1</v>
      </c>
      <c r="W67" s="34" t="str">
        <f t="shared" si="61"/>
        <v>SCT</v>
      </c>
      <c r="X67" s="34">
        <f t="shared" si="62"/>
        <v>1</v>
      </c>
      <c r="Y67" s="34">
        <f t="shared" si="63"/>
        <v>900</v>
      </c>
      <c r="Z67" s="34">
        <f t="shared" si="64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2" t="s">
        <v>53</v>
      </c>
      <c r="K68" s="51">
        <v>900</v>
      </c>
      <c r="L68" s="1" t="s">
        <v>67</v>
      </c>
      <c r="M68" s="32">
        <f t="shared" si="54"/>
        <v>0</v>
      </c>
      <c r="N68" s="33">
        <f t="shared" si="66"/>
        <v>1</v>
      </c>
      <c r="O68" s="33">
        <f t="shared" si="55"/>
        <v>0</v>
      </c>
      <c r="P68" s="33">
        <f t="shared" si="67"/>
        <v>1</v>
      </c>
      <c r="Q68" s="34">
        <f t="shared" si="56"/>
        <v>0</v>
      </c>
      <c r="R68" s="33">
        <f t="shared" si="57"/>
        <v>1</v>
      </c>
      <c r="S68" s="34">
        <f t="shared" si="65"/>
        <v>8000</v>
      </c>
      <c r="T68" s="34">
        <f t="shared" si="58"/>
        <v>1</v>
      </c>
      <c r="U68" s="34">
        <f t="shared" si="59"/>
        <v>0</v>
      </c>
      <c r="V68" s="34">
        <f t="shared" si="60"/>
        <v>1</v>
      </c>
      <c r="W68" s="34" t="str">
        <f t="shared" si="61"/>
        <v>BKN</v>
      </c>
      <c r="X68" s="34">
        <f t="shared" si="62"/>
        <v>0</v>
      </c>
      <c r="Y68" s="34">
        <f t="shared" si="63"/>
        <v>900</v>
      </c>
      <c r="Z68" s="34">
        <f t="shared" si="64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2" t="s">
        <v>53</v>
      </c>
      <c r="K69" s="51">
        <v>900</v>
      </c>
      <c r="L69" s="1" t="s">
        <v>68</v>
      </c>
      <c r="M69" s="32">
        <f t="shared" si="54"/>
        <v>0</v>
      </c>
      <c r="N69" s="33">
        <f t="shared" si="66"/>
        <v>1</v>
      </c>
      <c r="O69" s="33">
        <f t="shared" si="55"/>
        <v>0</v>
      </c>
      <c r="P69" s="33">
        <f t="shared" si="67"/>
        <v>1</v>
      </c>
      <c r="Q69" s="34">
        <f t="shared" si="56"/>
        <v>0</v>
      </c>
      <c r="R69" s="33">
        <f t="shared" si="57"/>
        <v>1</v>
      </c>
      <c r="S69" s="34">
        <f t="shared" si="65"/>
        <v>8000</v>
      </c>
      <c r="T69" s="34">
        <f t="shared" si="58"/>
        <v>1</v>
      </c>
      <c r="U69" s="34">
        <f t="shared" si="59"/>
        <v>0</v>
      </c>
      <c r="V69" s="34">
        <f t="shared" si="60"/>
        <v>1</v>
      </c>
      <c r="W69" s="34" t="str">
        <f t="shared" si="61"/>
        <v>BKN</v>
      </c>
      <c r="X69" s="34">
        <f t="shared" si="62"/>
        <v>0</v>
      </c>
      <c r="Y69" s="34">
        <f t="shared" si="63"/>
        <v>900</v>
      </c>
      <c r="Z69" s="34">
        <f t="shared" si="64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2" t="s">
        <v>53</v>
      </c>
      <c r="K70" s="51">
        <v>900</v>
      </c>
      <c r="L70" s="1" t="s">
        <v>69</v>
      </c>
      <c r="M70" s="32">
        <f t="shared" si="54"/>
        <v>0</v>
      </c>
      <c r="N70" s="33">
        <f t="shared" si="66"/>
        <v>1</v>
      </c>
      <c r="O70" s="33">
        <f t="shared" si="55"/>
        <v>0</v>
      </c>
      <c r="P70" s="33">
        <f t="shared" si="67"/>
        <v>1</v>
      </c>
      <c r="Q70" s="34">
        <f t="shared" si="56"/>
        <v>0</v>
      </c>
      <c r="R70" s="33">
        <f t="shared" si="57"/>
        <v>1</v>
      </c>
      <c r="S70" s="34">
        <f t="shared" si="65"/>
        <v>8000</v>
      </c>
      <c r="T70" s="34">
        <f t="shared" si="58"/>
        <v>1</v>
      </c>
      <c r="U70" s="34">
        <f t="shared" si="59"/>
        <v>0</v>
      </c>
      <c r="V70" s="34">
        <f t="shared" si="60"/>
        <v>1</v>
      </c>
      <c r="W70" s="34" t="str">
        <f t="shared" si="61"/>
        <v>BKN</v>
      </c>
      <c r="X70" s="34">
        <f t="shared" si="62"/>
        <v>0</v>
      </c>
      <c r="Y70" s="34">
        <f t="shared" si="63"/>
        <v>900</v>
      </c>
      <c r="Z70" s="34">
        <f t="shared" si="64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2" t="s">
        <v>53</v>
      </c>
      <c r="K71" s="51">
        <v>900</v>
      </c>
      <c r="L71" t="s">
        <v>76</v>
      </c>
      <c r="M71" s="32">
        <f t="shared" ref="M71:M76" si="68">IF(ISNUMBER(VALUE(FIND("VRB",L71))),999,VALUE(MID(L71,20,3)))</f>
        <v>0</v>
      </c>
      <c r="N71" s="33">
        <f t="shared" ref="N71:N76" si="69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0">VALUE(MID(L71,23,2))</f>
        <v>0</v>
      </c>
      <c r="P71" s="33">
        <f t="shared" ref="P71:P76" si="71">IF(ABS(O71-F71)&lt;11,1,0)</f>
        <v>1</v>
      </c>
      <c r="Q71" s="34">
        <f t="shared" ref="Q71:Q76" si="72">IF(MID(L71,25,1)="G","GUST",0)</f>
        <v>0</v>
      </c>
      <c r="R71" s="33">
        <f t="shared" ref="R71:R76" si="73">IF(G71=Q71,1,0)</f>
        <v>1</v>
      </c>
      <c r="S71" s="34">
        <f t="shared" si="65"/>
        <v>8000</v>
      </c>
      <c r="T71" s="34">
        <f t="shared" ref="T71:T76" si="74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75">IF(AND(IFERROR(FIND("RA",L71),0)&gt;0, IFERROR(FIND("RA",L71),0)&lt;38),"RA",0)</f>
        <v>0</v>
      </c>
      <c r="V71" s="34">
        <f t="shared" ref="V71:V76" si="76">IF(U71=I71,1,0)</f>
        <v>1</v>
      </c>
      <c r="W71" s="34" t="str">
        <f t="shared" ref="W71:W76" si="77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8">IF(OR(AND(OR(J71="SKC",J71="FEW",J71="SCT"),OR(W71="SKC",W71="FEW",W71="SCT")),(AND(OR(J71="BKN",J71="OVC"),OR(W71="BKN",W71="OVC")))),1,0)</f>
        <v>0</v>
      </c>
      <c r="Y71" s="34">
        <f t="shared" ref="Y71:Y76" si="79">IF(ISNUMBER(VALUE(FIND("CAVOK",L71))),9999,IF(ISNUMBER(VALUE(FIND("NSC",L71))),9999,(MID(L71,(FIND(W71,L71)+4),2))*100))</f>
        <v>900</v>
      </c>
      <c r="Z71" s="34">
        <f t="shared" ref="Z71:Z76" si="80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2" t="s">
        <v>53</v>
      </c>
      <c r="K72" s="51">
        <v>900</v>
      </c>
      <c r="L72" s="1" t="s">
        <v>79</v>
      </c>
      <c r="M72" s="32">
        <f t="shared" si="68"/>
        <v>0</v>
      </c>
      <c r="N72" s="33">
        <f t="shared" si="69"/>
        <v>1</v>
      </c>
      <c r="O72" s="33">
        <f t="shared" si="70"/>
        <v>0</v>
      </c>
      <c r="P72" s="33">
        <f t="shared" si="71"/>
        <v>1</v>
      </c>
      <c r="Q72" s="34">
        <f t="shared" si="72"/>
        <v>0</v>
      </c>
      <c r="R72" s="33">
        <f t="shared" si="73"/>
        <v>1</v>
      </c>
      <c r="S72" s="34">
        <f t="shared" si="65"/>
        <v>8000</v>
      </c>
      <c r="T72" s="34">
        <f t="shared" si="74"/>
        <v>1</v>
      </c>
      <c r="U72" s="34">
        <f t="shared" si="75"/>
        <v>0</v>
      </c>
      <c r="V72" s="34">
        <f t="shared" si="76"/>
        <v>1</v>
      </c>
      <c r="W72" s="34" t="str">
        <f t="shared" si="77"/>
        <v>BKN</v>
      </c>
      <c r="X72" s="34">
        <f t="shared" si="78"/>
        <v>0</v>
      </c>
      <c r="Y72" s="34">
        <f t="shared" si="79"/>
        <v>900</v>
      </c>
      <c r="Z72" s="34">
        <f t="shared" si="8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2" t="s">
        <v>53</v>
      </c>
      <c r="K73" s="51">
        <v>900</v>
      </c>
      <c r="L73" s="1" t="s">
        <v>70</v>
      </c>
      <c r="M73" s="32">
        <f t="shared" si="68"/>
        <v>0</v>
      </c>
      <c r="N73" s="33">
        <f t="shared" si="69"/>
        <v>1</v>
      </c>
      <c r="O73" s="33">
        <f t="shared" si="70"/>
        <v>0</v>
      </c>
      <c r="P73" s="33">
        <f t="shared" si="71"/>
        <v>1</v>
      </c>
      <c r="Q73" s="34">
        <f t="shared" si="72"/>
        <v>0</v>
      </c>
      <c r="R73" s="33">
        <f t="shared" si="73"/>
        <v>1</v>
      </c>
      <c r="S73" s="34">
        <f t="shared" si="65"/>
        <v>8000</v>
      </c>
      <c r="T73" s="34">
        <f t="shared" si="74"/>
        <v>1</v>
      </c>
      <c r="U73" s="34">
        <f t="shared" si="75"/>
        <v>0</v>
      </c>
      <c r="V73" s="34">
        <f t="shared" si="76"/>
        <v>1</v>
      </c>
      <c r="W73" s="34" t="str">
        <f t="shared" si="77"/>
        <v>BKN</v>
      </c>
      <c r="X73" s="34">
        <f t="shared" si="78"/>
        <v>0</v>
      </c>
      <c r="Y73" s="34">
        <f t="shared" si="79"/>
        <v>900</v>
      </c>
      <c r="Z73" s="34">
        <f t="shared" si="8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2" t="s">
        <v>53</v>
      </c>
      <c r="K74" s="51">
        <v>900</v>
      </c>
      <c r="L74" s="1" t="s">
        <v>71</v>
      </c>
      <c r="M74" s="32">
        <f t="shared" si="68"/>
        <v>0</v>
      </c>
      <c r="N74" s="33">
        <f t="shared" si="69"/>
        <v>1</v>
      </c>
      <c r="O74" s="33">
        <f t="shared" si="70"/>
        <v>0</v>
      </c>
      <c r="P74" s="33">
        <f t="shared" si="71"/>
        <v>1</v>
      </c>
      <c r="Q74" s="34">
        <f t="shared" si="72"/>
        <v>0</v>
      </c>
      <c r="R74" s="33">
        <f t="shared" si="73"/>
        <v>1</v>
      </c>
      <c r="S74" s="34">
        <f t="shared" si="65"/>
        <v>8000</v>
      </c>
      <c r="T74" s="34">
        <f t="shared" si="74"/>
        <v>1</v>
      </c>
      <c r="U74" s="34">
        <f t="shared" si="75"/>
        <v>0</v>
      </c>
      <c r="V74" s="34">
        <f t="shared" si="76"/>
        <v>1</v>
      </c>
      <c r="W74" s="34" t="str">
        <f t="shared" si="77"/>
        <v>BKN</v>
      </c>
      <c r="X74" s="34">
        <f t="shared" si="78"/>
        <v>0</v>
      </c>
      <c r="Y74" s="34">
        <f t="shared" si="79"/>
        <v>900</v>
      </c>
      <c r="Z74" s="34">
        <f t="shared" si="8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2" t="s">
        <v>53</v>
      </c>
      <c r="K75" s="51">
        <v>900</v>
      </c>
      <c r="L75" s="1" t="s">
        <v>77</v>
      </c>
      <c r="M75" s="32">
        <f t="shared" si="68"/>
        <v>240</v>
      </c>
      <c r="N75" s="33">
        <f t="shared" si="69"/>
        <v>1</v>
      </c>
      <c r="O75" s="33">
        <f t="shared" si="70"/>
        <v>2</v>
      </c>
      <c r="P75" s="33">
        <f t="shared" si="71"/>
        <v>1</v>
      </c>
      <c r="Q75" s="34">
        <f t="shared" si="72"/>
        <v>0</v>
      </c>
      <c r="R75" s="33">
        <f t="shared" si="73"/>
        <v>1</v>
      </c>
      <c r="S75" s="34">
        <f t="shared" si="65"/>
        <v>8000</v>
      </c>
      <c r="T75" s="34">
        <f t="shared" si="74"/>
        <v>1</v>
      </c>
      <c r="U75" s="34">
        <f t="shared" si="75"/>
        <v>0</v>
      </c>
      <c r="V75" s="34">
        <f t="shared" si="76"/>
        <v>1</v>
      </c>
      <c r="W75" s="34" t="str">
        <f t="shared" si="77"/>
        <v>BKN</v>
      </c>
      <c r="X75" s="34">
        <f t="shared" si="78"/>
        <v>0</v>
      </c>
      <c r="Y75" s="34">
        <f t="shared" si="79"/>
        <v>900</v>
      </c>
      <c r="Z75" s="34">
        <f t="shared" si="8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2" t="s">
        <v>53</v>
      </c>
      <c r="K76" s="51">
        <v>900</v>
      </c>
      <c r="L76" s="1" t="s">
        <v>78</v>
      </c>
      <c r="M76" s="32">
        <f t="shared" si="68"/>
        <v>280</v>
      </c>
      <c r="N76" s="33">
        <f t="shared" si="69"/>
        <v>1</v>
      </c>
      <c r="O76" s="33">
        <f t="shared" si="70"/>
        <v>3</v>
      </c>
      <c r="P76" s="33">
        <f t="shared" si="71"/>
        <v>1</v>
      </c>
      <c r="Q76" s="34">
        <f t="shared" si="72"/>
        <v>0</v>
      </c>
      <c r="R76" s="33">
        <f t="shared" si="73"/>
        <v>1</v>
      </c>
      <c r="S76" s="34">
        <f t="shared" si="65"/>
        <v>8000</v>
      </c>
      <c r="T76" s="34">
        <f t="shared" si="74"/>
        <v>1</v>
      </c>
      <c r="U76" s="34">
        <f t="shared" si="75"/>
        <v>0</v>
      </c>
      <c r="V76" s="34">
        <f t="shared" si="76"/>
        <v>1</v>
      </c>
      <c r="W76" s="34" t="str">
        <f t="shared" si="77"/>
        <v>BKN</v>
      </c>
      <c r="X76" s="34">
        <f t="shared" si="78"/>
        <v>0</v>
      </c>
      <c r="Y76" s="34">
        <f t="shared" si="79"/>
        <v>900</v>
      </c>
      <c r="Z76" s="34">
        <f t="shared" si="8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12</v>
      </c>
      <c r="U80" s="25"/>
      <c r="V80" s="25">
        <f>SUM(V64:V76)</f>
        <v>12</v>
      </c>
      <c r="W80" s="25"/>
      <c r="X80" s="25">
        <f>SUM(X64:X76)</f>
        <v>3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12</v>
      </c>
      <c r="U81" s="25"/>
      <c r="V81" s="25">
        <f>SUMIF($C64:$C76,"GENERAL",V64:V76)</f>
        <v>12</v>
      </c>
      <c r="W81" s="25"/>
      <c r="X81" s="25">
        <f>SUMIF($C64:$C76,"GENERAL",X64:X76)</f>
        <v>3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100</v>
      </c>
      <c r="U85" s="38"/>
      <c r="V85" s="38">
        <f>(SUM(V81:V84)/COUNTA(V64:V76))*100</f>
        <v>100</v>
      </c>
      <c r="W85" s="38"/>
      <c r="X85" s="38">
        <f>(SUM(X81:X84)/COUNTA(X64:X76))*100</f>
        <v>25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57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</v>
      </c>
      <c r="B93" s="50">
        <v>0.75</v>
      </c>
      <c r="C93" s="51" t="s">
        <v>39</v>
      </c>
      <c r="D93" s="52"/>
      <c r="E93" s="51">
        <v>300</v>
      </c>
      <c r="F93" s="51">
        <v>3</v>
      </c>
      <c r="G93" s="51">
        <v>0</v>
      </c>
      <c r="H93" s="51">
        <v>8000</v>
      </c>
      <c r="I93" s="51">
        <v>0</v>
      </c>
      <c r="J93" s="52" t="s">
        <v>58</v>
      </c>
      <c r="K93" s="51">
        <v>900</v>
      </c>
      <c r="L93" t="s">
        <v>76</v>
      </c>
      <c r="M93" s="32">
        <f t="shared" ref="M93:M98" si="81">IF(ISNUMBER(VALUE(FIND("VRB",L93))),999,VALUE(MID(L93,20,3)))</f>
        <v>0</v>
      </c>
      <c r="N93" s="33">
        <f t="shared" ref="N93:N98" si="82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3">VALUE(MID(L93,23,2))</f>
        <v>0</v>
      </c>
      <c r="P93" s="33">
        <f t="shared" ref="P93:P98" si="84">IF(ABS(O93-F93)&lt;11,1,0)</f>
        <v>1</v>
      </c>
      <c r="Q93" s="34">
        <f t="shared" ref="Q93:Q98" si="85">IF(MID(L93,25,1)="G","GUST",0)</f>
        <v>0</v>
      </c>
      <c r="R93" s="33">
        <f t="shared" ref="R93:R98" si="86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87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8">IF(AND(IFERROR(FIND("RA",L93),0)&gt;0, IFERROR(FIND("RA",L93),0)&lt;38),"RA",0)</f>
        <v>0</v>
      </c>
      <c r="V93" s="34">
        <f t="shared" ref="V93:V98" si="89">IF(U93=I93,1,0)</f>
        <v>1</v>
      </c>
      <c r="W93" s="34" t="str">
        <f t="shared" ref="W93:W98" si="90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91">IF(OR(AND(OR(J93="SKC",J93="FEW",J93="SCT"),OR(W93="SKC",W93="FEW",W93="SCT")),(AND(OR(J93="BKN",J93="OVC"),OR(W93="BKN",W93="OVC")))),1,0)</f>
        <v>1</v>
      </c>
      <c r="Y93" s="34">
        <f t="shared" ref="Y93:Y98" si="92">IF(ISNUMBER(VALUE(FIND("CAVOK",L93))),9999,IF(ISNUMBER(VALUE(FIND("NSC",L93))),9999,(MID(L93,(FIND(W93,L93)+4),2))*100))</f>
        <v>900</v>
      </c>
      <c r="Z93" s="34">
        <f t="shared" ref="Z93:Z98" si="93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300</v>
      </c>
      <c r="F94" s="51">
        <v>3</v>
      </c>
      <c r="G94" s="51">
        <v>0</v>
      </c>
      <c r="H94" s="51">
        <v>8000</v>
      </c>
      <c r="I94" s="51">
        <v>0</v>
      </c>
      <c r="J94" s="52" t="s">
        <v>58</v>
      </c>
      <c r="K94" s="51">
        <v>900</v>
      </c>
      <c r="L94" s="1" t="s">
        <v>79</v>
      </c>
      <c r="M94" s="32">
        <f t="shared" si="81"/>
        <v>0</v>
      </c>
      <c r="N94" s="33">
        <f t="shared" si="82"/>
        <v>1</v>
      </c>
      <c r="O94" s="33">
        <f t="shared" si="83"/>
        <v>0</v>
      </c>
      <c r="P94" s="33">
        <f t="shared" si="84"/>
        <v>1</v>
      </c>
      <c r="Q94" s="34">
        <f t="shared" si="85"/>
        <v>0</v>
      </c>
      <c r="R94" s="33">
        <f t="shared" si="86"/>
        <v>1</v>
      </c>
      <c r="S94" s="34">
        <f t="shared" ref="S94:S104" si="94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7"/>
        <v>1</v>
      </c>
      <c r="U94" s="34">
        <f t="shared" si="88"/>
        <v>0</v>
      </c>
      <c r="V94" s="34">
        <f t="shared" si="89"/>
        <v>1</v>
      </c>
      <c r="W94" s="34" t="str">
        <f t="shared" si="90"/>
        <v>BKN</v>
      </c>
      <c r="X94" s="34">
        <f t="shared" si="91"/>
        <v>1</v>
      </c>
      <c r="Y94" s="34">
        <f t="shared" si="92"/>
        <v>900</v>
      </c>
      <c r="Z94" s="34">
        <f t="shared" si="93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300</v>
      </c>
      <c r="F95" s="51">
        <v>3</v>
      </c>
      <c r="G95" s="51">
        <v>0</v>
      </c>
      <c r="H95" s="51">
        <v>8000</v>
      </c>
      <c r="I95" s="51">
        <v>0</v>
      </c>
      <c r="J95" s="52" t="s">
        <v>58</v>
      </c>
      <c r="K95" s="51">
        <v>900</v>
      </c>
      <c r="L95" s="1" t="s">
        <v>70</v>
      </c>
      <c r="M95" s="32">
        <f t="shared" si="81"/>
        <v>0</v>
      </c>
      <c r="N95" s="33">
        <f t="shared" si="82"/>
        <v>1</v>
      </c>
      <c r="O95" s="33">
        <f t="shared" si="83"/>
        <v>0</v>
      </c>
      <c r="P95" s="33">
        <f t="shared" si="84"/>
        <v>1</v>
      </c>
      <c r="Q95" s="34">
        <f t="shared" si="85"/>
        <v>0</v>
      </c>
      <c r="R95" s="33">
        <f t="shared" si="86"/>
        <v>1</v>
      </c>
      <c r="S95" s="34">
        <f t="shared" si="94"/>
        <v>8000</v>
      </c>
      <c r="T95" s="34">
        <f t="shared" si="87"/>
        <v>1</v>
      </c>
      <c r="U95" s="34">
        <f t="shared" si="88"/>
        <v>0</v>
      </c>
      <c r="V95" s="34">
        <f t="shared" si="89"/>
        <v>1</v>
      </c>
      <c r="W95" s="34" t="str">
        <f t="shared" si="90"/>
        <v>BKN</v>
      </c>
      <c r="X95" s="34">
        <f t="shared" si="91"/>
        <v>1</v>
      </c>
      <c r="Y95" s="34">
        <f t="shared" si="92"/>
        <v>900</v>
      </c>
      <c r="Z95" s="34">
        <f t="shared" si="93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300</v>
      </c>
      <c r="F96" s="51">
        <v>3</v>
      </c>
      <c r="G96" s="51">
        <v>0</v>
      </c>
      <c r="H96" s="51">
        <v>8000</v>
      </c>
      <c r="I96" s="51">
        <v>0</v>
      </c>
      <c r="J96" s="52" t="s">
        <v>58</v>
      </c>
      <c r="K96" s="51">
        <v>900</v>
      </c>
      <c r="L96" s="1" t="s">
        <v>71</v>
      </c>
      <c r="M96" s="32">
        <f t="shared" si="81"/>
        <v>0</v>
      </c>
      <c r="N96" s="33">
        <f t="shared" si="82"/>
        <v>1</v>
      </c>
      <c r="O96" s="33">
        <f t="shared" si="83"/>
        <v>0</v>
      </c>
      <c r="P96" s="33">
        <f t="shared" si="84"/>
        <v>1</v>
      </c>
      <c r="Q96" s="34">
        <f t="shared" si="85"/>
        <v>0</v>
      </c>
      <c r="R96" s="33">
        <f t="shared" si="86"/>
        <v>1</v>
      </c>
      <c r="S96" s="34">
        <f t="shared" si="94"/>
        <v>8000</v>
      </c>
      <c r="T96" s="34">
        <f t="shared" si="87"/>
        <v>1</v>
      </c>
      <c r="U96" s="34">
        <f t="shared" si="88"/>
        <v>0</v>
      </c>
      <c r="V96" s="34">
        <f t="shared" si="89"/>
        <v>1</v>
      </c>
      <c r="W96" s="34" t="str">
        <f t="shared" si="90"/>
        <v>BKN</v>
      </c>
      <c r="X96" s="34">
        <f t="shared" si="91"/>
        <v>1</v>
      </c>
      <c r="Y96" s="34">
        <f t="shared" si="92"/>
        <v>900</v>
      </c>
      <c r="Z96" s="34">
        <f t="shared" si="93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300</v>
      </c>
      <c r="F97" s="51">
        <v>3</v>
      </c>
      <c r="G97" s="51">
        <v>0</v>
      </c>
      <c r="H97" s="51">
        <v>8000</v>
      </c>
      <c r="I97" s="51">
        <v>0</v>
      </c>
      <c r="J97" s="52" t="s">
        <v>58</v>
      </c>
      <c r="K97" s="51">
        <v>900</v>
      </c>
      <c r="L97" s="1" t="s">
        <v>77</v>
      </c>
      <c r="M97" s="32">
        <f t="shared" si="81"/>
        <v>240</v>
      </c>
      <c r="N97" s="33">
        <f t="shared" si="82"/>
        <v>1</v>
      </c>
      <c r="O97" s="33">
        <f t="shared" si="83"/>
        <v>2</v>
      </c>
      <c r="P97" s="33">
        <f t="shared" si="84"/>
        <v>1</v>
      </c>
      <c r="Q97" s="34">
        <f t="shared" si="85"/>
        <v>0</v>
      </c>
      <c r="R97" s="33">
        <f t="shared" si="86"/>
        <v>1</v>
      </c>
      <c r="S97" s="34">
        <f t="shared" si="94"/>
        <v>8000</v>
      </c>
      <c r="T97" s="34">
        <f t="shared" si="87"/>
        <v>1</v>
      </c>
      <c r="U97" s="34">
        <f t="shared" si="88"/>
        <v>0</v>
      </c>
      <c r="V97" s="34">
        <f t="shared" si="89"/>
        <v>1</v>
      </c>
      <c r="W97" s="34" t="str">
        <f t="shared" si="90"/>
        <v>BKN</v>
      </c>
      <c r="X97" s="34">
        <f t="shared" si="91"/>
        <v>1</v>
      </c>
      <c r="Y97" s="34">
        <f t="shared" si="92"/>
        <v>900</v>
      </c>
      <c r="Z97" s="34">
        <f t="shared" si="93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300</v>
      </c>
      <c r="F98" s="51">
        <v>3</v>
      </c>
      <c r="G98" s="51">
        <v>0</v>
      </c>
      <c r="H98" s="51">
        <v>8000</v>
      </c>
      <c r="I98" s="51">
        <v>0</v>
      </c>
      <c r="J98" s="52" t="s">
        <v>58</v>
      </c>
      <c r="K98" s="51">
        <v>900</v>
      </c>
      <c r="L98" s="1" t="s">
        <v>78</v>
      </c>
      <c r="M98" s="32">
        <f t="shared" si="81"/>
        <v>280</v>
      </c>
      <c r="N98" s="33">
        <f t="shared" si="82"/>
        <v>1</v>
      </c>
      <c r="O98" s="33">
        <f t="shared" si="83"/>
        <v>3</v>
      </c>
      <c r="P98" s="33">
        <f t="shared" si="84"/>
        <v>1</v>
      </c>
      <c r="Q98" s="34">
        <f t="shared" si="85"/>
        <v>0</v>
      </c>
      <c r="R98" s="33">
        <f t="shared" si="86"/>
        <v>1</v>
      </c>
      <c r="S98" s="34">
        <f t="shared" si="94"/>
        <v>8000</v>
      </c>
      <c r="T98" s="34">
        <f t="shared" si="87"/>
        <v>1</v>
      </c>
      <c r="U98" s="34">
        <f t="shared" si="88"/>
        <v>0</v>
      </c>
      <c r="V98" s="34">
        <f t="shared" si="89"/>
        <v>1</v>
      </c>
      <c r="W98" s="34" t="str">
        <f t="shared" si="90"/>
        <v>BKN</v>
      </c>
      <c r="X98" s="34">
        <f t="shared" si="91"/>
        <v>1</v>
      </c>
      <c r="Y98" s="34">
        <f t="shared" si="92"/>
        <v>900</v>
      </c>
      <c r="Z98" s="34">
        <f t="shared" si="93"/>
        <v>1</v>
      </c>
      <c r="AA98" s="25"/>
      <c r="AB98" s="25"/>
      <c r="AC98" s="25"/>
      <c r="AD98" s="25"/>
      <c r="AE98" s="25"/>
    </row>
    <row r="99" spans="1:31" ht="16.5">
      <c r="A99" s="55">
        <v>2</v>
      </c>
      <c r="B99" s="54">
        <v>0</v>
      </c>
      <c r="C99" s="51" t="s">
        <v>39</v>
      </c>
      <c r="D99" s="52"/>
      <c r="E99" s="51">
        <v>300</v>
      </c>
      <c r="F99" s="51">
        <v>3</v>
      </c>
      <c r="G99" s="51">
        <v>0</v>
      </c>
      <c r="H99" s="51">
        <v>8000</v>
      </c>
      <c r="I99" s="51">
        <v>0</v>
      </c>
      <c r="J99" s="52" t="s">
        <v>58</v>
      </c>
      <c r="K99" s="51">
        <v>900</v>
      </c>
      <c r="L99" s="1" t="s">
        <v>72</v>
      </c>
      <c r="M99" s="32">
        <f t="shared" ref="M99:M104" si="95">IF(ISNUMBER(VALUE(FIND("VRB",L99))),999,VALUE(MID(L99,20,3)))</f>
        <v>240</v>
      </c>
      <c r="N99" s="33">
        <f t="shared" ref="N99:N104" si="96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7">VALUE(MID(L99,23,2))</f>
        <v>3</v>
      </c>
      <c r="P99" s="33">
        <f t="shared" ref="P99:P104" si="98">IF(ABS(O99-F99)&lt;11,1,0)</f>
        <v>1</v>
      </c>
      <c r="Q99" s="34">
        <f t="shared" ref="Q99:Q104" si="99">IF(MID(L99,25,1)="G","GUST",0)</f>
        <v>0</v>
      </c>
      <c r="R99" s="33">
        <f t="shared" ref="R99:R104" si="100">IF(G99=Q99,1,0)</f>
        <v>1</v>
      </c>
      <c r="S99" s="34">
        <f t="shared" si="94"/>
        <v>8000</v>
      </c>
      <c r="T99" s="34">
        <f t="shared" ref="T99:T104" si="101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02">IF(AND(IFERROR(FIND("RA",L99),0)&gt;0, IFERROR(FIND("RA",L99),0)&lt;38),"RA",0)</f>
        <v>0</v>
      </c>
      <c r="V99" s="34">
        <f t="shared" ref="V99:V104" si="103">IF(U99=I99,1,0)</f>
        <v>1</v>
      </c>
      <c r="W99" s="34" t="str">
        <f t="shared" ref="W99:W104" si="104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05">IF(OR(AND(OR(J99="SKC",J99="FEW",J99="SCT"),OR(W99="SKC",W99="FEW",W99="SCT")),(AND(OR(J99="BKN",J99="OVC"),OR(W99="BKN",W99="OVC")))),1,0)</f>
        <v>1</v>
      </c>
      <c r="Y99" s="34">
        <f t="shared" ref="Y99:Y104" si="106">IF(ISNUMBER(VALUE(FIND("CAVOK",L99))),9999,IF(ISNUMBER(VALUE(FIND("NSC",L99))),9999,(MID(L99,(FIND(W99,L99)+4),2))*100))</f>
        <v>800</v>
      </c>
      <c r="Z99" s="34">
        <f t="shared" ref="Z99:Z104" si="107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300</v>
      </c>
      <c r="F100" s="51">
        <v>3</v>
      </c>
      <c r="G100" s="51">
        <v>0</v>
      </c>
      <c r="H100" s="51">
        <v>8000</v>
      </c>
      <c r="I100" s="51">
        <v>0</v>
      </c>
      <c r="J100" s="52" t="s">
        <v>58</v>
      </c>
      <c r="K100" s="51">
        <v>900</v>
      </c>
      <c r="L100" s="1" t="s">
        <v>73</v>
      </c>
      <c r="M100" s="32">
        <f t="shared" si="95"/>
        <v>300</v>
      </c>
      <c r="N100" s="33">
        <f t="shared" si="96"/>
        <v>1</v>
      </c>
      <c r="O100" s="33">
        <f t="shared" si="97"/>
        <v>4</v>
      </c>
      <c r="P100" s="33">
        <f t="shared" si="98"/>
        <v>1</v>
      </c>
      <c r="Q100" s="34">
        <f t="shared" si="99"/>
        <v>0</v>
      </c>
      <c r="R100" s="33">
        <f t="shared" si="100"/>
        <v>1</v>
      </c>
      <c r="S100" s="34">
        <f t="shared" si="94"/>
        <v>8000</v>
      </c>
      <c r="T100" s="34">
        <f t="shared" si="101"/>
        <v>1</v>
      </c>
      <c r="U100" s="34">
        <f t="shared" si="102"/>
        <v>0</v>
      </c>
      <c r="V100" s="34">
        <f t="shared" si="103"/>
        <v>1</v>
      </c>
      <c r="W100" s="34" t="str">
        <f t="shared" si="104"/>
        <v>SCT</v>
      </c>
      <c r="X100" s="34">
        <f t="shared" si="105"/>
        <v>0</v>
      </c>
      <c r="Y100" s="34">
        <f t="shared" si="106"/>
        <v>800</v>
      </c>
      <c r="Z100" s="34">
        <f t="shared" si="107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300</v>
      </c>
      <c r="F101" s="51">
        <v>3</v>
      </c>
      <c r="G101" s="51">
        <v>0</v>
      </c>
      <c r="H101" s="51">
        <v>8000</v>
      </c>
      <c r="I101" s="51">
        <v>0</v>
      </c>
      <c r="J101" s="52" t="s">
        <v>58</v>
      </c>
      <c r="K101" s="51">
        <v>900</v>
      </c>
      <c r="L101" s="1" t="s">
        <v>74</v>
      </c>
      <c r="M101" s="32">
        <f t="shared" si="95"/>
        <v>260</v>
      </c>
      <c r="N101" s="33">
        <f t="shared" si="96"/>
        <v>1</v>
      </c>
      <c r="O101" s="33">
        <f t="shared" si="97"/>
        <v>5</v>
      </c>
      <c r="P101" s="33">
        <f t="shared" si="98"/>
        <v>1</v>
      </c>
      <c r="Q101" s="34">
        <f t="shared" si="99"/>
        <v>0</v>
      </c>
      <c r="R101" s="33">
        <f t="shared" si="100"/>
        <v>1</v>
      </c>
      <c r="S101" s="34">
        <f t="shared" si="94"/>
        <v>8000</v>
      </c>
      <c r="T101" s="34">
        <f t="shared" si="101"/>
        <v>1</v>
      </c>
      <c r="U101" s="34">
        <f t="shared" si="102"/>
        <v>0</v>
      </c>
      <c r="V101" s="34">
        <f t="shared" si="103"/>
        <v>1</v>
      </c>
      <c r="W101" s="34" t="str">
        <f t="shared" si="104"/>
        <v>SCT</v>
      </c>
      <c r="X101" s="34">
        <f t="shared" si="105"/>
        <v>0</v>
      </c>
      <c r="Y101" s="34">
        <f t="shared" si="106"/>
        <v>1000</v>
      </c>
      <c r="Z101" s="34">
        <f t="shared" si="107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300</v>
      </c>
      <c r="F102" s="51">
        <v>3</v>
      </c>
      <c r="G102" s="51">
        <v>0</v>
      </c>
      <c r="H102" s="51">
        <v>8000</v>
      </c>
      <c r="I102" s="51">
        <v>0</v>
      </c>
      <c r="J102" s="52" t="s">
        <v>58</v>
      </c>
      <c r="K102" s="51">
        <v>900</v>
      </c>
      <c r="L102" s="1" t="s">
        <v>75</v>
      </c>
      <c r="M102" s="32">
        <f t="shared" si="95"/>
        <v>310</v>
      </c>
      <c r="N102" s="33">
        <f t="shared" si="96"/>
        <v>1</v>
      </c>
      <c r="O102" s="33">
        <f t="shared" si="97"/>
        <v>5</v>
      </c>
      <c r="P102" s="33">
        <f t="shared" si="98"/>
        <v>1</v>
      </c>
      <c r="Q102" s="34">
        <f t="shared" si="99"/>
        <v>0</v>
      </c>
      <c r="R102" s="33">
        <f t="shared" si="100"/>
        <v>1</v>
      </c>
      <c r="S102" s="34">
        <f t="shared" si="94"/>
        <v>8000</v>
      </c>
      <c r="T102" s="34">
        <f t="shared" si="101"/>
        <v>1</v>
      </c>
      <c r="U102" s="34">
        <f t="shared" si="102"/>
        <v>0</v>
      </c>
      <c r="V102" s="34">
        <f t="shared" si="103"/>
        <v>1</v>
      </c>
      <c r="W102" s="34" t="str">
        <f t="shared" si="104"/>
        <v>SCT</v>
      </c>
      <c r="X102" s="34">
        <f t="shared" si="105"/>
        <v>0</v>
      </c>
      <c r="Y102" s="34">
        <f t="shared" si="106"/>
        <v>900</v>
      </c>
      <c r="Z102" s="34">
        <f t="shared" si="107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300</v>
      </c>
      <c r="F103" s="51">
        <v>3</v>
      </c>
      <c r="G103" s="51">
        <v>0</v>
      </c>
      <c r="H103" s="51">
        <v>8000</v>
      </c>
      <c r="I103" s="51">
        <v>0</v>
      </c>
      <c r="J103" s="52" t="s">
        <v>58</v>
      </c>
      <c r="K103" s="51">
        <v>900</v>
      </c>
      <c r="L103" s="1" t="s">
        <v>80</v>
      </c>
      <c r="M103" s="32">
        <f t="shared" si="95"/>
        <v>320</v>
      </c>
      <c r="N103" s="33">
        <f t="shared" si="96"/>
        <v>1</v>
      </c>
      <c r="O103" s="33">
        <f t="shared" si="97"/>
        <v>4</v>
      </c>
      <c r="P103" s="33">
        <f t="shared" si="98"/>
        <v>1</v>
      </c>
      <c r="Q103" s="34">
        <f t="shared" si="99"/>
        <v>0</v>
      </c>
      <c r="R103" s="33">
        <f t="shared" si="100"/>
        <v>1</v>
      </c>
      <c r="S103" s="34">
        <f t="shared" si="94"/>
        <v>8000</v>
      </c>
      <c r="T103" s="34">
        <f t="shared" si="101"/>
        <v>1</v>
      </c>
      <c r="U103" s="34">
        <f t="shared" si="102"/>
        <v>0</v>
      </c>
      <c r="V103" s="34">
        <f t="shared" si="103"/>
        <v>1</v>
      </c>
      <c r="W103" s="34" t="str">
        <f t="shared" si="104"/>
        <v>FEW</v>
      </c>
      <c r="X103" s="34">
        <f t="shared" si="105"/>
        <v>0</v>
      </c>
      <c r="Y103" s="34">
        <f t="shared" si="106"/>
        <v>800</v>
      </c>
      <c r="Z103" s="34">
        <f t="shared" si="107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300</v>
      </c>
      <c r="F104" s="51">
        <v>3</v>
      </c>
      <c r="G104" s="51">
        <v>0</v>
      </c>
      <c r="H104" s="51">
        <v>8000</v>
      </c>
      <c r="I104" s="51">
        <v>0</v>
      </c>
      <c r="J104" s="52" t="s">
        <v>58</v>
      </c>
      <c r="K104" s="51">
        <v>900</v>
      </c>
      <c r="L104" s="1" t="s">
        <v>81</v>
      </c>
      <c r="M104" s="32">
        <f t="shared" si="95"/>
        <v>310</v>
      </c>
      <c r="N104" s="33">
        <f t="shared" si="96"/>
        <v>1</v>
      </c>
      <c r="O104" s="33">
        <f t="shared" si="97"/>
        <v>4</v>
      </c>
      <c r="P104" s="33">
        <f t="shared" si="98"/>
        <v>1</v>
      </c>
      <c r="Q104" s="34">
        <f t="shared" si="99"/>
        <v>0</v>
      </c>
      <c r="R104" s="33">
        <f t="shared" si="100"/>
        <v>1</v>
      </c>
      <c r="S104" s="34">
        <f t="shared" si="94"/>
        <v>8000</v>
      </c>
      <c r="T104" s="34">
        <f t="shared" si="101"/>
        <v>1</v>
      </c>
      <c r="U104" s="34">
        <f t="shared" si="102"/>
        <v>0</v>
      </c>
      <c r="V104" s="34">
        <f t="shared" si="103"/>
        <v>1</v>
      </c>
      <c r="W104" s="34" t="str">
        <f t="shared" si="104"/>
        <v>FEW</v>
      </c>
      <c r="X104" s="34">
        <f t="shared" si="105"/>
        <v>0</v>
      </c>
      <c r="Y104" s="34">
        <f t="shared" si="106"/>
        <v>800</v>
      </c>
      <c r="Z104" s="34">
        <f t="shared" si="107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7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7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58.333333333333336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1AD-D568-BC42-9725-F6DAD3B9464F}">
  <sheetPr>
    <tabColor theme="0"/>
  </sheetPr>
  <dimension ref="A1:AE115"/>
  <sheetViews>
    <sheetView topLeftCell="A94" zoomScale="90" zoomScaleNormal="90" workbookViewId="0">
      <selection activeCell="C71" sqref="C71"/>
    </sheetView>
  </sheetViews>
  <sheetFormatPr defaultColWidth="11.5" defaultRowHeight="15.75"/>
  <cols>
    <col min="12" max="12" width="41.7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59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</v>
      </c>
      <c r="B7" s="28">
        <v>0</v>
      </c>
      <c r="C7" s="29" t="s">
        <v>39</v>
      </c>
      <c r="D7" s="29"/>
      <c r="E7" s="29">
        <v>330</v>
      </c>
      <c r="F7" s="29">
        <v>2</v>
      </c>
      <c r="G7" s="29">
        <v>0</v>
      </c>
      <c r="H7" s="29">
        <v>8000</v>
      </c>
      <c r="I7" s="29">
        <v>0</v>
      </c>
      <c r="J7" s="30" t="s">
        <v>51</v>
      </c>
      <c r="K7" s="29">
        <v>800</v>
      </c>
      <c r="L7" s="1" t="s">
        <v>72</v>
      </c>
      <c r="M7" s="32">
        <f t="shared" ref="M7:M18" si="0">IF(ISNUMBER(VALUE(FIND("VRB",L7))),999,VALUE(MID(L7,20,3)))</f>
        <v>240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3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4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4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0">IF(OR(AND(OR(J7="SKC",J7="FEW",J7="SCT"),OR(W7="SKC",W7="FEW",W7="SCT")),(AND(OR(J7="BKN",J7="OVC"),OR(W7="BKN",W7="OVC")))),1,0)</f>
        <v>0</v>
      </c>
      <c r="Y7" s="34">
        <f t="shared" ref="Y7:Y14" si="11">IF(ISNUMBER(VALUE(FIND("CAVOK",L7))),9999,IF(ISNUMBER(VALUE(FIND("NSC",L7))),9999,(MID(L7,(FIND(W7,L7)+4),2))*100))</f>
        <v>800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330</v>
      </c>
      <c r="F8" s="29">
        <v>2</v>
      </c>
      <c r="G8" s="29">
        <v>0</v>
      </c>
      <c r="H8" s="29">
        <v>8000</v>
      </c>
      <c r="I8" s="29">
        <v>0</v>
      </c>
      <c r="J8" s="30" t="s">
        <v>51</v>
      </c>
      <c r="K8" s="29">
        <v>800</v>
      </c>
      <c r="L8" s="1" t="s">
        <v>73</v>
      </c>
      <c r="M8" s="32">
        <f t="shared" si="0"/>
        <v>300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SCT</v>
      </c>
      <c r="X8" s="34">
        <f t="shared" si="10"/>
        <v>1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330</v>
      </c>
      <c r="F9" s="29">
        <v>2</v>
      </c>
      <c r="G9" s="29">
        <v>0</v>
      </c>
      <c r="H9" s="29">
        <v>8000</v>
      </c>
      <c r="I9" s="29">
        <v>0</v>
      </c>
      <c r="J9" s="30" t="s">
        <v>51</v>
      </c>
      <c r="K9" s="29">
        <v>800</v>
      </c>
      <c r="L9" s="1" t="s">
        <v>74</v>
      </c>
      <c r="M9" s="32">
        <f t="shared" si="0"/>
        <v>260</v>
      </c>
      <c r="N9" s="33">
        <f t="shared" si="1"/>
        <v>1</v>
      </c>
      <c r="O9" s="33">
        <f t="shared" si="2"/>
        <v>5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SCT</v>
      </c>
      <c r="X9" s="34">
        <f t="shared" si="10"/>
        <v>1</v>
      </c>
      <c r="Y9" s="34">
        <f t="shared" si="11"/>
        <v>1000</v>
      </c>
      <c r="Z9" s="34">
        <f t="shared" si="12"/>
        <v>0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330</v>
      </c>
      <c r="F10" s="29">
        <v>2</v>
      </c>
      <c r="G10" s="29">
        <v>0</v>
      </c>
      <c r="H10" s="29">
        <v>8000</v>
      </c>
      <c r="I10" s="29">
        <v>0</v>
      </c>
      <c r="J10" s="30" t="s">
        <v>51</v>
      </c>
      <c r="K10" s="29">
        <v>800</v>
      </c>
      <c r="L10" s="1" t="s">
        <v>75</v>
      </c>
      <c r="M10" s="32">
        <f t="shared" si="0"/>
        <v>310</v>
      </c>
      <c r="N10" s="33">
        <f t="shared" si="1"/>
        <v>1</v>
      </c>
      <c r="O10" s="33">
        <f t="shared" si="2"/>
        <v>5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SCT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330</v>
      </c>
      <c r="F11" s="29">
        <v>2</v>
      </c>
      <c r="G11" s="29">
        <v>0</v>
      </c>
      <c r="H11" s="29">
        <v>8000</v>
      </c>
      <c r="I11" s="29">
        <v>0</v>
      </c>
      <c r="J11" s="30" t="s">
        <v>51</v>
      </c>
      <c r="K11" s="29">
        <v>800</v>
      </c>
      <c r="L11" s="1" t="s">
        <v>80</v>
      </c>
      <c r="M11" s="32">
        <f t="shared" si="0"/>
        <v>320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FEW</v>
      </c>
      <c r="X11" s="34">
        <f t="shared" si="10"/>
        <v>1</v>
      </c>
      <c r="Y11" s="34">
        <f t="shared" si="11"/>
        <v>800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330</v>
      </c>
      <c r="F12" s="29">
        <v>2</v>
      </c>
      <c r="G12" s="29">
        <v>0</v>
      </c>
      <c r="H12" s="29">
        <v>8000</v>
      </c>
      <c r="I12" s="29">
        <v>0</v>
      </c>
      <c r="J12" s="30" t="s">
        <v>51</v>
      </c>
      <c r="K12" s="29">
        <v>800</v>
      </c>
      <c r="L12" s="1" t="s">
        <v>81</v>
      </c>
      <c r="M12" s="32">
        <f t="shared" si="0"/>
        <v>310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FEW</v>
      </c>
      <c r="X12" s="34">
        <f t="shared" si="10"/>
        <v>1</v>
      </c>
      <c r="Y12" s="34">
        <f t="shared" si="11"/>
        <v>800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330</v>
      </c>
      <c r="F13" s="29">
        <v>2</v>
      </c>
      <c r="G13" s="29">
        <v>0</v>
      </c>
      <c r="H13" s="29">
        <v>8000</v>
      </c>
      <c r="I13" s="29">
        <v>0</v>
      </c>
      <c r="J13" s="30" t="s">
        <v>51</v>
      </c>
      <c r="K13" s="29">
        <v>800</v>
      </c>
      <c r="L13" s="1" t="s">
        <v>82</v>
      </c>
      <c r="M13" s="32">
        <f t="shared" si="0"/>
        <v>280</v>
      </c>
      <c r="N13" s="33">
        <f t="shared" si="1"/>
        <v>1</v>
      </c>
      <c r="O13" s="33">
        <f t="shared" si="2"/>
        <v>2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FEW</v>
      </c>
      <c r="X13" s="34">
        <f t="shared" si="10"/>
        <v>1</v>
      </c>
      <c r="Y13" s="34">
        <f t="shared" si="11"/>
        <v>800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330</v>
      </c>
      <c r="F14" s="29">
        <v>2</v>
      </c>
      <c r="G14" s="29">
        <v>0</v>
      </c>
      <c r="H14" s="29">
        <v>8000</v>
      </c>
      <c r="I14" s="29">
        <v>0</v>
      </c>
      <c r="J14" s="30" t="s">
        <v>51</v>
      </c>
      <c r="K14" s="29">
        <v>800</v>
      </c>
      <c r="L14" s="1" t="s">
        <v>84</v>
      </c>
      <c r="M14" s="32">
        <f t="shared" si="0"/>
        <v>130</v>
      </c>
      <c r="N14" s="33">
        <f t="shared" si="1"/>
        <v>1</v>
      </c>
      <c r="O14" s="33">
        <f t="shared" si="2"/>
        <v>4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5000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FEW</v>
      </c>
      <c r="X14" s="34">
        <f t="shared" si="10"/>
        <v>1</v>
      </c>
      <c r="Y14" s="34">
        <f t="shared" si="11"/>
        <v>800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40</v>
      </c>
      <c r="D15" s="29"/>
      <c r="E15" s="29">
        <v>330</v>
      </c>
      <c r="F15" s="29">
        <v>2</v>
      </c>
      <c r="G15" s="29">
        <v>0</v>
      </c>
      <c r="H15" s="29">
        <v>4000</v>
      </c>
      <c r="I15" s="29" t="s">
        <v>52</v>
      </c>
      <c r="J15" s="30" t="s">
        <v>51</v>
      </c>
      <c r="K15" s="29">
        <v>800</v>
      </c>
      <c r="L15" s="1" t="s">
        <v>164</v>
      </c>
      <c r="M15" s="32">
        <f t="shared" si="0"/>
        <v>120</v>
      </c>
      <c r="N15" s="33">
        <f t="shared" si="1"/>
        <v>1</v>
      </c>
      <c r="O15" s="33">
        <f t="shared" si="2"/>
        <v>4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3"/>
        <v>8000</v>
      </c>
      <c r="T15" s="34">
        <f t="shared" si="6"/>
        <v>0</v>
      </c>
      <c r="U15" s="34">
        <f>IF(AND(IFERROR(FIND("RA",L15),0)&gt;0, IFERROR(FIND("RA",L15),0)&lt;38),"RA",0)</f>
        <v>0</v>
      </c>
      <c r="V15" s="34">
        <f t="shared" si="8"/>
        <v>0</v>
      </c>
      <c r="W15" s="34" t="str">
        <f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FEW</v>
      </c>
      <c r="X15" s="34">
        <f t="shared" si="10"/>
        <v>1</v>
      </c>
      <c r="Y15" s="34">
        <f>IF(ISNUMBER(VALUE(FIND("CAVOK",L15))),9999,IF(ISNUMBER(VALUE(FIND("NSC",L15))),9999,(MID(L15,(FIND(W15,L15)+4),2))*100))</f>
        <v>800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40</v>
      </c>
      <c r="D16" s="29"/>
      <c r="E16" s="29">
        <v>330</v>
      </c>
      <c r="F16" s="29">
        <v>2</v>
      </c>
      <c r="G16" s="29">
        <v>0</v>
      </c>
      <c r="H16" s="29">
        <v>4001</v>
      </c>
      <c r="I16" s="29" t="s">
        <v>52</v>
      </c>
      <c r="J16" s="30" t="s">
        <v>51</v>
      </c>
      <c r="K16" s="29">
        <v>800</v>
      </c>
      <c r="L16" s="1" t="s">
        <v>165</v>
      </c>
      <c r="M16" s="32">
        <f t="shared" si="0"/>
        <v>120</v>
      </c>
      <c r="N16" s="33">
        <f t="shared" si="1"/>
        <v>1</v>
      </c>
      <c r="O16" s="33">
        <f t="shared" si="2"/>
        <v>4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3"/>
        <v>8000</v>
      </c>
      <c r="T16" s="34">
        <f t="shared" si="6"/>
        <v>0</v>
      </c>
      <c r="U16" s="34">
        <f>IF(AND(IFERROR(FIND("RA",L16),0)&gt;0, IFERROR(FIND("RA",L16),0)&lt;38),"RA",0)</f>
        <v>0</v>
      </c>
      <c r="V16" s="34">
        <f t="shared" si="8"/>
        <v>0</v>
      </c>
      <c r="W16" s="34" t="str">
        <f>IF(ISNUMBER(VALUE(FIND("FEW",L16))),"FEW",IF(ISNUMBER(VALUE(FIND("SCT",L16))),"SCT",IF(ISNUMBER(VALUE(FIND("BKN",L16))),"BKN",IF(ISNUMBER(VALUE(FIND("OVC",L16))),"OVC",IF(ISNUMBER(VALUE(FIND("SKC",L16))),"SKC",IF(ISNUMBER(VALUE(FIND("CAVOK",L16))),"SKC",IF(ISNUMBER(VALUE(FIND("NSC",L16))),"SKC","EROR")))))))</f>
        <v>FEW</v>
      </c>
      <c r="X16" s="34">
        <f t="shared" si="10"/>
        <v>1</v>
      </c>
      <c r="Y16" s="34">
        <f>IF(ISNUMBER(VALUE(FIND("CAVOK",L16))),9999,IF(ISNUMBER(VALUE(FIND("NSC",L16))),9999,(MID(L16,(FIND(W16,L16)+4),2))*100))</f>
        <v>800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40</v>
      </c>
      <c r="D17" s="29"/>
      <c r="E17" s="29">
        <v>330</v>
      </c>
      <c r="F17" s="29">
        <v>2</v>
      </c>
      <c r="G17" s="29">
        <v>0</v>
      </c>
      <c r="H17" s="29">
        <v>4002</v>
      </c>
      <c r="I17" s="29" t="s">
        <v>52</v>
      </c>
      <c r="J17" s="30" t="s">
        <v>51</v>
      </c>
      <c r="K17" s="29">
        <v>800</v>
      </c>
      <c r="L17" s="1" t="s">
        <v>166</v>
      </c>
      <c r="M17" s="32">
        <f t="shared" si="0"/>
        <v>120</v>
      </c>
      <c r="N17" s="33">
        <f t="shared" si="1"/>
        <v>1</v>
      </c>
      <c r="O17" s="33">
        <f t="shared" si="2"/>
        <v>4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3"/>
        <v>8000</v>
      </c>
      <c r="T17" s="34">
        <f t="shared" si="6"/>
        <v>0</v>
      </c>
      <c r="U17" s="34">
        <f>IF(AND(IFERROR(FIND("RA",L17),0)&gt;0, IFERROR(FIND("RA",L17),0)&lt;38),"RA",0)</f>
        <v>0</v>
      </c>
      <c r="V17" s="34">
        <f t="shared" si="8"/>
        <v>0</v>
      </c>
      <c r="W17" s="34" t="str">
        <f>IF(ISNUMBER(VALUE(FIND("FEW",L17))),"FEW",IF(ISNUMBER(VALUE(FIND("SCT",L17))),"SCT",IF(ISNUMBER(VALUE(FIND("BKN",L17))),"BKN",IF(ISNUMBER(VALUE(FIND("OVC",L17))),"OVC",IF(ISNUMBER(VALUE(FIND("SKC",L17))),"SKC",IF(ISNUMBER(VALUE(FIND("CAVOK",L17))),"SKC",IF(ISNUMBER(VALUE(FIND("NSC",L17))),"SKC","EROR")))))))</f>
        <v>FEW</v>
      </c>
      <c r="X17" s="34">
        <f t="shared" si="10"/>
        <v>1</v>
      </c>
      <c r="Y17" s="34">
        <f>IF(ISNUMBER(VALUE(FIND("CAVOK",L17))),9999,IF(ISNUMBER(VALUE(FIND("NSC",L17))),9999,(MID(L17,(FIND(W17,L17)+4),2))*100))</f>
        <v>800</v>
      </c>
      <c r="Z17" s="34">
        <f t="shared" si="12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40</v>
      </c>
      <c r="D18" s="29"/>
      <c r="E18" s="29">
        <v>330</v>
      </c>
      <c r="F18" s="29">
        <v>2</v>
      </c>
      <c r="G18" s="29">
        <v>0</v>
      </c>
      <c r="H18" s="29">
        <v>4003</v>
      </c>
      <c r="I18" s="29" t="s">
        <v>52</v>
      </c>
      <c r="J18" s="30" t="s">
        <v>51</v>
      </c>
      <c r="K18" s="29">
        <v>800</v>
      </c>
      <c r="L18" s="1" t="s">
        <v>167</v>
      </c>
      <c r="M18" s="32">
        <f t="shared" si="0"/>
        <v>110</v>
      </c>
      <c r="N18" s="33">
        <f t="shared" si="1"/>
        <v>1</v>
      </c>
      <c r="O18" s="33">
        <f t="shared" si="2"/>
        <v>5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3"/>
        <v>8000</v>
      </c>
      <c r="T18" s="34">
        <f t="shared" si="6"/>
        <v>0</v>
      </c>
      <c r="U18" s="34">
        <f>IF(AND(IFERROR(FIND("RA",L18),0)&gt;0, IFERROR(FIND("RA",L18),0)&lt;38),"RA",0)</f>
        <v>0</v>
      </c>
      <c r="V18" s="34">
        <f t="shared" si="8"/>
        <v>0</v>
      </c>
      <c r="W18" s="34" t="str">
        <f>IF(ISNUMBER(VALUE(FIND("FEW",L18))),"FEW",IF(ISNUMBER(VALUE(FIND("SCT",L18))),"SCT",IF(ISNUMBER(VALUE(FIND("BKN",L18))),"BKN",IF(ISNUMBER(VALUE(FIND("OVC",L18))),"OVC",IF(ISNUMBER(VALUE(FIND("SKC",L18))),"SKC",IF(ISNUMBER(VALUE(FIND("CAVOK",L18))),"SKC",IF(ISNUMBER(VALUE(FIND("NSC",L18))),"SKC","EROR")))))))</f>
        <v>FEW</v>
      </c>
      <c r="X18" s="34">
        <f t="shared" si="10"/>
        <v>1</v>
      </c>
      <c r="Y18" s="34">
        <f>IF(ISNUMBER(VALUE(FIND("CAVOK",L18))),9999,IF(ISNUMBER(VALUE(FIND("NSC",L18))),9999,(MID(L18,(FIND(W18,L18)+4),2))*100))</f>
        <v>800</v>
      </c>
      <c r="Z18" s="34">
        <f t="shared" si="12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8</v>
      </c>
      <c r="U23" s="25"/>
      <c r="V23" s="25">
        <f>SUM(V7:V18)</f>
        <v>8</v>
      </c>
      <c r="W23" s="25"/>
      <c r="X23" s="25">
        <f>SUM(X7:X18)</f>
        <v>11</v>
      </c>
      <c r="Y23" s="25"/>
      <c r="Z23" s="25">
        <f>SUM(Z7:Z18)</f>
        <v>11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8</v>
      </c>
      <c r="O24" s="25"/>
      <c r="P24" s="25">
        <f>SUMIF($C7:$C18,"GENERAL",P7:P18)</f>
        <v>8</v>
      </c>
      <c r="Q24" s="25"/>
      <c r="R24" s="25">
        <f>SUMIF($C7:$C18,"GENERAL",R7:R18)</f>
        <v>8</v>
      </c>
      <c r="S24" s="25"/>
      <c r="T24" s="25">
        <f>SUMIF($C7:$C18,"GENERAL",T7:T18)</f>
        <v>8</v>
      </c>
      <c r="U24" s="25"/>
      <c r="V24" s="25">
        <f>SUMIF($C7:$C18,"GENERAL",V7:V18)</f>
        <v>8</v>
      </c>
      <c r="W24" s="25"/>
      <c r="X24" s="25">
        <f>SUMIF($C7:$C18,"GENERAL",X7:X18)</f>
        <v>7</v>
      </c>
      <c r="Y24" s="25"/>
      <c r="Z24" s="25">
        <f>SUMIF($C7:$C18,"GENERAL",Z7:Z18)</f>
        <v>7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4</v>
      </c>
      <c r="M27" s="42">
        <f>SUMIF($C7:$C18,"TEMPO",N7:N18)</f>
        <v>4</v>
      </c>
      <c r="N27" s="42">
        <f>M27</f>
        <v>4</v>
      </c>
      <c r="O27" s="42">
        <f>SUMIF($C7:$C18,"TEMPO",P7:P18)</f>
        <v>4</v>
      </c>
      <c r="P27" s="42">
        <f>O27</f>
        <v>4</v>
      </c>
      <c r="Q27" s="42">
        <f>SUMIF($C7:$C18,"TEMPO",R7:R18)</f>
        <v>4</v>
      </c>
      <c r="R27" s="42">
        <f>Q27</f>
        <v>4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4</v>
      </c>
      <c r="X27" s="42">
        <f>W27</f>
        <v>4</v>
      </c>
      <c r="Y27" s="42">
        <f>SUMIF($C7:$C18,"TEMPO",Z7:Z18)</f>
        <v>4</v>
      </c>
      <c r="Z27" s="42">
        <f>Y27</f>
        <v>4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66.666666666666657</v>
      </c>
      <c r="U28" s="38"/>
      <c r="V28" s="38">
        <f>(SUM(V24:V27)/COUNTA(V7:V18))*100</f>
        <v>66.666666666666657</v>
      </c>
      <c r="W28" s="38"/>
      <c r="X28" s="38">
        <f>(SUM(X24:X27)/COUNTA(X7:X18))*100</f>
        <v>91.666666666666657</v>
      </c>
      <c r="Y28" s="38"/>
      <c r="Z28" s="38">
        <f>(SUM(Z24:Z27)/COUNTA(Z7:Z18))*100</f>
        <v>91.666666666666657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83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</v>
      </c>
      <c r="B36" s="28">
        <v>0.25</v>
      </c>
      <c r="C36" s="29" t="s">
        <v>39</v>
      </c>
      <c r="D36" s="30"/>
      <c r="E36" s="29">
        <v>290</v>
      </c>
      <c r="F36" s="29">
        <v>3</v>
      </c>
      <c r="G36" s="29">
        <v>0</v>
      </c>
      <c r="H36" s="29">
        <v>8000</v>
      </c>
      <c r="I36" s="29">
        <v>0</v>
      </c>
      <c r="J36" s="30" t="s">
        <v>53</v>
      </c>
      <c r="K36" s="29">
        <v>900</v>
      </c>
      <c r="L36" s="1" t="s">
        <v>82</v>
      </c>
      <c r="M36" s="32">
        <f t="shared" ref="M36:M47" si="14">IF(ISNUMBER(VALUE(FIND("VRB",L36))),999,VALUE(MID(L36,20,3)))</f>
        <v>280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2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1">IF(AND(IFERROR(FIND("RA",L36),0)&gt;0, IFERROR(FIND("RA",L36),0)&lt;38),"RA",0)</f>
        <v>0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FEW</v>
      </c>
      <c r="X36" s="34">
        <f t="shared" ref="X36:X47" si="24">IF(OR(AND(OR(J36="SKC",J36="FEW",J36="SCT"),OR(W36="SKC",W36="FEW",W36="SCT")),(AND(OR(J36="BKN",J36="OVC"),OR(W36="BKN",W36="OVC")))),1,0)</f>
        <v>1</v>
      </c>
      <c r="Y36" s="34">
        <f t="shared" ref="Y36:Y47" si="25">IF(ISNUMBER(VALUE(FIND("CAVOK",L36))),9999,IF(ISNUMBER(VALUE(FIND("NSC",L36))),9999,(MID(L36,(FIND(W36,L36)+4),2))*100))</f>
        <v>800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290</v>
      </c>
      <c r="F37" s="29">
        <v>3</v>
      </c>
      <c r="G37" s="29">
        <v>0</v>
      </c>
      <c r="H37" s="29">
        <v>8000</v>
      </c>
      <c r="I37" s="29">
        <v>0</v>
      </c>
      <c r="J37" s="30" t="s">
        <v>53</v>
      </c>
      <c r="K37" s="29">
        <v>900</v>
      </c>
      <c r="L37" s="1" t="s">
        <v>84</v>
      </c>
      <c r="M37" s="32">
        <f t="shared" si="14"/>
        <v>130</v>
      </c>
      <c r="N37" s="33">
        <f t="shared" si="15"/>
        <v>1</v>
      </c>
      <c r="O37" s="33">
        <f t="shared" si="16"/>
        <v>4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5000</v>
      </c>
      <c r="T37" s="34">
        <f t="shared" si="20"/>
        <v>1</v>
      </c>
      <c r="U37" s="34">
        <f t="shared" si="21"/>
        <v>0</v>
      </c>
      <c r="V37" s="34">
        <f t="shared" si="22"/>
        <v>1</v>
      </c>
      <c r="W37" s="34" t="str">
        <f t="shared" si="23"/>
        <v>FEW</v>
      </c>
      <c r="X37" s="34">
        <f t="shared" si="24"/>
        <v>1</v>
      </c>
      <c r="Y37" s="34">
        <f t="shared" si="25"/>
        <v>800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290</v>
      </c>
      <c r="F38" s="29">
        <v>3</v>
      </c>
      <c r="G38" s="29">
        <v>0</v>
      </c>
      <c r="H38" s="29">
        <v>8000</v>
      </c>
      <c r="I38" s="29">
        <v>0</v>
      </c>
      <c r="J38" s="30" t="s">
        <v>53</v>
      </c>
      <c r="K38" s="29">
        <v>900</v>
      </c>
      <c r="L38" s="1" t="s">
        <v>164</v>
      </c>
      <c r="M38" s="32">
        <f t="shared" si="14"/>
        <v>120</v>
      </c>
      <c r="N38" s="33">
        <f t="shared" si="15"/>
        <v>1</v>
      </c>
      <c r="O38" s="33">
        <f t="shared" si="16"/>
        <v>4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8000</v>
      </c>
      <c r="T38" s="34">
        <f t="shared" si="20"/>
        <v>1</v>
      </c>
      <c r="U38" s="34">
        <f t="shared" si="21"/>
        <v>0</v>
      </c>
      <c r="V38" s="34">
        <f t="shared" si="22"/>
        <v>1</v>
      </c>
      <c r="W38" s="34" t="str">
        <f t="shared" si="23"/>
        <v>FEW</v>
      </c>
      <c r="X38" s="34">
        <f t="shared" si="24"/>
        <v>1</v>
      </c>
      <c r="Y38" s="34">
        <f t="shared" si="25"/>
        <v>800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290</v>
      </c>
      <c r="F39" s="29">
        <v>3</v>
      </c>
      <c r="G39" s="29">
        <v>0</v>
      </c>
      <c r="H39" s="29">
        <v>8000</v>
      </c>
      <c r="I39" s="29">
        <v>0</v>
      </c>
      <c r="J39" s="30" t="s">
        <v>53</v>
      </c>
      <c r="K39" s="29">
        <v>900</v>
      </c>
      <c r="L39" s="1" t="s">
        <v>165</v>
      </c>
      <c r="M39" s="32">
        <f t="shared" si="14"/>
        <v>120</v>
      </c>
      <c r="N39" s="33">
        <f t="shared" si="15"/>
        <v>1</v>
      </c>
      <c r="O39" s="33">
        <f t="shared" si="16"/>
        <v>4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8000</v>
      </c>
      <c r="T39" s="34">
        <f t="shared" si="20"/>
        <v>1</v>
      </c>
      <c r="U39" s="34">
        <f t="shared" si="21"/>
        <v>0</v>
      </c>
      <c r="V39" s="34">
        <f t="shared" si="22"/>
        <v>1</v>
      </c>
      <c r="W39" s="34" t="str">
        <f t="shared" si="23"/>
        <v>FEW</v>
      </c>
      <c r="X39" s="34">
        <f t="shared" si="24"/>
        <v>1</v>
      </c>
      <c r="Y39" s="34">
        <f t="shared" si="25"/>
        <v>800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290</v>
      </c>
      <c r="F40" s="29">
        <v>3</v>
      </c>
      <c r="G40" s="29">
        <v>0</v>
      </c>
      <c r="H40" s="29">
        <v>8000</v>
      </c>
      <c r="I40" s="29">
        <v>0</v>
      </c>
      <c r="J40" s="30" t="s">
        <v>53</v>
      </c>
      <c r="K40" s="29">
        <v>900</v>
      </c>
      <c r="L40" s="1" t="s">
        <v>166</v>
      </c>
      <c r="M40" s="32">
        <f t="shared" si="14"/>
        <v>120</v>
      </c>
      <c r="N40" s="33">
        <f t="shared" si="15"/>
        <v>1</v>
      </c>
      <c r="O40" s="33">
        <f t="shared" si="16"/>
        <v>4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8000</v>
      </c>
      <c r="T40" s="34">
        <f t="shared" si="20"/>
        <v>1</v>
      </c>
      <c r="U40" s="34">
        <f t="shared" si="21"/>
        <v>0</v>
      </c>
      <c r="V40" s="34">
        <f t="shared" si="22"/>
        <v>1</v>
      </c>
      <c r="W40" s="34" t="str">
        <f t="shared" si="23"/>
        <v>FEW</v>
      </c>
      <c r="X40" s="34">
        <f t="shared" si="24"/>
        <v>1</v>
      </c>
      <c r="Y40" s="34">
        <f t="shared" si="25"/>
        <v>800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290</v>
      </c>
      <c r="F41" s="29">
        <v>3</v>
      </c>
      <c r="G41" s="29">
        <v>0</v>
      </c>
      <c r="H41" s="29">
        <v>8000</v>
      </c>
      <c r="I41" s="29">
        <v>0</v>
      </c>
      <c r="J41" s="30" t="s">
        <v>53</v>
      </c>
      <c r="K41" s="29">
        <v>900</v>
      </c>
      <c r="L41" s="1" t="s">
        <v>167</v>
      </c>
      <c r="M41" s="32">
        <f t="shared" si="14"/>
        <v>110</v>
      </c>
      <c r="N41" s="33">
        <f t="shared" si="15"/>
        <v>1</v>
      </c>
      <c r="O41" s="33">
        <f t="shared" si="16"/>
        <v>5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8000</v>
      </c>
      <c r="T41" s="34">
        <f t="shared" si="20"/>
        <v>1</v>
      </c>
      <c r="U41" s="34">
        <f t="shared" si="21"/>
        <v>0</v>
      </c>
      <c r="V41" s="34">
        <f t="shared" si="22"/>
        <v>1</v>
      </c>
      <c r="W41" s="34" t="str">
        <f t="shared" si="23"/>
        <v>FEW</v>
      </c>
      <c r="X41" s="34">
        <f t="shared" si="24"/>
        <v>1</v>
      </c>
      <c r="Y41" s="34">
        <f t="shared" si="25"/>
        <v>800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290</v>
      </c>
      <c r="F42" s="29">
        <v>3</v>
      </c>
      <c r="G42" s="29">
        <v>0</v>
      </c>
      <c r="H42" s="29">
        <v>8000</v>
      </c>
      <c r="I42" s="29">
        <v>0</v>
      </c>
      <c r="J42" s="30" t="s">
        <v>53</v>
      </c>
      <c r="K42" s="29">
        <v>900</v>
      </c>
      <c r="L42" t="s">
        <v>168</v>
      </c>
      <c r="M42" s="32">
        <f t="shared" si="14"/>
        <v>70</v>
      </c>
      <c r="N42" s="33">
        <f t="shared" si="15"/>
        <v>1</v>
      </c>
      <c r="O42" s="33">
        <f t="shared" si="16"/>
        <v>4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7"/>
        <v>8000</v>
      </c>
      <c r="T42" s="34">
        <f t="shared" si="20"/>
        <v>1</v>
      </c>
      <c r="U42" s="34">
        <f t="shared" si="21"/>
        <v>0</v>
      </c>
      <c r="V42" s="34">
        <f t="shared" si="22"/>
        <v>1</v>
      </c>
      <c r="W42" s="34" t="str">
        <f t="shared" si="23"/>
        <v>FEW</v>
      </c>
      <c r="X42" s="34">
        <f t="shared" si="24"/>
        <v>1</v>
      </c>
      <c r="Y42" s="34">
        <f t="shared" si="25"/>
        <v>800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290</v>
      </c>
      <c r="F43" s="29">
        <v>3</v>
      </c>
      <c r="G43" s="29">
        <v>0</v>
      </c>
      <c r="H43" s="29">
        <v>8000</v>
      </c>
      <c r="I43" s="29">
        <v>0</v>
      </c>
      <c r="J43" s="30" t="s">
        <v>53</v>
      </c>
      <c r="K43" s="29">
        <v>900</v>
      </c>
      <c r="L43" s="1" t="s">
        <v>169</v>
      </c>
      <c r="M43" s="32">
        <f t="shared" si="14"/>
        <v>40</v>
      </c>
      <c r="N43" s="33">
        <f t="shared" si="15"/>
        <v>1</v>
      </c>
      <c r="O43" s="33">
        <f t="shared" si="16"/>
        <v>3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7"/>
        <v>7000</v>
      </c>
      <c r="T43" s="34">
        <f t="shared" si="20"/>
        <v>1</v>
      </c>
      <c r="U43" s="34">
        <f t="shared" si="21"/>
        <v>0</v>
      </c>
      <c r="V43" s="34">
        <f t="shared" si="22"/>
        <v>1</v>
      </c>
      <c r="W43" s="34" t="str">
        <f t="shared" si="23"/>
        <v>FEW</v>
      </c>
      <c r="X43" s="34">
        <f t="shared" si="24"/>
        <v>1</v>
      </c>
      <c r="Y43" s="34">
        <f t="shared" si="25"/>
        <v>800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290</v>
      </c>
      <c r="F44" s="29">
        <v>3</v>
      </c>
      <c r="G44" s="29">
        <v>0</v>
      </c>
      <c r="H44" s="29">
        <v>8000</v>
      </c>
      <c r="I44" s="29">
        <v>0</v>
      </c>
      <c r="J44" s="30" t="s">
        <v>53</v>
      </c>
      <c r="K44" s="29">
        <v>900</v>
      </c>
      <c r="L44" s="1" t="s">
        <v>170</v>
      </c>
      <c r="M44" s="32">
        <f t="shared" si="14"/>
        <v>20</v>
      </c>
      <c r="N44" s="33">
        <f t="shared" si="15"/>
        <v>1</v>
      </c>
      <c r="O44" s="33">
        <f t="shared" si="16"/>
        <v>2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7"/>
        <v>7000</v>
      </c>
      <c r="T44" s="34">
        <f t="shared" si="20"/>
        <v>1</v>
      </c>
      <c r="U44" s="34">
        <f t="shared" si="21"/>
        <v>0</v>
      </c>
      <c r="V44" s="34">
        <f t="shared" si="22"/>
        <v>1</v>
      </c>
      <c r="W44" s="34" t="str">
        <f t="shared" si="23"/>
        <v>BKN</v>
      </c>
      <c r="X44" s="34">
        <f t="shared" si="24"/>
        <v>0</v>
      </c>
      <c r="Y44" s="34">
        <f t="shared" si="25"/>
        <v>900</v>
      </c>
      <c r="Z44" s="34">
        <f t="shared" si="2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290</v>
      </c>
      <c r="F45" s="29">
        <v>3</v>
      </c>
      <c r="G45" s="29">
        <v>0</v>
      </c>
      <c r="H45" s="29">
        <v>8000</v>
      </c>
      <c r="I45" s="29">
        <v>0</v>
      </c>
      <c r="J45" s="30" t="s">
        <v>53</v>
      </c>
      <c r="K45" s="29">
        <v>900</v>
      </c>
      <c r="L45" s="1" t="s">
        <v>171</v>
      </c>
      <c r="M45" s="32">
        <f t="shared" si="14"/>
        <v>290</v>
      </c>
      <c r="N45" s="33">
        <f t="shared" si="15"/>
        <v>1</v>
      </c>
      <c r="O45" s="33">
        <f t="shared" si="16"/>
        <v>2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7"/>
        <v>7000</v>
      </c>
      <c r="T45" s="34">
        <f t="shared" si="20"/>
        <v>1</v>
      </c>
      <c r="U45" s="34">
        <f t="shared" si="21"/>
        <v>0</v>
      </c>
      <c r="V45" s="34">
        <f t="shared" si="22"/>
        <v>1</v>
      </c>
      <c r="W45" s="34" t="str">
        <f t="shared" si="23"/>
        <v>BKN</v>
      </c>
      <c r="X45" s="34">
        <f t="shared" si="24"/>
        <v>0</v>
      </c>
      <c r="Y45" s="34">
        <f t="shared" si="25"/>
        <v>900</v>
      </c>
      <c r="Z45" s="34">
        <f t="shared" si="2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290</v>
      </c>
      <c r="F46" s="29">
        <v>3</v>
      </c>
      <c r="G46" s="29">
        <v>0</v>
      </c>
      <c r="H46" s="29">
        <v>8000</v>
      </c>
      <c r="I46" s="29">
        <v>0</v>
      </c>
      <c r="J46" s="30" t="s">
        <v>53</v>
      </c>
      <c r="K46" s="29">
        <v>900</v>
      </c>
      <c r="L46" s="1" t="s">
        <v>172</v>
      </c>
      <c r="M46" s="32">
        <f t="shared" si="14"/>
        <v>0</v>
      </c>
      <c r="N46" s="33">
        <f t="shared" si="15"/>
        <v>1</v>
      </c>
      <c r="O46" s="33">
        <f t="shared" si="16"/>
        <v>0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7"/>
        <v>8000</v>
      </c>
      <c r="T46" s="34">
        <f t="shared" si="20"/>
        <v>1</v>
      </c>
      <c r="U46" s="34">
        <f t="shared" si="21"/>
        <v>0</v>
      </c>
      <c r="V46" s="34">
        <f t="shared" si="22"/>
        <v>1</v>
      </c>
      <c r="W46" s="34" t="str">
        <f t="shared" si="23"/>
        <v>BKN</v>
      </c>
      <c r="X46" s="34">
        <f t="shared" si="24"/>
        <v>0</v>
      </c>
      <c r="Y46" s="34">
        <f t="shared" si="25"/>
        <v>900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290</v>
      </c>
      <c r="F47" s="29">
        <v>3</v>
      </c>
      <c r="G47" s="29">
        <v>0</v>
      </c>
      <c r="H47" s="29">
        <v>8000</v>
      </c>
      <c r="I47" s="29">
        <v>0</v>
      </c>
      <c r="J47" s="30" t="s">
        <v>53</v>
      </c>
      <c r="K47" s="29">
        <v>900</v>
      </c>
      <c r="L47" s="1" t="s">
        <v>173</v>
      </c>
      <c r="M47" s="32">
        <f t="shared" si="14"/>
        <v>280</v>
      </c>
      <c r="N47" s="33">
        <f t="shared" si="15"/>
        <v>1</v>
      </c>
      <c r="O47" s="33">
        <f t="shared" si="16"/>
        <v>2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8000</v>
      </c>
      <c r="T47" s="34">
        <f t="shared" si="20"/>
        <v>1</v>
      </c>
      <c r="U47" s="34">
        <f t="shared" si="21"/>
        <v>0</v>
      </c>
      <c r="V47" s="34">
        <f t="shared" si="22"/>
        <v>1</v>
      </c>
      <c r="W47" s="34" t="str">
        <f t="shared" si="23"/>
        <v>BKN</v>
      </c>
      <c r="X47" s="34">
        <f t="shared" si="24"/>
        <v>0</v>
      </c>
      <c r="Y47" s="34">
        <f t="shared" si="25"/>
        <v>900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12</v>
      </c>
      <c r="W52" s="25"/>
      <c r="X52" s="25">
        <f>SUM(X36:X47)</f>
        <v>8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12</v>
      </c>
      <c r="W53" s="25"/>
      <c r="X53" s="25">
        <f>SUMIF($C36:$C47,"GENERAL",X36:X47)</f>
        <v>8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100</v>
      </c>
      <c r="W57" s="38"/>
      <c r="X57" s="38">
        <f>(SUM(X53:X56)/COUNTA(X36:X47))*100</f>
        <v>66.666666666666657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163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</v>
      </c>
      <c r="B65" s="50">
        <v>0.5</v>
      </c>
      <c r="C65" s="29" t="s">
        <v>39</v>
      </c>
      <c r="D65" s="52"/>
      <c r="E65" s="51">
        <v>280</v>
      </c>
      <c r="F65" s="51">
        <v>3</v>
      </c>
      <c r="G65" s="51">
        <v>0</v>
      </c>
      <c r="H65" s="51">
        <v>8000</v>
      </c>
      <c r="I65" s="51">
        <v>0</v>
      </c>
      <c r="J65" s="52" t="s">
        <v>51</v>
      </c>
      <c r="K65" s="51">
        <v>800</v>
      </c>
      <c r="L65" t="s">
        <v>168</v>
      </c>
      <c r="M65" s="32">
        <f t="shared" ref="M65:M76" si="28">IF(ISNUMBER(VALUE(FIND("VRB",L65))),999,VALUE(MID(L65,20,3)))</f>
        <v>70</v>
      </c>
      <c r="N65" s="33">
        <f t="shared" ref="N65:N76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4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3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5">IF(AND(IFERROR(FIND("RA",L65),0)&gt;0, IFERROR(FIND("RA",L65),0)&lt;38),"RA",0)</f>
        <v>0</v>
      </c>
      <c r="V65" s="34">
        <f t="shared" ref="V65:V76" si="36">IF(U65=I65,1,0)</f>
        <v>1</v>
      </c>
      <c r="W65" s="34" t="str">
        <f t="shared" ref="W65:W76" si="3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6" si="38">IF(OR(AND(OR(J65="SKC",J65="FEW",J65="SCT"),OR(W65="SKC",W65="FEW",W65="SCT")),(AND(OR(J65="BKN",J65="OVC"),OR(W65="BKN",W65="OVC")))),1,0)</f>
        <v>1</v>
      </c>
      <c r="Y65" s="34">
        <f t="shared" ref="Y65:Y76" si="39">IF(ISNUMBER(VALUE(FIND("CAVOK",L65))),9999,IF(ISNUMBER(VALUE(FIND("NSC",L65))),9999,(MID(L65,(FIND(W65,L65)+4),2))*100))</f>
        <v>800</v>
      </c>
      <c r="Z65" s="34">
        <f t="shared" ref="Z65:Z76" si="4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52"/>
      <c r="E66" s="51">
        <v>280</v>
      </c>
      <c r="F66" s="51">
        <v>3</v>
      </c>
      <c r="G66" s="51">
        <v>0</v>
      </c>
      <c r="H66" s="51">
        <v>8000</v>
      </c>
      <c r="I66" s="51">
        <v>0</v>
      </c>
      <c r="J66" s="52" t="s">
        <v>51</v>
      </c>
      <c r="K66" s="51">
        <v>800</v>
      </c>
      <c r="L66" s="1" t="s">
        <v>169</v>
      </c>
      <c r="M66" s="32">
        <f t="shared" si="28"/>
        <v>40</v>
      </c>
      <c r="N66" s="33">
        <f t="shared" si="29"/>
        <v>1</v>
      </c>
      <c r="O66" s="33">
        <f t="shared" si="30"/>
        <v>3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ref="S66:S76" si="41">IF(ISNUMBER(VALUE(MID(L66,(FIND("KT",L66,FIND("Z",L66))+3),4))),VALUE(MID(L66,(FIND("KT",L66,FIND("Z",L66))+3),4)),IF(ISNUMBER(VALUE(MID(L66,(FIND("0V",L66)+6),4))),VALUE(MID(L66,(FIND("0V",L66)+6),4)),9999))</f>
        <v>7000</v>
      </c>
      <c r="T66" s="34">
        <f t="shared" si="34"/>
        <v>1</v>
      </c>
      <c r="U66" s="34">
        <f t="shared" si="35"/>
        <v>0</v>
      </c>
      <c r="V66" s="34">
        <f t="shared" si="36"/>
        <v>1</v>
      </c>
      <c r="W66" s="34" t="str">
        <f t="shared" si="37"/>
        <v>FEW</v>
      </c>
      <c r="X66" s="34">
        <f t="shared" si="38"/>
        <v>1</v>
      </c>
      <c r="Y66" s="34">
        <f t="shared" si="39"/>
        <v>800</v>
      </c>
      <c r="Z66" s="34">
        <f t="shared" si="4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39</v>
      </c>
      <c r="D67" s="52"/>
      <c r="E67" s="51">
        <v>280</v>
      </c>
      <c r="F67" s="51">
        <v>3</v>
      </c>
      <c r="G67" s="51">
        <v>0</v>
      </c>
      <c r="H67" s="51">
        <v>8000</v>
      </c>
      <c r="I67" s="51">
        <v>0</v>
      </c>
      <c r="J67" s="52" t="s">
        <v>51</v>
      </c>
      <c r="K67" s="51">
        <v>800</v>
      </c>
      <c r="L67" s="1" t="s">
        <v>170</v>
      </c>
      <c r="M67" s="32">
        <f t="shared" si="28"/>
        <v>20</v>
      </c>
      <c r="N67" s="33">
        <f t="shared" si="29"/>
        <v>1</v>
      </c>
      <c r="O67" s="33">
        <f t="shared" si="30"/>
        <v>2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41"/>
        <v>7000</v>
      </c>
      <c r="T67" s="34">
        <f t="shared" si="34"/>
        <v>1</v>
      </c>
      <c r="U67" s="34">
        <f t="shared" si="35"/>
        <v>0</v>
      </c>
      <c r="V67" s="34">
        <f t="shared" si="36"/>
        <v>1</v>
      </c>
      <c r="W67" s="34" t="str">
        <f t="shared" si="37"/>
        <v>BKN</v>
      </c>
      <c r="X67" s="34">
        <f t="shared" si="38"/>
        <v>0</v>
      </c>
      <c r="Y67" s="34">
        <f t="shared" si="39"/>
        <v>900</v>
      </c>
      <c r="Z67" s="34">
        <f t="shared" si="4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40</v>
      </c>
      <c r="D68" s="52"/>
      <c r="E68" s="51">
        <v>0</v>
      </c>
      <c r="F68" s="51">
        <v>0</v>
      </c>
      <c r="G68" s="51">
        <v>0</v>
      </c>
      <c r="H68" s="51">
        <v>3000</v>
      </c>
      <c r="I68" s="51" t="s">
        <v>52</v>
      </c>
      <c r="J68" s="52" t="s">
        <v>51</v>
      </c>
      <c r="K68" s="51">
        <v>800</v>
      </c>
      <c r="L68" s="1" t="s">
        <v>171</v>
      </c>
      <c r="M68" s="32">
        <f t="shared" si="28"/>
        <v>290</v>
      </c>
      <c r="N68" s="33">
        <f t="shared" si="29"/>
        <v>1</v>
      </c>
      <c r="O68" s="33">
        <f t="shared" si="30"/>
        <v>2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41"/>
        <v>7000</v>
      </c>
      <c r="T68" s="34">
        <f t="shared" si="34"/>
        <v>0</v>
      </c>
      <c r="U68" s="34">
        <f t="shared" si="35"/>
        <v>0</v>
      </c>
      <c r="V68" s="34">
        <f t="shared" si="36"/>
        <v>0</v>
      </c>
      <c r="W68" s="34" t="str">
        <f t="shared" si="37"/>
        <v>BKN</v>
      </c>
      <c r="X68" s="34">
        <f t="shared" si="38"/>
        <v>0</v>
      </c>
      <c r="Y68" s="34">
        <f t="shared" si="39"/>
        <v>900</v>
      </c>
      <c r="Z68" s="34">
        <f t="shared" si="4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40</v>
      </c>
      <c r="D69" s="52"/>
      <c r="E69" s="51">
        <v>0</v>
      </c>
      <c r="F69" s="51">
        <v>0</v>
      </c>
      <c r="G69" s="51">
        <v>0</v>
      </c>
      <c r="H69" s="51">
        <v>3000</v>
      </c>
      <c r="I69" s="51" t="s">
        <v>52</v>
      </c>
      <c r="J69" s="52" t="s">
        <v>51</v>
      </c>
      <c r="K69" s="51">
        <v>800</v>
      </c>
      <c r="L69" s="1" t="s">
        <v>172</v>
      </c>
      <c r="M69" s="32">
        <f t="shared" si="28"/>
        <v>0</v>
      </c>
      <c r="N69" s="33">
        <f t="shared" si="29"/>
        <v>1</v>
      </c>
      <c r="O69" s="33">
        <f t="shared" si="30"/>
        <v>0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41"/>
        <v>8000</v>
      </c>
      <c r="T69" s="34">
        <f t="shared" si="34"/>
        <v>0</v>
      </c>
      <c r="U69" s="34">
        <f t="shared" si="35"/>
        <v>0</v>
      </c>
      <c r="V69" s="34">
        <f t="shared" si="36"/>
        <v>0</v>
      </c>
      <c r="W69" s="34" t="str">
        <f t="shared" si="37"/>
        <v>BKN</v>
      </c>
      <c r="X69" s="34">
        <f t="shared" si="38"/>
        <v>0</v>
      </c>
      <c r="Y69" s="34">
        <f t="shared" si="39"/>
        <v>900</v>
      </c>
      <c r="Z69" s="34">
        <f t="shared" si="4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40</v>
      </c>
      <c r="D70" s="52"/>
      <c r="E70" s="51">
        <v>0</v>
      </c>
      <c r="F70" s="51">
        <v>0</v>
      </c>
      <c r="G70" s="51">
        <v>0</v>
      </c>
      <c r="H70" s="51">
        <v>3000</v>
      </c>
      <c r="I70" s="51" t="s">
        <v>52</v>
      </c>
      <c r="J70" s="52" t="s">
        <v>51</v>
      </c>
      <c r="K70" s="51">
        <v>800</v>
      </c>
      <c r="L70" s="1" t="s">
        <v>173</v>
      </c>
      <c r="M70" s="32">
        <f t="shared" si="28"/>
        <v>280</v>
      </c>
      <c r="N70" s="33">
        <f t="shared" si="29"/>
        <v>1</v>
      </c>
      <c r="O70" s="33">
        <f t="shared" si="30"/>
        <v>2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41"/>
        <v>8000</v>
      </c>
      <c r="T70" s="34">
        <f t="shared" si="34"/>
        <v>0</v>
      </c>
      <c r="U70" s="34">
        <f t="shared" si="35"/>
        <v>0</v>
      </c>
      <c r="V70" s="34">
        <f t="shared" si="36"/>
        <v>0</v>
      </c>
      <c r="W70" s="34" t="str">
        <f t="shared" si="37"/>
        <v>BKN</v>
      </c>
      <c r="X70" s="34">
        <f t="shared" si="38"/>
        <v>0</v>
      </c>
      <c r="Y70" s="34">
        <f t="shared" si="39"/>
        <v>900</v>
      </c>
      <c r="Z70" s="34">
        <f t="shared" si="4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40</v>
      </c>
      <c r="D71" s="52"/>
      <c r="E71" s="51">
        <v>0</v>
      </c>
      <c r="F71" s="51">
        <v>0</v>
      </c>
      <c r="G71" s="51">
        <v>0</v>
      </c>
      <c r="H71" s="51">
        <v>3000</v>
      </c>
      <c r="I71" s="51" t="s">
        <v>52</v>
      </c>
      <c r="J71" s="52" t="s">
        <v>51</v>
      </c>
      <c r="K71" s="51">
        <v>800</v>
      </c>
      <c r="L71" s="1" t="s">
        <v>174</v>
      </c>
      <c r="M71" s="32">
        <f t="shared" si="28"/>
        <v>0</v>
      </c>
      <c r="N71" s="33">
        <f t="shared" si="29"/>
        <v>1</v>
      </c>
      <c r="O71" s="33">
        <f t="shared" si="30"/>
        <v>0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41"/>
        <v>8000</v>
      </c>
      <c r="T71" s="34">
        <f t="shared" si="34"/>
        <v>0</v>
      </c>
      <c r="U71" s="34">
        <f t="shared" si="35"/>
        <v>0</v>
      </c>
      <c r="V71" s="34">
        <f t="shared" si="36"/>
        <v>0</v>
      </c>
      <c r="W71" s="34" t="str">
        <f t="shared" si="37"/>
        <v>BKN</v>
      </c>
      <c r="X71" s="34">
        <f t="shared" si="38"/>
        <v>0</v>
      </c>
      <c r="Y71" s="34">
        <f t="shared" si="39"/>
        <v>900</v>
      </c>
      <c r="Z71" s="34">
        <f t="shared" si="40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39</v>
      </c>
      <c r="D72" s="52"/>
      <c r="E72" s="51">
        <v>280</v>
      </c>
      <c r="F72" s="51">
        <v>3</v>
      </c>
      <c r="G72" s="51">
        <v>0</v>
      </c>
      <c r="H72" s="51">
        <v>8000</v>
      </c>
      <c r="I72" s="51">
        <v>0</v>
      </c>
      <c r="J72" s="52" t="s">
        <v>51</v>
      </c>
      <c r="K72" s="51">
        <v>800</v>
      </c>
      <c r="L72" s="1" t="s">
        <v>175</v>
      </c>
      <c r="M72" s="32">
        <f t="shared" si="28"/>
        <v>330</v>
      </c>
      <c r="N72" s="33">
        <f t="shared" si="29"/>
        <v>1</v>
      </c>
      <c r="O72" s="33">
        <f t="shared" si="30"/>
        <v>2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41"/>
        <v>8000</v>
      </c>
      <c r="T72" s="34">
        <f t="shared" si="34"/>
        <v>1</v>
      </c>
      <c r="U72" s="34">
        <f t="shared" si="35"/>
        <v>0</v>
      </c>
      <c r="V72" s="34">
        <f t="shared" si="36"/>
        <v>1</v>
      </c>
      <c r="W72" s="34" t="str">
        <f t="shared" si="37"/>
        <v>BKN</v>
      </c>
      <c r="X72" s="34">
        <f t="shared" si="38"/>
        <v>0</v>
      </c>
      <c r="Y72" s="34">
        <f t="shared" si="39"/>
        <v>900</v>
      </c>
      <c r="Z72" s="34">
        <f t="shared" si="4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39</v>
      </c>
      <c r="D73" s="52"/>
      <c r="E73" s="51">
        <v>280</v>
      </c>
      <c r="F73" s="51">
        <v>3</v>
      </c>
      <c r="G73" s="51">
        <v>0</v>
      </c>
      <c r="H73" s="51">
        <v>8000</v>
      </c>
      <c r="I73" s="51">
        <v>0</v>
      </c>
      <c r="J73" s="52" t="s">
        <v>51</v>
      </c>
      <c r="K73" s="51">
        <v>800</v>
      </c>
      <c r="L73" s="1" t="s">
        <v>176</v>
      </c>
      <c r="M73" s="32">
        <f t="shared" si="28"/>
        <v>0</v>
      </c>
      <c r="N73" s="33">
        <f t="shared" si="29"/>
        <v>1</v>
      </c>
      <c r="O73" s="33">
        <f t="shared" si="30"/>
        <v>0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41"/>
        <v>8000</v>
      </c>
      <c r="T73" s="34">
        <f t="shared" si="34"/>
        <v>1</v>
      </c>
      <c r="U73" s="34">
        <f t="shared" si="35"/>
        <v>0</v>
      </c>
      <c r="V73" s="34">
        <f t="shared" si="36"/>
        <v>1</v>
      </c>
      <c r="W73" s="34" t="str">
        <f t="shared" si="37"/>
        <v>BKN</v>
      </c>
      <c r="X73" s="34">
        <f t="shared" si="38"/>
        <v>0</v>
      </c>
      <c r="Y73" s="34">
        <f t="shared" si="39"/>
        <v>900</v>
      </c>
      <c r="Z73" s="34">
        <f t="shared" si="4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39</v>
      </c>
      <c r="D74" s="52"/>
      <c r="E74" s="51">
        <v>280</v>
      </c>
      <c r="F74" s="51">
        <v>3</v>
      </c>
      <c r="G74" s="51">
        <v>0</v>
      </c>
      <c r="H74" s="51">
        <v>8000</v>
      </c>
      <c r="I74" s="51">
        <v>0</v>
      </c>
      <c r="J74" s="52" t="s">
        <v>51</v>
      </c>
      <c r="K74" s="51">
        <v>800</v>
      </c>
      <c r="L74" s="1" t="s">
        <v>177</v>
      </c>
      <c r="M74" s="32">
        <f t="shared" si="28"/>
        <v>180</v>
      </c>
      <c r="N74" s="33">
        <f t="shared" si="29"/>
        <v>1</v>
      </c>
      <c r="O74" s="33">
        <f t="shared" si="30"/>
        <v>2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41"/>
        <v>8000</v>
      </c>
      <c r="T74" s="34">
        <f t="shared" si="34"/>
        <v>1</v>
      </c>
      <c r="U74" s="34">
        <f t="shared" si="35"/>
        <v>0</v>
      </c>
      <c r="V74" s="34">
        <f t="shared" si="36"/>
        <v>1</v>
      </c>
      <c r="W74" s="34" t="str">
        <f t="shared" si="37"/>
        <v>BKN</v>
      </c>
      <c r="X74" s="34">
        <f t="shared" si="38"/>
        <v>0</v>
      </c>
      <c r="Y74" s="34">
        <f t="shared" si="39"/>
        <v>900</v>
      </c>
      <c r="Z74" s="34">
        <f t="shared" si="4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39</v>
      </c>
      <c r="D75" s="52"/>
      <c r="E75" s="51">
        <v>280</v>
      </c>
      <c r="F75" s="51">
        <v>3</v>
      </c>
      <c r="G75" s="51">
        <v>0</v>
      </c>
      <c r="H75" s="51">
        <v>8000</v>
      </c>
      <c r="I75" s="51">
        <v>0</v>
      </c>
      <c r="J75" s="52" t="s">
        <v>51</v>
      </c>
      <c r="K75" s="51">
        <v>800</v>
      </c>
      <c r="L75" s="1" t="s">
        <v>178</v>
      </c>
      <c r="M75" s="32">
        <f t="shared" si="28"/>
        <v>170</v>
      </c>
      <c r="N75" s="33">
        <f t="shared" si="29"/>
        <v>1</v>
      </c>
      <c r="O75" s="33">
        <f t="shared" si="30"/>
        <v>2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41"/>
        <v>8000</v>
      </c>
      <c r="T75" s="34">
        <f t="shared" si="34"/>
        <v>1</v>
      </c>
      <c r="U75" s="34">
        <f t="shared" si="35"/>
        <v>0</v>
      </c>
      <c r="V75" s="34">
        <f t="shared" si="36"/>
        <v>1</v>
      </c>
      <c r="W75" s="34" t="str">
        <f t="shared" si="37"/>
        <v>BKN</v>
      </c>
      <c r="X75" s="34">
        <f t="shared" si="38"/>
        <v>0</v>
      </c>
      <c r="Y75" s="34">
        <f t="shared" si="39"/>
        <v>900</v>
      </c>
      <c r="Z75" s="34">
        <f t="shared" si="4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39</v>
      </c>
      <c r="D76" s="52"/>
      <c r="E76" s="51">
        <v>280</v>
      </c>
      <c r="F76" s="51">
        <v>3</v>
      </c>
      <c r="G76" s="51">
        <v>0</v>
      </c>
      <c r="H76" s="51">
        <v>8000</v>
      </c>
      <c r="I76" s="51">
        <v>0</v>
      </c>
      <c r="J76" s="52" t="s">
        <v>51</v>
      </c>
      <c r="K76" s="51">
        <v>800</v>
      </c>
      <c r="L76" s="1" t="s">
        <v>179</v>
      </c>
      <c r="M76" s="32">
        <f t="shared" si="28"/>
        <v>170</v>
      </c>
      <c r="N76" s="33">
        <f t="shared" si="29"/>
        <v>1</v>
      </c>
      <c r="O76" s="33">
        <f t="shared" si="30"/>
        <v>3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41"/>
        <v>8000</v>
      </c>
      <c r="T76" s="34">
        <f t="shared" si="34"/>
        <v>1</v>
      </c>
      <c r="U76" s="34">
        <f t="shared" si="35"/>
        <v>0</v>
      </c>
      <c r="V76" s="34">
        <f t="shared" si="36"/>
        <v>1</v>
      </c>
      <c r="W76" s="34" t="str">
        <f t="shared" si="37"/>
        <v>SCT</v>
      </c>
      <c r="X76" s="34">
        <f t="shared" si="38"/>
        <v>1</v>
      </c>
      <c r="Y76" s="34">
        <f t="shared" si="39"/>
        <v>1000</v>
      </c>
      <c r="Z76" s="34">
        <f t="shared" si="40"/>
        <v>0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8</v>
      </c>
      <c r="U80" s="25"/>
      <c r="V80" s="25">
        <f>SUM(V64:V76)</f>
        <v>8</v>
      </c>
      <c r="W80" s="25"/>
      <c r="X80" s="25">
        <f>SUM(X64:X76)</f>
        <v>3</v>
      </c>
      <c r="Y80" s="25"/>
      <c r="Z80" s="25">
        <f>SUM(Z64:Z76)</f>
        <v>11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8</v>
      </c>
      <c r="O81" s="25"/>
      <c r="P81" s="25">
        <f>SUMIF($C64:$C76,"GENERAL",P64:P76)</f>
        <v>8</v>
      </c>
      <c r="Q81" s="25"/>
      <c r="R81" s="25">
        <f>SUMIF($C64:$C76,"GENERAL",R64:R76)</f>
        <v>8</v>
      </c>
      <c r="S81" s="25"/>
      <c r="T81" s="25">
        <f>SUMIF($C64:$C76,"GENERAL",T64:T76)</f>
        <v>8</v>
      </c>
      <c r="U81" s="25"/>
      <c r="V81" s="25">
        <f>SUMIF($C64:$C76,"GENERAL",V64:V76)</f>
        <v>8</v>
      </c>
      <c r="W81" s="25"/>
      <c r="X81" s="25">
        <f>SUMIF($C64:$C76,"GENERAL",X64:X76)</f>
        <v>3</v>
      </c>
      <c r="Y81" s="25"/>
      <c r="Z81" s="25">
        <f>SUMIF($C64:$C76,"GENERAL",Z64:Z76)</f>
        <v>7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4</v>
      </c>
      <c r="M84" s="42">
        <f>SUMIF($C64:$C76,"TEMPO",N64:N76)</f>
        <v>4</v>
      </c>
      <c r="N84" s="42">
        <f>M84</f>
        <v>4</v>
      </c>
      <c r="O84" s="42">
        <f>SUMIF($C64:$C76,"TEMPO",P64:P76)</f>
        <v>4</v>
      </c>
      <c r="P84" s="42">
        <f>O84</f>
        <v>4</v>
      </c>
      <c r="Q84" s="42">
        <f>SUMIF($C64:$C76,"TEMPO",R64:R76)</f>
        <v>4</v>
      </c>
      <c r="R84" s="42">
        <f>Q84</f>
        <v>4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4</v>
      </c>
      <c r="Z84" s="42">
        <f>Y84</f>
        <v>4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66.666666666666657</v>
      </c>
      <c r="U85" s="38"/>
      <c r="V85" s="38">
        <f>(SUM(V81:V84)/COUNTA(V64:V76))*100</f>
        <v>66.666666666666657</v>
      </c>
      <c r="W85" s="38"/>
      <c r="X85" s="38">
        <f>(SUM(X81:X84)/COUNTA(X64:X76))*100</f>
        <v>25</v>
      </c>
      <c r="Y85" s="38"/>
      <c r="Z85" s="38">
        <f>(SUM(Z81:Z84)/COUNTA(Z64:Z76))*100</f>
        <v>91.666666666666657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195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</v>
      </c>
      <c r="B93" s="50">
        <v>0.75</v>
      </c>
      <c r="C93" s="29" t="s">
        <v>39</v>
      </c>
      <c r="D93" s="52"/>
      <c r="E93" s="51">
        <v>280</v>
      </c>
      <c r="F93" s="51">
        <v>2</v>
      </c>
      <c r="G93" s="51">
        <v>0</v>
      </c>
      <c r="H93" s="51">
        <v>8000</v>
      </c>
      <c r="I93" s="51">
        <v>0</v>
      </c>
      <c r="J93" s="52" t="s">
        <v>58</v>
      </c>
      <c r="K93" s="51">
        <v>900</v>
      </c>
      <c r="L93" t="s">
        <v>196</v>
      </c>
      <c r="M93" s="32">
        <f t="shared" ref="M93:M104" si="42">IF(ISNUMBER(VALUE(FIND("VRB",L93))),999,VALUE(MID(L93,20,3)))</f>
        <v>0</v>
      </c>
      <c r="N93" s="33">
        <f t="shared" ref="N93:N104" si="4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4">VALUE(MID(L93,23,2))</f>
        <v>0</v>
      </c>
      <c r="P93" s="33">
        <f t="shared" ref="P93:P104" si="45">IF(ABS(O93-F93)&lt;11,1,0)</f>
        <v>1</v>
      </c>
      <c r="Q93" s="34">
        <f t="shared" ref="Q93:Q104" si="46">IF(MID(L93,25,1)="G","GUST",0)</f>
        <v>0</v>
      </c>
      <c r="R93" s="33">
        <f t="shared" ref="R93:R104" si="47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104" si="48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49">IF(AND(IFERROR(FIND("RA",L93),0)&gt;0, IFERROR(FIND("RA",L93),0)&lt;38),"RA",0)</f>
        <v>0</v>
      </c>
      <c r="V93" s="34">
        <f t="shared" ref="V93:V104" si="50">IF(U93=I93,1,0)</f>
        <v>1</v>
      </c>
      <c r="W93" s="34" t="str">
        <f t="shared" ref="W93:W104" si="51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104" si="52">IF(OR(AND(OR(J93="SKC",J93="FEW",J93="SCT"),OR(W93="SKC",W93="FEW",W93="SCT")),(AND(OR(J93="BKN",J93="OVC"),OR(W93="BKN",W93="OVC")))),1,0)</f>
        <v>1</v>
      </c>
      <c r="Y93" s="34">
        <f t="shared" ref="Y93:Y104" si="53">IF(ISNUMBER(VALUE(FIND("CAVOK",L93))),9999,IF(ISNUMBER(VALUE(FIND("NSC",L93))),9999,(MID(L93,(FIND(W93,L93)+4),2))*100))</f>
        <v>900</v>
      </c>
      <c r="Z93" s="34">
        <f t="shared" ref="Z93:Z104" si="54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29" t="s">
        <v>39</v>
      </c>
      <c r="D94" s="52"/>
      <c r="E94" s="51">
        <v>280</v>
      </c>
      <c r="F94" s="51">
        <v>2</v>
      </c>
      <c r="G94" s="51">
        <v>0</v>
      </c>
      <c r="H94" s="51">
        <v>8000</v>
      </c>
      <c r="I94" s="51">
        <v>0</v>
      </c>
      <c r="J94" s="52" t="s">
        <v>58</v>
      </c>
      <c r="K94" s="51">
        <v>900</v>
      </c>
      <c r="L94" t="s">
        <v>197</v>
      </c>
      <c r="M94" s="32">
        <f t="shared" si="42"/>
        <v>330</v>
      </c>
      <c r="N94" s="33">
        <f t="shared" si="43"/>
        <v>1</v>
      </c>
      <c r="O94" s="33">
        <f t="shared" si="44"/>
        <v>2</v>
      </c>
      <c r="P94" s="33">
        <f t="shared" si="45"/>
        <v>1</v>
      </c>
      <c r="Q94" s="34">
        <f t="shared" si="46"/>
        <v>0</v>
      </c>
      <c r="R94" s="33">
        <f t="shared" si="47"/>
        <v>1</v>
      </c>
      <c r="S94" s="34">
        <f t="shared" ref="S94:S104" si="55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48"/>
        <v>1</v>
      </c>
      <c r="U94" s="34">
        <f t="shared" si="49"/>
        <v>0</v>
      </c>
      <c r="V94" s="34">
        <f t="shared" si="50"/>
        <v>1</v>
      </c>
      <c r="W94" s="34" t="str">
        <f t="shared" si="51"/>
        <v>BKN</v>
      </c>
      <c r="X94" s="34">
        <f t="shared" si="52"/>
        <v>1</v>
      </c>
      <c r="Y94" s="34">
        <f t="shared" si="53"/>
        <v>900</v>
      </c>
      <c r="Z94" s="34">
        <f t="shared" si="54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29" t="s">
        <v>39</v>
      </c>
      <c r="D95" s="52"/>
      <c r="E95" s="51">
        <v>280</v>
      </c>
      <c r="F95" s="51">
        <v>2</v>
      </c>
      <c r="G95" s="51">
        <v>0</v>
      </c>
      <c r="H95" s="51">
        <v>8000</v>
      </c>
      <c r="I95" s="51">
        <v>0</v>
      </c>
      <c r="J95" s="52" t="s">
        <v>58</v>
      </c>
      <c r="K95" s="51">
        <v>900</v>
      </c>
      <c r="L95" t="s">
        <v>198</v>
      </c>
      <c r="M95" s="32">
        <f t="shared" si="42"/>
        <v>0</v>
      </c>
      <c r="N95" s="33">
        <f t="shared" si="43"/>
        <v>1</v>
      </c>
      <c r="O95" s="33">
        <f t="shared" si="44"/>
        <v>0</v>
      </c>
      <c r="P95" s="33">
        <f t="shared" si="45"/>
        <v>1</v>
      </c>
      <c r="Q95" s="34">
        <f t="shared" si="46"/>
        <v>0</v>
      </c>
      <c r="R95" s="33">
        <f t="shared" si="47"/>
        <v>1</v>
      </c>
      <c r="S95" s="34">
        <f t="shared" si="55"/>
        <v>8000</v>
      </c>
      <c r="T95" s="34">
        <f t="shared" si="48"/>
        <v>1</v>
      </c>
      <c r="U95" s="34">
        <f t="shared" si="49"/>
        <v>0</v>
      </c>
      <c r="V95" s="34">
        <f t="shared" si="50"/>
        <v>1</v>
      </c>
      <c r="W95" s="34" t="str">
        <f t="shared" si="51"/>
        <v>BKN</v>
      </c>
      <c r="X95" s="34">
        <f t="shared" si="52"/>
        <v>1</v>
      </c>
      <c r="Y95" s="34">
        <f t="shared" si="53"/>
        <v>900</v>
      </c>
      <c r="Z95" s="34">
        <f t="shared" si="54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29" t="s">
        <v>39</v>
      </c>
      <c r="D96" s="52"/>
      <c r="E96" s="51">
        <v>280</v>
      </c>
      <c r="F96" s="51">
        <v>2</v>
      </c>
      <c r="G96" s="51">
        <v>0</v>
      </c>
      <c r="H96" s="51">
        <v>8000</v>
      </c>
      <c r="I96" s="51">
        <v>0</v>
      </c>
      <c r="J96" s="52" t="s">
        <v>58</v>
      </c>
      <c r="K96" s="51">
        <v>900</v>
      </c>
      <c r="L96" t="s">
        <v>199</v>
      </c>
      <c r="M96" s="32">
        <f t="shared" si="42"/>
        <v>180</v>
      </c>
      <c r="N96" s="33">
        <f t="shared" si="43"/>
        <v>1</v>
      </c>
      <c r="O96" s="33">
        <f t="shared" si="44"/>
        <v>2</v>
      </c>
      <c r="P96" s="33">
        <f t="shared" si="45"/>
        <v>1</v>
      </c>
      <c r="Q96" s="34">
        <f t="shared" si="46"/>
        <v>0</v>
      </c>
      <c r="R96" s="33">
        <f t="shared" si="47"/>
        <v>1</v>
      </c>
      <c r="S96" s="34">
        <f t="shared" si="55"/>
        <v>8000</v>
      </c>
      <c r="T96" s="34">
        <f t="shared" si="48"/>
        <v>1</v>
      </c>
      <c r="U96" s="34">
        <f t="shared" si="49"/>
        <v>0</v>
      </c>
      <c r="V96" s="34">
        <f t="shared" si="50"/>
        <v>1</v>
      </c>
      <c r="W96" s="34" t="str">
        <f t="shared" si="51"/>
        <v>BKN</v>
      </c>
      <c r="X96" s="34">
        <f t="shared" si="52"/>
        <v>1</v>
      </c>
      <c r="Y96" s="34">
        <f t="shared" si="53"/>
        <v>900</v>
      </c>
      <c r="Z96" s="34">
        <f t="shared" si="54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29" t="s">
        <v>39</v>
      </c>
      <c r="D97" s="52"/>
      <c r="E97" s="51">
        <v>280</v>
      </c>
      <c r="F97" s="51">
        <v>2</v>
      </c>
      <c r="G97" s="51">
        <v>0</v>
      </c>
      <c r="H97" s="51">
        <v>8000</v>
      </c>
      <c r="I97" s="51">
        <v>0</v>
      </c>
      <c r="J97" s="52" t="s">
        <v>58</v>
      </c>
      <c r="K97" s="51">
        <v>900</v>
      </c>
      <c r="L97" t="s">
        <v>200</v>
      </c>
      <c r="M97" s="32">
        <f t="shared" si="42"/>
        <v>170</v>
      </c>
      <c r="N97" s="33">
        <f t="shared" si="43"/>
        <v>1</v>
      </c>
      <c r="O97" s="33">
        <f t="shared" si="44"/>
        <v>2</v>
      </c>
      <c r="P97" s="33">
        <f t="shared" si="45"/>
        <v>1</v>
      </c>
      <c r="Q97" s="34">
        <f t="shared" si="46"/>
        <v>0</v>
      </c>
      <c r="R97" s="33">
        <f t="shared" si="47"/>
        <v>1</v>
      </c>
      <c r="S97" s="34">
        <f t="shared" si="55"/>
        <v>8000</v>
      </c>
      <c r="T97" s="34">
        <f t="shared" si="48"/>
        <v>1</v>
      </c>
      <c r="U97" s="34">
        <f t="shared" si="49"/>
        <v>0</v>
      </c>
      <c r="V97" s="34">
        <f t="shared" si="50"/>
        <v>1</v>
      </c>
      <c r="W97" s="34" t="str">
        <f t="shared" si="51"/>
        <v>BKN</v>
      </c>
      <c r="X97" s="34">
        <f t="shared" si="52"/>
        <v>1</v>
      </c>
      <c r="Y97" s="34">
        <f t="shared" si="53"/>
        <v>900</v>
      </c>
      <c r="Z97" s="34">
        <f t="shared" si="54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29" t="s">
        <v>39</v>
      </c>
      <c r="D98" s="52"/>
      <c r="E98" s="51">
        <v>280</v>
      </c>
      <c r="F98" s="51">
        <v>2</v>
      </c>
      <c r="G98" s="51">
        <v>0</v>
      </c>
      <c r="H98" s="51">
        <v>8000</v>
      </c>
      <c r="I98" s="51">
        <v>0</v>
      </c>
      <c r="J98" s="52" t="s">
        <v>58</v>
      </c>
      <c r="K98" s="51">
        <v>900</v>
      </c>
      <c r="L98" t="s">
        <v>201</v>
      </c>
      <c r="M98" s="32">
        <f t="shared" si="42"/>
        <v>170</v>
      </c>
      <c r="N98" s="33">
        <f t="shared" si="43"/>
        <v>1</v>
      </c>
      <c r="O98" s="33">
        <f t="shared" si="44"/>
        <v>3</v>
      </c>
      <c r="P98" s="33">
        <f t="shared" si="45"/>
        <v>1</v>
      </c>
      <c r="Q98" s="34">
        <f t="shared" si="46"/>
        <v>0</v>
      </c>
      <c r="R98" s="33">
        <f t="shared" si="47"/>
        <v>1</v>
      </c>
      <c r="S98" s="34">
        <f t="shared" si="55"/>
        <v>8000</v>
      </c>
      <c r="T98" s="34">
        <f t="shared" si="48"/>
        <v>1</v>
      </c>
      <c r="U98" s="34">
        <f t="shared" si="49"/>
        <v>0</v>
      </c>
      <c r="V98" s="34">
        <f t="shared" si="50"/>
        <v>1</v>
      </c>
      <c r="W98" s="34" t="str">
        <f t="shared" si="51"/>
        <v>SCT</v>
      </c>
      <c r="X98" s="34">
        <f t="shared" si="52"/>
        <v>0</v>
      </c>
      <c r="Y98" s="34">
        <f t="shared" si="53"/>
        <v>1000</v>
      </c>
      <c r="Z98" s="34">
        <f t="shared" si="54"/>
        <v>1</v>
      </c>
      <c r="AA98" s="25"/>
      <c r="AB98" s="25"/>
      <c r="AC98" s="25"/>
      <c r="AD98" s="25"/>
      <c r="AE98" s="25"/>
    </row>
    <row r="99" spans="1:31" ht="16.5">
      <c r="A99" s="55">
        <v>3</v>
      </c>
      <c r="B99" s="54">
        <v>0</v>
      </c>
      <c r="C99" s="29" t="s">
        <v>39</v>
      </c>
      <c r="D99" s="52"/>
      <c r="E99" s="51">
        <v>280</v>
      </c>
      <c r="F99" s="51">
        <v>2</v>
      </c>
      <c r="G99" s="51">
        <v>0</v>
      </c>
      <c r="H99" s="51">
        <v>8000</v>
      </c>
      <c r="I99" s="51">
        <v>0</v>
      </c>
      <c r="J99" s="52" t="s">
        <v>58</v>
      </c>
      <c r="K99" s="51">
        <v>900</v>
      </c>
      <c r="L99" t="s">
        <v>202</v>
      </c>
      <c r="M99" s="32">
        <f t="shared" si="42"/>
        <v>280</v>
      </c>
      <c r="N99" s="33">
        <f t="shared" si="43"/>
        <v>1</v>
      </c>
      <c r="O99" s="33">
        <f t="shared" si="44"/>
        <v>3</v>
      </c>
      <c r="P99" s="33">
        <f t="shared" si="45"/>
        <v>1</v>
      </c>
      <c r="Q99" s="34">
        <f t="shared" si="46"/>
        <v>0</v>
      </c>
      <c r="R99" s="33">
        <f t="shared" si="47"/>
        <v>1</v>
      </c>
      <c r="S99" s="34">
        <f t="shared" si="55"/>
        <v>8000</v>
      </c>
      <c r="T99" s="34">
        <f t="shared" si="48"/>
        <v>1</v>
      </c>
      <c r="U99" s="34">
        <f t="shared" si="49"/>
        <v>0</v>
      </c>
      <c r="V99" s="34">
        <f t="shared" si="50"/>
        <v>1</v>
      </c>
      <c r="W99" s="34" t="str">
        <f t="shared" si="51"/>
        <v>SCT</v>
      </c>
      <c r="X99" s="34">
        <f t="shared" si="52"/>
        <v>0</v>
      </c>
      <c r="Y99" s="34">
        <f t="shared" si="53"/>
        <v>900</v>
      </c>
      <c r="Z99" s="34">
        <f t="shared" si="54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29" t="s">
        <v>39</v>
      </c>
      <c r="D100" s="52"/>
      <c r="E100" s="51">
        <v>280</v>
      </c>
      <c r="F100" s="51">
        <v>2</v>
      </c>
      <c r="G100" s="51">
        <v>0</v>
      </c>
      <c r="H100" s="51">
        <v>8000</v>
      </c>
      <c r="I100" s="51">
        <v>0</v>
      </c>
      <c r="J100" s="52" t="s">
        <v>58</v>
      </c>
      <c r="K100" s="51">
        <v>900</v>
      </c>
      <c r="L100" t="s">
        <v>203</v>
      </c>
      <c r="M100" s="32">
        <f t="shared" si="42"/>
        <v>110</v>
      </c>
      <c r="N100" s="33">
        <f t="shared" si="43"/>
        <v>1</v>
      </c>
      <c r="O100" s="33">
        <f t="shared" si="44"/>
        <v>4</v>
      </c>
      <c r="P100" s="33">
        <f t="shared" si="45"/>
        <v>1</v>
      </c>
      <c r="Q100" s="34">
        <f t="shared" si="46"/>
        <v>0</v>
      </c>
      <c r="R100" s="33">
        <f t="shared" si="47"/>
        <v>1</v>
      </c>
      <c r="S100" s="34">
        <f t="shared" si="55"/>
        <v>8000</v>
      </c>
      <c r="T100" s="34">
        <f t="shared" si="48"/>
        <v>1</v>
      </c>
      <c r="U100" s="34">
        <f t="shared" si="49"/>
        <v>0</v>
      </c>
      <c r="V100" s="34">
        <f t="shared" si="50"/>
        <v>1</v>
      </c>
      <c r="W100" s="34" t="str">
        <f t="shared" si="51"/>
        <v>SCT</v>
      </c>
      <c r="X100" s="34">
        <f t="shared" si="52"/>
        <v>0</v>
      </c>
      <c r="Y100" s="34">
        <f t="shared" si="53"/>
        <v>900</v>
      </c>
      <c r="Z100" s="34">
        <f t="shared" si="54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29" t="s">
        <v>39</v>
      </c>
      <c r="D101" s="52"/>
      <c r="E101" s="51">
        <v>280</v>
      </c>
      <c r="F101" s="51">
        <v>2</v>
      </c>
      <c r="G101" s="51">
        <v>0</v>
      </c>
      <c r="H101" s="51">
        <v>8000</v>
      </c>
      <c r="I101" s="51">
        <v>0</v>
      </c>
      <c r="J101" s="52" t="s">
        <v>58</v>
      </c>
      <c r="K101" s="51">
        <v>900</v>
      </c>
      <c r="L101" t="s">
        <v>204</v>
      </c>
      <c r="M101" s="32">
        <f t="shared" si="42"/>
        <v>110</v>
      </c>
      <c r="N101" s="33">
        <f t="shared" si="43"/>
        <v>1</v>
      </c>
      <c r="O101" s="33">
        <f t="shared" si="44"/>
        <v>2</v>
      </c>
      <c r="P101" s="33">
        <f t="shared" si="45"/>
        <v>1</v>
      </c>
      <c r="Q101" s="34">
        <f t="shared" si="46"/>
        <v>0</v>
      </c>
      <c r="R101" s="33">
        <f t="shared" si="47"/>
        <v>1</v>
      </c>
      <c r="S101" s="34">
        <f t="shared" si="55"/>
        <v>8000</v>
      </c>
      <c r="T101" s="34">
        <f t="shared" si="48"/>
        <v>1</v>
      </c>
      <c r="U101" s="34">
        <f t="shared" si="49"/>
        <v>0</v>
      </c>
      <c r="V101" s="34">
        <f t="shared" si="50"/>
        <v>1</v>
      </c>
      <c r="W101" s="34" t="str">
        <f t="shared" si="51"/>
        <v>SCT</v>
      </c>
      <c r="X101" s="34">
        <f t="shared" si="52"/>
        <v>0</v>
      </c>
      <c r="Y101" s="34">
        <f t="shared" si="53"/>
        <v>1000</v>
      </c>
      <c r="Z101" s="34">
        <f t="shared" si="54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29" t="s">
        <v>39</v>
      </c>
      <c r="D102" s="52"/>
      <c r="E102" s="51">
        <v>280</v>
      </c>
      <c r="F102" s="51">
        <v>2</v>
      </c>
      <c r="G102" s="51">
        <v>0</v>
      </c>
      <c r="H102" s="51">
        <v>8000</v>
      </c>
      <c r="I102" s="51">
        <v>0</v>
      </c>
      <c r="J102" s="52" t="s">
        <v>58</v>
      </c>
      <c r="K102" s="51">
        <v>900</v>
      </c>
      <c r="L102" t="s">
        <v>205</v>
      </c>
      <c r="M102" s="32">
        <f t="shared" si="42"/>
        <v>140</v>
      </c>
      <c r="N102" s="33">
        <f t="shared" si="43"/>
        <v>1</v>
      </c>
      <c r="O102" s="33">
        <f t="shared" si="44"/>
        <v>3</v>
      </c>
      <c r="P102" s="33">
        <f t="shared" si="45"/>
        <v>1</v>
      </c>
      <c r="Q102" s="34">
        <f t="shared" si="46"/>
        <v>0</v>
      </c>
      <c r="R102" s="33">
        <f t="shared" si="47"/>
        <v>1</v>
      </c>
      <c r="S102" s="34">
        <f t="shared" si="55"/>
        <v>8000</v>
      </c>
      <c r="T102" s="34">
        <f t="shared" si="48"/>
        <v>1</v>
      </c>
      <c r="U102" s="34">
        <f t="shared" si="49"/>
        <v>0</v>
      </c>
      <c r="V102" s="34">
        <f t="shared" si="50"/>
        <v>1</v>
      </c>
      <c r="W102" s="34" t="str">
        <f t="shared" si="51"/>
        <v>SCT</v>
      </c>
      <c r="X102" s="34">
        <f t="shared" si="52"/>
        <v>0</v>
      </c>
      <c r="Y102" s="34">
        <f t="shared" si="53"/>
        <v>1000</v>
      </c>
      <c r="Z102" s="34">
        <f t="shared" si="54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29" t="s">
        <v>39</v>
      </c>
      <c r="D103" s="52"/>
      <c r="E103" s="51">
        <v>280</v>
      </c>
      <c r="F103" s="51">
        <v>2</v>
      </c>
      <c r="G103" s="51">
        <v>0</v>
      </c>
      <c r="H103" s="51">
        <v>8000</v>
      </c>
      <c r="I103" s="51">
        <v>0</v>
      </c>
      <c r="J103" s="52" t="s">
        <v>58</v>
      </c>
      <c r="K103" s="51">
        <v>900</v>
      </c>
      <c r="L103" t="s">
        <v>206</v>
      </c>
      <c r="M103" s="32">
        <f t="shared" si="42"/>
        <v>320</v>
      </c>
      <c r="N103" s="33">
        <f t="shared" si="43"/>
        <v>1</v>
      </c>
      <c r="O103" s="33">
        <f t="shared" si="44"/>
        <v>4</v>
      </c>
      <c r="P103" s="33">
        <f t="shared" si="45"/>
        <v>1</v>
      </c>
      <c r="Q103" s="34">
        <f t="shared" si="46"/>
        <v>0</v>
      </c>
      <c r="R103" s="33">
        <f t="shared" si="47"/>
        <v>1</v>
      </c>
      <c r="S103" s="34">
        <f t="shared" si="55"/>
        <v>8000</v>
      </c>
      <c r="T103" s="34">
        <f t="shared" si="48"/>
        <v>1</v>
      </c>
      <c r="U103" s="34">
        <f t="shared" si="49"/>
        <v>0</v>
      </c>
      <c r="V103" s="34">
        <f t="shared" si="50"/>
        <v>1</v>
      </c>
      <c r="W103" s="34" t="str">
        <f t="shared" si="51"/>
        <v>SCT</v>
      </c>
      <c r="X103" s="34">
        <f t="shared" si="52"/>
        <v>0</v>
      </c>
      <c r="Y103" s="34">
        <f t="shared" si="53"/>
        <v>1000</v>
      </c>
      <c r="Z103" s="34">
        <f t="shared" si="54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29" t="s">
        <v>39</v>
      </c>
      <c r="D104" s="52"/>
      <c r="E104" s="51">
        <v>280</v>
      </c>
      <c r="F104" s="51">
        <v>2</v>
      </c>
      <c r="G104" s="51">
        <v>0</v>
      </c>
      <c r="H104" s="51">
        <v>8000</v>
      </c>
      <c r="I104" s="51">
        <v>0</v>
      </c>
      <c r="J104" s="52" t="s">
        <v>58</v>
      </c>
      <c r="K104" s="51">
        <v>900</v>
      </c>
      <c r="L104" t="s">
        <v>207</v>
      </c>
      <c r="M104" s="32">
        <f t="shared" si="42"/>
        <v>40</v>
      </c>
      <c r="N104" s="33">
        <f t="shared" si="43"/>
        <v>1</v>
      </c>
      <c r="O104" s="33">
        <f t="shared" si="44"/>
        <v>5</v>
      </c>
      <c r="P104" s="33">
        <f t="shared" si="45"/>
        <v>1</v>
      </c>
      <c r="Q104" s="34">
        <f t="shared" si="46"/>
        <v>0</v>
      </c>
      <c r="R104" s="33">
        <f t="shared" si="47"/>
        <v>1</v>
      </c>
      <c r="S104" s="34">
        <f t="shared" si="55"/>
        <v>8000</v>
      </c>
      <c r="T104" s="34">
        <f t="shared" si="48"/>
        <v>1</v>
      </c>
      <c r="U104" s="34">
        <f t="shared" si="49"/>
        <v>0</v>
      </c>
      <c r="V104" s="34">
        <f t="shared" si="50"/>
        <v>1</v>
      </c>
      <c r="W104" s="34" t="str">
        <f t="shared" si="51"/>
        <v>SCT</v>
      </c>
      <c r="X104" s="34">
        <f t="shared" si="52"/>
        <v>0</v>
      </c>
      <c r="Y104" s="34">
        <f t="shared" si="53"/>
        <v>1000</v>
      </c>
      <c r="Z104" s="34">
        <f t="shared" si="54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5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5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41.666666666666671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70680-D93A-B042-B2C6-CAEC842D15D8}">
  <sheetPr>
    <tabColor theme="0"/>
  </sheetPr>
  <dimension ref="A1:AE115"/>
  <sheetViews>
    <sheetView zoomScale="90" zoomScaleNormal="90" workbookViewId="0">
      <selection activeCell="C97" sqref="C97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208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3</v>
      </c>
      <c r="B7" s="28">
        <v>0</v>
      </c>
      <c r="C7" s="29" t="s">
        <v>39</v>
      </c>
      <c r="D7" s="29"/>
      <c r="E7" s="29">
        <v>170</v>
      </c>
      <c r="F7" s="29">
        <v>3</v>
      </c>
      <c r="G7" s="29">
        <v>0</v>
      </c>
      <c r="H7" s="29">
        <v>8000</v>
      </c>
      <c r="I7" s="29">
        <v>0</v>
      </c>
      <c r="J7" s="30" t="s">
        <v>53</v>
      </c>
      <c r="K7" s="29">
        <v>1000</v>
      </c>
      <c r="L7" s="58" t="s">
        <v>202</v>
      </c>
      <c r="M7" s="32">
        <f t="shared" ref="M7:M18" si="0">IF(ISNUMBER(VALUE(FIND("VRB",L7))),999,VALUE(MID(L7,20,3)))</f>
        <v>280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3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8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SCT</v>
      </c>
      <c r="X7" s="34">
        <f t="shared" ref="X7:X18" si="10">IF(OR(AND(OR(J7="SKC",J7="FEW",J7="SCT"),OR(W7="SKC",W7="FEW",W7="SCT")),(AND(OR(J7="BKN",J7="OVC"),OR(W7="BKN",W7="OVC")))),1,0)</f>
        <v>1</v>
      </c>
      <c r="Y7" s="34">
        <f t="shared" ref="Y7:Y18" si="11">IF(ISNUMBER(VALUE(FIND("CAVOK",L7))),9999,IF(ISNUMBER(VALUE(FIND("NSC",L7))),9999,(MID(L7,(FIND(W7,L7)+4),2))*100))</f>
        <v>900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170</v>
      </c>
      <c r="F8" s="29">
        <v>3</v>
      </c>
      <c r="G8" s="29">
        <v>0</v>
      </c>
      <c r="H8" s="29">
        <v>8000</v>
      </c>
      <c r="I8" s="29">
        <v>0</v>
      </c>
      <c r="J8" s="30" t="s">
        <v>53</v>
      </c>
      <c r="K8" s="29">
        <v>1000</v>
      </c>
      <c r="L8" s="58" t="s">
        <v>203</v>
      </c>
      <c r="M8" s="32">
        <f t="shared" si="0"/>
        <v>110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SCT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170</v>
      </c>
      <c r="F9" s="29">
        <v>3</v>
      </c>
      <c r="G9" s="29">
        <v>0</v>
      </c>
      <c r="H9" s="29">
        <v>8000</v>
      </c>
      <c r="I9" s="29">
        <v>0</v>
      </c>
      <c r="J9" s="30" t="s">
        <v>53</v>
      </c>
      <c r="K9" s="29">
        <v>1000</v>
      </c>
      <c r="L9" s="58" t="s">
        <v>204</v>
      </c>
      <c r="M9" s="32">
        <f t="shared" si="0"/>
        <v>110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SCT</v>
      </c>
      <c r="X9" s="34">
        <f t="shared" si="10"/>
        <v>1</v>
      </c>
      <c r="Y9" s="34">
        <f t="shared" si="11"/>
        <v>1000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170</v>
      </c>
      <c r="F10" s="29">
        <v>3</v>
      </c>
      <c r="G10" s="29">
        <v>0</v>
      </c>
      <c r="H10" s="29">
        <v>8000</v>
      </c>
      <c r="I10" s="29">
        <v>0</v>
      </c>
      <c r="J10" s="30" t="s">
        <v>53</v>
      </c>
      <c r="K10" s="29">
        <v>1000</v>
      </c>
      <c r="L10" s="58" t="s">
        <v>205</v>
      </c>
      <c r="M10" s="32">
        <f t="shared" si="0"/>
        <v>140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SCT</v>
      </c>
      <c r="X10" s="34">
        <f t="shared" si="10"/>
        <v>1</v>
      </c>
      <c r="Y10" s="34">
        <f t="shared" si="11"/>
        <v>1000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170</v>
      </c>
      <c r="F11" s="29">
        <v>3</v>
      </c>
      <c r="G11" s="29">
        <v>0</v>
      </c>
      <c r="H11" s="29">
        <v>8000</v>
      </c>
      <c r="I11" s="29">
        <v>0</v>
      </c>
      <c r="J11" s="30" t="s">
        <v>53</v>
      </c>
      <c r="K11" s="29">
        <v>1000</v>
      </c>
      <c r="L11" s="58" t="s">
        <v>206</v>
      </c>
      <c r="M11" s="32">
        <f t="shared" si="0"/>
        <v>320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SCT</v>
      </c>
      <c r="X11" s="34">
        <f t="shared" si="10"/>
        <v>1</v>
      </c>
      <c r="Y11" s="34">
        <f t="shared" si="11"/>
        <v>1000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170</v>
      </c>
      <c r="F12" s="29">
        <v>3</v>
      </c>
      <c r="G12" s="29">
        <v>0</v>
      </c>
      <c r="H12" s="29">
        <v>8000</v>
      </c>
      <c r="I12" s="29">
        <v>0</v>
      </c>
      <c r="J12" s="30" t="s">
        <v>53</v>
      </c>
      <c r="K12" s="29">
        <v>1000</v>
      </c>
      <c r="L12" s="58" t="s">
        <v>207</v>
      </c>
      <c r="M12" s="32">
        <f t="shared" si="0"/>
        <v>40</v>
      </c>
      <c r="N12" s="33">
        <f t="shared" si="1"/>
        <v>1</v>
      </c>
      <c r="O12" s="33">
        <f t="shared" si="2"/>
        <v>5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SCT</v>
      </c>
      <c r="X12" s="34">
        <f t="shared" si="10"/>
        <v>1</v>
      </c>
      <c r="Y12" s="34">
        <f t="shared" si="11"/>
        <v>1000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170</v>
      </c>
      <c r="F13" s="29">
        <v>3</v>
      </c>
      <c r="G13" s="29">
        <v>0</v>
      </c>
      <c r="H13" s="29">
        <v>8000</v>
      </c>
      <c r="I13" s="29">
        <v>0</v>
      </c>
      <c r="J13" s="30" t="s">
        <v>53</v>
      </c>
      <c r="K13" s="29">
        <v>1000</v>
      </c>
      <c r="L13" s="58" t="s">
        <v>181</v>
      </c>
      <c r="M13" s="32">
        <f t="shared" si="0"/>
        <v>130</v>
      </c>
      <c r="N13" s="33">
        <f t="shared" si="1"/>
        <v>1</v>
      </c>
      <c r="O13" s="33">
        <f t="shared" si="2"/>
        <v>7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SCT</v>
      </c>
      <c r="X13" s="34">
        <f t="shared" si="10"/>
        <v>1</v>
      </c>
      <c r="Y13" s="34">
        <f t="shared" si="11"/>
        <v>1000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170</v>
      </c>
      <c r="F14" s="29">
        <v>3</v>
      </c>
      <c r="G14" s="29">
        <v>0</v>
      </c>
      <c r="H14" s="29">
        <v>8000</v>
      </c>
      <c r="I14" s="29">
        <v>0</v>
      </c>
      <c r="J14" s="30" t="s">
        <v>53</v>
      </c>
      <c r="K14" s="29">
        <v>1000</v>
      </c>
      <c r="L14" s="58" t="s">
        <v>182</v>
      </c>
      <c r="M14" s="32">
        <f t="shared" si="0"/>
        <v>120</v>
      </c>
      <c r="N14" s="33">
        <f t="shared" si="1"/>
        <v>1</v>
      </c>
      <c r="O14" s="33">
        <f t="shared" si="2"/>
        <v>4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BKN</v>
      </c>
      <c r="X14" s="34">
        <f t="shared" si="10"/>
        <v>0</v>
      </c>
      <c r="Y14" s="34">
        <f t="shared" si="11"/>
        <v>1000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170</v>
      </c>
      <c r="F15" s="29">
        <v>3</v>
      </c>
      <c r="G15" s="29">
        <v>0</v>
      </c>
      <c r="H15" s="29">
        <v>8000</v>
      </c>
      <c r="I15" s="29">
        <v>0</v>
      </c>
      <c r="J15" s="30" t="s">
        <v>53</v>
      </c>
      <c r="K15" s="29">
        <v>1000</v>
      </c>
      <c r="L15" s="58" t="s">
        <v>183</v>
      </c>
      <c r="M15" s="32">
        <f t="shared" si="0"/>
        <v>170</v>
      </c>
      <c r="N15" s="33">
        <f t="shared" si="1"/>
        <v>1</v>
      </c>
      <c r="O15" s="33">
        <f t="shared" si="2"/>
        <v>5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3"/>
        <v>8000</v>
      </c>
      <c r="T15" s="34">
        <f t="shared" si="6"/>
        <v>1</v>
      </c>
      <c r="U15" s="34">
        <f t="shared" si="7"/>
        <v>0</v>
      </c>
      <c r="V15" s="34">
        <f t="shared" si="8"/>
        <v>1</v>
      </c>
      <c r="W15" s="34" t="str">
        <f t="shared" si="9"/>
        <v>BKN</v>
      </c>
      <c r="X15" s="34">
        <f t="shared" si="10"/>
        <v>0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170</v>
      </c>
      <c r="F16" s="29">
        <v>3</v>
      </c>
      <c r="G16" s="29">
        <v>0</v>
      </c>
      <c r="H16" s="29">
        <v>8000</v>
      </c>
      <c r="I16" s="29">
        <v>0</v>
      </c>
      <c r="J16" s="30" t="s">
        <v>53</v>
      </c>
      <c r="K16" s="29">
        <v>1000</v>
      </c>
      <c r="L16" s="58" t="s">
        <v>184</v>
      </c>
      <c r="M16" s="32">
        <f t="shared" si="0"/>
        <v>200</v>
      </c>
      <c r="N16" s="33">
        <f t="shared" si="1"/>
        <v>1</v>
      </c>
      <c r="O16" s="33">
        <f t="shared" si="2"/>
        <v>2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3"/>
        <v>8000</v>
      </c>
      <c r="T16" s="34">
        <f t="shared" si="6"/>
        <v>1</v>
      </c>
      <c r="U16" s="34">
        <f t="shared" si="7"/>
        <v>0</v>
      </c>
      <c r="V16" s="34">
        <f t="shared" si="8"/>
        <v>1</v>
      </c>
      <c r="W16" s="34" t="str">
        <f t="shared" si="9"/>
        <v>BKN</v>
      </c>
      <c r="X16" s="34">
        <f t="shared" si="10"/>
        <v>0</v>
      </c>
      <c r="Y16" s="34">
        <f t="shared" si="11"/>
        <v>900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170</v>
      </c>
      <c r="F17" s="29">
        <v>3</v>
      </c>
      <c r="G17" s="29">
        <v>0</v>
      </c>
      <c r="H17" s="29">
        <v>8000</v>
      </c>
      <c r="I17" s="29">
        <v>0</v>
      </c>
      <c r="J17" s="30" t="s">
        <v>53</v>
      </c>
      <c r="K17" s="29">
        <v>1000</v>
      </c>
      <c r="L17" s="58" t="s">
        <v>185</v>
      </c>
      <c r="M17" s="32">
        <f t="shared" si="0"/>
        <v>220</v>
      </c>
      <c r="N17" s="33">
        <f t="shared" si="1"/>
        <v>1</v>
      </c>
      <c r="O17" s="33">
        <f t="shared" si="2"/>
        <v>2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3"/>
        <v>5000</v>
      </c>
      <c r="T17" s="34">
        <f t="shared" si="6"/>
        <v>1</v>
      </c>
      <c r="U17" s="34" t="str">
        <f t="shared" si="7"/>
        <v>RA</v>
      </c>
      <c r="V17" s="34">
        <f t="shared" si="8"/>
        <v>0</v>
      </c>
      <c r="W17" s="34" t="str">
        <f t="shared" si="9"/>
        <v>FEW</v>
      </c>
      <c r="X17" s="34">
        <f t="shared" si="10"/>
        <v>1</v>
      </c>
      <c r="Y17" s="34">
        <f t="shared" si="11"/>
        <v>800</v>
      </c>
      <c r="Z17" s="34">
        <f t="shared" si="12"/>
        <v>0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170</v>
      </c>
      <c r="F18" s="29">
        <v>3</v>
      </c>
      <c r="G18" s="29">
        <v>0</v>
      </c>
      <c r="H18" s="29">
        <v>8000</v>
      </c>
      <c r="I18" s="29">
        <v>0</v>
      </c>
      <c r="J18" s="30" t="s">
        <v>53</v>
      </c>
      <c r="K18" s="29">
        <v>1000</v>
      </c>
      <c r="L18" s="58" t="s">
        <v>186</v>
      </c>
      <c r="M18" s="32">
        <f t="shared" si="0"/>
        <v>150</v>
      </c>
      <c r="N18" s="33">
        <f t="shared" si="1"/>
        <v>1</v>
      </c>
      <c r="O18" s="33">
        <f t="shared" si="2"/>
        <v>2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3"/>
        <v>1000</v>
      </c>
      <c r="T18" s="34">
        <f t="shared" si="6"/>
        <v>0</v>
      </c>
      <c r="U18" s="34" t="str">
        <f t="shared" si="7"/>
        <v>RA</v>
      </c>
      <c r="V18" s="34">
        <f t="shared" si="8"/>
        <v>0</v>
      </c>
      <c r="W18" s="34" t="str">
        <f t="shared" si="9"/>
        <v>FEW</v>
      </c>
      <c r="X18" s="34">
        <f t="shared" si="10"/>
        <v>1</v>
      </c>
      <c r="Y18" s="34">
        <f t="shared" si="11"/>
        <v>800</v>
      </c>
      <c r="Z18" s="34">
        <f t="shared" si="12"/>
        <v>0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11</v>
      </c>
      <c r="U23" s="25"/>
      <c r="V23" s="25">
        <f>SUM(V7:V18)</f>
        <v>10</v>
      </c>
      <c r="W23" s="25"/>
      <c r="X23" s="25">
        <f>SUM(X7:X18)</f>
        <v>9</v>
      </c>
      <c r="Y23" s="25"/>
      <c r="Z23" s="25">
        <f>SUM(Z7:Z18)</f>
        <v>10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11</v>
      </c>
      <c r="U24" s="25"/>
      <c r="V24" s="25">
        <f>SUMIF($C7:$C18,"GENERAL",V7:V18)</f>
        <v>10</v>
      </c>
      <c r="W24" s="25"/>
      <c r="X24" s="25">
        <f>SUMIF($C7:$C18,"GENERAL",X7:X18)</f>
        <v>9</v>
      </c>
      <c r="Y24" s="25"/>
      <c r="Z24" s="25">
        <f>SUMIF($C7:$C18,"GENERAL",Z7:Z18)</f>
        <v>10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91.666666666666657</v>
      </c>
      <c r="U28" s="38"/>
      <c r="V28" s="38">
        <f>(SUM(V24:V27)/COUNTA(V7:V18))*100</f>
        <v>83.333333333333343</v>
      </c>
      <c r="W28" s="38"/>
      <c r="X28" s="38">
        <f>(SUM(X24:X27)/COUNTA(X7:X18))*100</f>
        <v>75</v>
      </c>
      <c r="Y28" s="38"/>
      <c r="Z28" s="38">
        <f>(SUM(Z24:Z27)/COUNTA(Z7:Z18))*100</f>
        <v>83.333333333333343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180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3</v>
      </c>
      <c r="B36" s="28">
        <v>0.25</v>
      </c>
      <c r="C36" s="29" t="s">
        <v>39</v>
      </c>
      <c r="D36" s="30"/>
      <c r="E36" s="29">
        <v>340</v>
      </c>
      <c r="F36" s="29">
        <v>3</v>
      </c>
      <c r="G36" s="29">
        <v>0</v>
      </c>
      <c r="H36" s="29">
        <v>8000</v>
      </c>
      <c r="I36" s="29">
        <v>0</v>
      </c>
      <c r="J36" s="30" t="s">
        <v>58</v>
      </c>
      <c r="K36" s="29">
        <v>900</v>
      </c>
      <c r="L36" s="1" t="s">
        <v>181</v>
      </c>
      <c r="M36" s="32">
        <f t="shared" ref="M36:M47" si="14">IF(ISNUMBER(VALUE(FIND("VRB",L36))),999,VALUE(MID(L36,20,3)))</f>
        <v>130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7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1">IF(AND(IFERROR(FIND("RA",L36),0)&gt;0, IFERROR(FIND("RA",L36),0)&lt;38),"RA",0)</f>
        <v>0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SCT</v>
      </c>
      <c r="X36" s="34">
        <f t="shared" ref="X36:X47" si="24">IF(OR(AND(OR(J36="SKC",J36="FEW",J36="SCT"),OR(W36="SKC",W36="FEW",W36="SCT")),(AND(OR(J36="BKN",J36="OVC"),OR(W36="BKN",W36="OVC")))),1,0)</f>
        <v>0</v>
      </c>
      <c r="Y36" s="34">
        <f t="shared" ref="Y36:Y47" si="25">IF(ISNUMBER(VALUE(FIND("CAVOK",L36))),9999,IF(ISNUMBER(VALUE(FIND("NSC",L36))),9999,(MID(L36,(FIND(W36,L36)+4),2))*100))</f>
        <v>1000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340</v>
      </c>
      <c r="F37" s="29">
        <v>3</v>
      </c>
      <c r="G37" s="29">
        <v>0</v>
      </c>
      <c r="H37" s="29">
        <v>8000</v>
      </c>
      <c r="I37" s="29">
        <v>0</v>
      </c>
      <c r="J37" s="30" t="s">
        <v>58</v>
      </c>
      <c r="K37" s="29">
        <v>900</v>
      </c>
      <c r="L37" s="1" t="s">
        <v>182</v>
      </c>
      <c r="M37" s="32">
        <f t="shared" si="14"/>
        <v>120</v>
      </c>
      <c r="N37" s="33">
        <f t="shared" si="15"/>
        <v>1</v>
      </c>
      <c r="O37" s="33">
        <f t="shared" si="16"/>
        <v>4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20"/>
        <v>1</v>
      </c>
      <c r="U37" s="34">
        <f t="shared" si="21"/>
        <v>0</v>
      </c>
      <c r="V37" s="34">
        <f t="shared" si="22"/>
        <v>1</v>
      </c>
      <c r="W37" s="34" t="str">
        <f t="shared" si="23"/>
        <v>BKN</v>
      </c>
      <c r="X37" s="34">
        <f t="shared" si="24"/>
        <v>1</v>
      </c>
      <c r="Y37" s="34">
        <f t="shared" si="25"/>
        <v>1000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340</v>
      </c>
      <c r="F38" s="29">
        <v>3</v>
      </c>
      <c r="G38" s="29">
        <v>0</v>
      </c>
      <c r="H38" s="29">
        <v>8000</v>
      </c>
      <c r="I38" s="29">
        <v>0</v>
      </c>
      <c r="J38" s="30" t="s">
        <v>58</v>
      </c>
      <c r="K38" s="29">
        <v>900</v>
      </c>
      <c r="L38" s="1" t="s">
        <v>183</v>
      </c>
      <c r="M38" s="32">
        <f t="shared" si="14"/>
        <v>170</v>
      </c>
      <c r="N38" s="33">
        <f t="shared" si="15"/>
        <v>1</v>
      </c>
      <c r="O38" s="33">
        <f t="shared" si="16"/>
        <v>5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8000</v>
      </c>
      <c r="T38" s="34">
        <f t="shared" si="20"/>
        <v>1</v>
      </c>
      <c r="U38" s="34">
        <f t="shared" si="21"/>
        <v>0</v>
      </c>
      <c r="V38" s="34">
        <f t="shared" si="22"/>
        <v>1</v>
      </c>
      <c r="W38" s="34" t="str">
        <f t="shared" si="23"/>
        <v>BKN</v>
      </c>
      <c r="X38" s="34">
        <f t="shared" si="24"/>
        <v>1</v>
      </c>
      <c r="Y38" s="34">
        <f t="shared" si="25"/>
        <v>900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340</v>
      </c>
      <c r="F39" s="29">
        <v>3</v>
      </c>
      <c r="G39" s="29">
        <v>0</v>
      </c>
      <c r="H39" s="29">
        <v>8000</v>
      </c>
      <c r="I39" s="29">
        <v>0</v>
      </c>
      <c r="J39" s="30" t="s">
        <v>58</v>
      </c>
      <c r="K39" s="29">
        <v>900</v>
      </c>
      <c r="L39" s="1" t="s">
        <v>184</v>
      </c>
      <c r="M39" s="32">
        <f t="shared" si="14"/>
        <v>200</v>
      </c>
      <c r="N39" s="33">
        <f t="shared" si="15"/>
        <v>1</v>
      </c>
      <c r="O39" s="33">
        <f t="shared" si="16"/>
        <v>2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8000</v>
      </c>
      <c r="T39" s="34">
        <f t="shared" si="20"/>
        <v>1</v>
      </c>
      <c r="U39" s="34">
        <f t="shared" si="21"/>
        <v>0</v>
      </c>
      <c r="V39" s="34">
        <f t="shared" si="22"/>
        <v>1</v>
      </c>
      <c r="W39" s="34" t="str">
        <f t="shared" si="23"/>
        <v>BKN</v>
      </c>
      <c r="X39" s="34">
        <f t="shared" si="24"/>
        <v>1</v>
      </c>
      <c r="Y39" s="34">
        <f t="shared" si="25"/>
        <v>900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340</v>
      </c>
      <c r="F40" s="29">
        <v>3</v>
      </c>
      <c r="G40" s="29">
        <v>0</v>
      </c>
      <c r="H40" s="29">
        <v>8000</v>
      </c>
      <c r="I40" s="29">
        <v>0</v>
      </c>
      <c r="J40" s="30" t="s">
        <v>58</v>
      </c>
      <c r="K40" s="29">
        <v>900</v>
      </c>
      <c r="L40" s="1" t="s">
        <v>185</v>
      </c>
      <c r="M40" s="32">
        <f t="shared" si="14"/>
        <v>220</v>
      </c>
      <c r="N40" s="33">
        <f t="shared" si="15"/>
        <v>1</v>
      </c>
      <c r="O40" s="33">
        <f t="shared" si="16"/>
        <v>2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5000</v>
      </c>
      <c r="T40" s="34">
        <f t="shared" si="20"/>
        <v>1</v>
      </c>
      <c r="U40" s="34" t="str">
        <f t="shared" si="21"/>
        <v>RA</v>
      </c>
      <c r="V40" s="34">
        <f t="shared" si="22"/>
        <v>0</v>
      </c>
      <c r="W40" s="34" t="str">
        <f t="shared" si="23"/>
        <v>FEW</v>
      </c>
      <c r="X40" s="34">
        <f t="shared" si="24"/>
        <v>0</v>
      </c>
      <c r="Y40" s="34">
        <f t="shared" si="25"/>
        <v>800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340</v>
      </c>
      <c r="F41" s="29">
        <v>3</v>
      </c>
      <c r="G41" s="29">
        <v>0</v>
      </c>
      <c r="H41" s="29">
        <v>8000</v>
      </c>
      <c r="I41" s="29">
        <v>0</v>
      </c>
      <c r="J41" s="30" t="s">
        <v>58</v>
      </c>
      <c r="K41" s="29">
        <v>900</v>
      </c>
      <c r="L41" s="1" t="s">
        <v>186</v>
      </c>
      <c r="M41" s="32">
        <f t="shared" si="14"/>
        <v>150</v>
      </c>
      <c r="N41" s="33">
        <f t="shared" si="15"/>
        <v>1</v>
      </c>
      <c r="O41" s="33">
        <f t="shared" si="16"/>
        <v>2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1000</v>
      </c>
      <c r="T41" s="34">
        <f t="shared" si="20"/>
        <v>0</v>
      </c>
      <c r="U41" s="34" t="str">
        <f t="shared" si="21"/>
        <v>RA</v>
      </c>
      <c r="V41" s="34">
        <f t="shared" si="22"/>
        <v>0</v>
      </c>
      <c r="W41" s="34" t="str">
        <f t="shared" si="23"/>
        <v>FEW</v>
      </c>
      <c r="X41" s="34">
        <f t="shared" si="24"/>
        <v>0</v>
      </c>
      <c r="Y41" s="34">
        <f t="shared" si="25"/>
        <v>800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340</v>
      </c>
      <c r="F42" s="29">
        <v>3</v>
      </c>
      <c r="G42" s="29">
        <v>0</v>
      </c>
      <c r="H42" s="29">
        <v>8000</v>
      </c>
      <c r="I42" s="29">
        <v>0</v>
      </c>
      <c r="J42" s="30" t="s">
        <v>58</v>
      </c>
      <c r="K42" s="29">
        <v>900</v>
      </c>
      <c r="L42" s="1" t="s">
        <v>187</v>
      </c>
      <c r="M42" s="32">
        <f t="shared" si="14"/>
        <v>310</v>
      </c>
      <c r="N42" s="33">
        <f t="shared" si="15"/>
        <v>1</v>
      </c>
      <c r="O42" s="33">
        <f t="shared" si="16"/>
        <v>2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7"/>
        <v>5000</v>
      </c>
      <c r="T42" s="34">
        <f t="shared" si="20"/>
        <v>1</v>
      </c>
      <c r="U42" s="34">
        <f t="shared" si="21"/>
        <v>0</v>
      </c>
      <c r="V42" s="34">
        <f t="shared" si="22"/>
        <v>1</v>
      </c>
      <c r="W42" s="34" t="str">
        <f t="shared" si="23"/>
        <v>FEW</v>
      </c>
      <c r="X42" s="34">
        <f t="shared" si="24"/>
        <v>0</v>
      </c>
      <c r="Y42" s="34">
        <f t="shared" si="25"/>
        <v>800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340</v>
      </c>
      <c r="F43" s="29">
        <v>3</v>
      </c>
      <c r="G43" s="29">
        <v>0</v>
      </c>
      <c r="H43" s="29">
        <v>8000</v>
      </c>
      <c r="I43" s="29">
        <v>0</v>
      </c>
      <c r="J43" s="30" t="s">
        <v>58</v>
      </c>
      <c r="K43" s="29">
        <v>900</v>
      </c>
      <c r="L43" s="1" t="s">
        <v>188</v>
      </c>
      <c r="M43" s="32">
        <f t="shared" si="14"/>
        <v>290</v>
      </c>
      <c r="N43" s="33">
        <f t="shared" si="15"/>
        <v>1</v>
      </c>
      <c r="O43" s="33">
        <f t="shared" si="16"/>
        <v>2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7"/>
        <v>8000</v>
      </c>
      <c r="T43" s="34">
        <f t="shared" si="20"/>
        <v>1</v>
      </c>
      <c r="U43" s="34">
        <f t="shared" si="21"/>
        <v>0</v>
      </c>
      <c r="V43" s="34">
        <f t="shared" si="22"/>
        <v>1</v>
      </c>
      <c r="W43" s="34" t="str">
        <f t="shared" si="23"/>
        <v>FEW</v>
      </c>
      <c r="X43" s="34">
        <f t="shared" si="24"/>
        <v>0</v>
      </c>
      <c r="Y43" s="34">
        <f t="shared" si="25"/>
        <v>800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340</v>
      </c>
      <c r="F44" s="29">
        <v>3</v>
      </c>
      <c r="G44" s="29">
        <v>0</v>
      </c>
      <c r="H44" s="29">
        <v>8000</v>
      </c>
      <c r="I44" s="29">
        <v>0</v>
      </c>
      <c r="J44" s="30" t="s">
        <v>58</v>
      </c>
      <c r="K44" s="29">
        <v>900</v>
      </c>
      <c r="L44" s="1" t="s">
        <v>189</v>
      </c>
      <c r="M44" s="32">
        <f t="shared" si="14"/>
        <v>240</v>
      </c>
      <c r="N44" s="33">
        <f t="shared" si="15"/>
        <v>1</v>
      </c>
      <c r="O44" s="33">
        <f t="shared" si="16"/>
        <v>2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7"/>
        <v>8000</v>
      </c>
      <c r="T44" s="34">
        <f t="shared" si="20"/>
        <v>1</v>
      </c>
      <c r="U44" s="34">
        <f t="shared" si="21"/>
        <v>0</v>
      </c>
      <c r="V44" s="34">
        <f t="shared" si="22"/>
        <v>1</v>
      </c>
      <c r="W44" s="34" t="str">
        <f t="shared" si="23"/>
        <v>FEW</v>
      </c>
      <c r="X44" s="34">
        <f t="shared" si="24"/>
        <v>0</v>
      </c>
      <c r="Y44" s="34">
        <f t="shared" si="25"/>
        <v>800</v>
      </c>
      <c r="Z44" s="34">
        <f t="shared" si="2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340</v>
      </c>
      <c r="F45" s="29">
        <v>3</v>
      </c>
      <c r="G45" s="29">
        <v>0</v>
      </c>
      <c r="H45" s="29">
        <v>8000</v>
      </c>
      <c r="I45" s="29">
        <v>0</v>
      </c>
      <c r="J45" s="30" t="s">
        <v>58</v>
      </c>
      <c r="K45" s="29">
        <v>900</v>
      </c>
      <c r="L45" s="1" t="s">
        <v>190</v>
      </c>
      <c r="M45" s="32">
        <f t="shared" si="14"/>
        <v>280</v>
      </c>
      <c r="N45" s="33">
        <f t="shared" si="15"/>
        <v>1</v>
      </c>
      <c r="O45" s="33">
        <f t="shared" si="16"/>
        <v>2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7"/>
        <v>8000</v>
      </c>
      <c r="T45" s="34">
        <f t="shared" si="20"/>
        <v>1</v>
      </c>
      <c r="U45" s="34">
        <f t="shared" si="21"/>
        <v>0</v>
      </c>
      <c r="V45" s="34">
        <f t="shared" si="22"/>
        <v>1</v>
      </c>
      <c r="W45" s="34" t="str">
        <f t="shared" si="23"/>
        <v>FEW</v>
      </c>
      <c r="X45" s="34">
        <f t="shared" si="24"/>
        <v>0</v>
      </c>
      <c r="Y45" s="34">
        <f t="shared" si="25"/>
        <v>800</v>
      </c>
      <c r="Z45" s="34">
        <f t="shared" si="2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340</v>
      </c>
      <c r="F46" s="29">
        <v>3</v>
      </c>
      <c r="G46" s="29">
        <v>0</v>
      </c>
      <c r="H46" s="29">
        <v>8000</v>
      </c>
      <c r="I46" s="29">
        <v>0</v>
      </c>
      <c r="J46" s="30" t="s">
        <v>58</v>
      </c>
      <c r="K46" s="29">
        <v>900</v>
      </c>
      <c r="L46" s="1" t="s">
        <v>191</v>
      </c>
      <c r="M46" s="32">
        <f t="shared" si="14"/>
        <v>10</v>
      </c>
      <c r="N46" s="33">
        <f t="shared" si="15"/>
        <v>1</v>
      </c>
      <c r="O46" s="33">
        <f t="shared" si="16"/>
        <v>2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7"/>
        <v>8000</v>
      </c>
      <c r="T46" s="34">
        <f t="shared" si="20"/>
        <v>1</v>
      </c>
      <c r="U46" s="34">
        <f t="shared" si="21"/>
        <v>0</v>
      </c>
      <c r="V46" s="34">
        <f t="shared" si="22"/>
        <v>1</v>
      </c>
      <c r="W46" s="34" t="str">
        <f t="shared" si="23"/>
        <v>BKN</v>
      </c>
      <c r="X46" s="34">
        <f t="shared" si="24"/>
        <v>1</v>
      </c>
      <c r="Y46" s="34">
        <f t="shared" si="25"/>
        <v>800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340</v>
      </c>
      <c r="F47" s="29">
        <v>3</v>
      </c>
      <c r="G47" s="29">
        <v>0</v>
      </c>
      <c r="H47" s="29">
        <v>8000</v>
      </c>
      <c r="I47" s="29">
        <v>0</v>
      </c>
      <c r="J47" s="30" t="s">
        <v>58</v>
      </c>
      <c r="K47" s="29">
        <v>900</v>
      </c>
      <c r="L47" s="1" t="s">
        <v>192</v>
      </c>
      <c r="M47" s="32">
        <f t="shared" si="14"/>
        <v>300</v>
      </c>
      <c r="N47" s="33">
        <f t="shared" si="15"/>
        <v>1</v>
      </c>
      <c r="O47" s="33">
        <f t="shared" si="16"/>
        <v>3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8000</v>
      </c>
      <c r="T47" s="34">
        <f t="shared" si="20"/>
        <v>1</v>
      </c>
      <c r="U47" s="34">
        <f t="shared" si="21"/>
        <v>0</v>
      </c>
      <c r="V47" s="34">
        <f t="shared" si="22"/>
        <v>1</v>
      </c>
      <c r="W47" s="34" t="str">
        <f t="shared" si="23"/>
        <v>BKN</v>
      </c>
      <c r="X47" s="34">
        <f t="shared" si="24"/>
        <v>1</v>
      </c>
      <c r="Y47" s="34">
        <f t="shared" si="25"/>
        <v>800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11</v>
      </c>
      <c r="U52" s="25"/>
      <c r="V52" s="25">
        <f>SUM(V36:V47)</f>
        <v>10</v>
      </c>
      <c r="W52" s="25"/>
      <c r="X52" s="25">
        <f>SUM(X36:X47)</f>
        <v>5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11</v>
      </c>
      <c r="U53" s="25"/>
      <c r="V53" s="25">
        <f>SUMIF($C36:$C47,"GENERAL",V36:V47)</f>
        <v>10</v>
      </c>
      <c r="W53" s="25"/>
      <c r="X53" s="25">
        <f>SUMIF($C36:$C47,"GENERAL",X36:X47)</f>
        <v>5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91.666666666666657</v>
      </c>
      <c r="U57" s="38"/>
      <c r="V57" s="38">
        <f>(SUM(V53:V56)/COUNTA(V36:V47))*100</f>
        <v>83.333333333333343</v>
      </c>
      <c r="W57" s="38"/>
      <c r="X57" s="38">
        <f>(SUM(X53:X56)/COUNTA(X36:X47))*100</f>
        <v>41.666666666666671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85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3</v>
      </c>
      <c r="B65" s="50">
        <v>0.5</v>
      </c>
      <c r="C65" s="51" t="s">
        <v>39</v>
      </c>
      <c r="D65" s="52"/>
      <c r="E65" s="51">
        <v>280</v>
      </c>
      <c r="F65" s="51">
        <v>2</v>
      </c>
      <c r="G65" s="51">
        <v>0</v>
      </c>
      <c r="H65" s="51">
        <v>8000</v>
      </c>
      <c r="I65" s="51">
        <v>0</v>
      </c>
      <c r="J65" s="52" t="s">
        <v>58</v>
      </c>
      <c r="K65" s="51">
        <v>900</v>
      </c>
      <c r="L65" s="57" t="s">
        <v>89</v>
      </c>
      <c r="M65" s="32">
        <f t="shared" ref="M65:M76" si="28">IF(ISNUMBER(VALUE(FIND("VRB",L65))),999,VALUE(MID(L65,20,3)))</f>
        <v>310</v>
      </c>
      <c r="N65" s="33">
        <f t="shared" ref="N65:N76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2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5000</v>
      </c>
      <c r="T65" s="34">
        <f t="shared" ref="T65:T76" si="3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5">IF(AND(IFERROR(FIND("RA",L65),0)&gt;0, IFERROR(FIND("RA",L65),0)&lt;38),"RA",0)</f>
        <v>0</v>
      </c>
      <c r="V65" s="34">
        <f t="shared" ref="V65:V76" si="36">IF(U65=I65,1,0)</f>
        <v>1</v>
      </c>
      <c r="W65" s="34" t="str">
        <f t="shared" ref="W65:W76" si="3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6" si="38">IF(OR(AND(OR(J65="SKC",J65="FEW",J65="SCT"),OR(W65="SKC",W65="FEW",W65="SCT")),(AND(OR(J65="BKN",J65="OVC"),OR(W65="BKN",W65="OVC")))),1,0)</f>
        <v>0</v>
      </c>
      <c r="Y65" s="34">
        <f t="shared" ref="Y65:Y76" si="39">IF(ISNUMBER(VALUE(FIND("CAVOK",L65))),9999,IF(ISNUMBER(VALUE(FIND("NSC",L65))),9999,(MID(L65,(FIND(W65,L65)+4),2))*100))</f>
        <v>800</v>
      </c>
      <c r="Z65" s="34">
        <f t="shared" ref="Z65:Z76" si="4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280</v>
      </c>
      <c r="F66" s="51">
        <v>2</v>
      </c>
      <c r="G66" s="51">
        <v>0</v>
      </c>
      <c r="H66" s="51">
        <v>8000</v>
      </c>
      <c r="I66" s="51">
        <v>0</v>
      </c>
      <c r="J66" s="52" t="s">
        <v>58</v>
      </c>
      <c r="K66" s="51">
        <v>900</v>
      </c>
      <c r="L66" s="57" t="s">
        <v>90</v>
      </c>
      <c r="M66" s="32">
        <f t="shared" si="28"/>
        <v>290</v>
      </c>
      <c r="N66" s="33">
        <f t="shared" si="29"/>
        <v>1</v>
      </c>
      <c r="O66" s="33">
        <f t="shared" si="30"/>
        <v>2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ref="S66:S76" si="41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34"/>
        <v>1</v>
      </c>
      <c r="U66" s="34">
        <f t="shared" si="35"/>
        <v>0</v>
      </c>
      <c r="V66" s="34">
        <f t="shared" si="36"/>
        <v>1</v>
      </c>
      <c r="W66" s="34" t="str">
        <f t="shared" si="37"/>
        <v>FEW</v>
      </c>
      <c r="X66" s="34">
        <f t="shared" si="38"/>
        <v>0</v>
      </c>
      <c r="Y66" s="34">
        <f t="shared" si="39"/>
        <v>800</v>
      </c>
      <c r="Z66" s="34">
        <f t="shared" si="4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280</v>
      </c>
      <c r="F67" s="51">
        <v>2</v>
      </c>
      <c r="G67" s="51">
        <v>0</v>
      </c>
      <c r="H67" s="51">
        <v>8000</v>
      </c>
      <c r="I67" s="51">
        <v>0</v>
      </c>
      <c r="J67" s="52" t="s">
        <v>58</v>
      </c>
      <c r="K67" s="51">
        <v>900</v>
      </c>
      <c r="L67" s="57" t="s">
        <v>91</v>
      </c>
      <c r="M67" s="32">
        <f t="shared" si="28"/>
        <v>240</v>
      </c>
      <c r="N67" s="33">
        <f t="shared" si="29"/>
        <v>1</v>
      </c>
      <c r="O67" s="33">
        <f t="shared" si="30"/>
        <v>2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41"/>
        <v>8000</v>
      </c>
      <c r="T67" s="34">
        <f t="shared" si="34"/>
        <v>1</v>
      </c>
      <c r="U67" s="34">
        <f t="shared" si="35"/>
        <v>0</v>
      </c>
      <c r="V67" s="34">
        <f t="shared" si="36"/>
        <v>1</v>
      </c>
      <c r="W67" s="34" t="str">
        <f t="shared" si="37"/>
        <v>FEW</v>
      </c>
      <c r="X67" s="34">
        <f t="shared" si="38"/>
        <v>0</v>
      </c>
      <c r="Y67" s="34">
        <f t="shared" si="39"/>
        <v>800</v>
      </c>
      <c r="Z67" s="34">
        <f t="shared" si="4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280</v>
      </c>
      <c r="F68" s="51">
        <v>2</v>
      </c>
      <c r="G68" s="51">
        <v>0</v>
      </c>
      <c r="H68" s="51">
        <v>8000</v>
      </c>
      <c r="I68" s="51">
        <v>0</v>
      </c>
      <c r="J68" s="52" t="s">
        <v>58</v>
      </c>
      <c r="K68" s="51">
        <v>900</v>
      </c>
      <c r="L68" s="57" t="s">
        <v>92</v>
      </c>
      <c r="M68" s="32">
        <f t="shared" si="28"/>
        <v>280</v>
      </c>
      <c r="N68" s="33">
        <f t="shared" si="29"/>
        <v>1</v>
      </c>
      <c r="O68" s="33">
        <f t="shared" si="30"/>
        <v>2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41"/>
        <v>8000</v>
      </c>
      <c r="T68" s="34">
        <f t="shared" si="34"/>
        <v>1</v>
      </c>
      <c r="U68" s="34">
        <f t="shared" si="35"/>
        <v>0</v>
      </c>
      <c r="V68" s="34">
        <f t="shared" si="36"/>
        <v>1</v>
      </c>
      <c r="W68" s="34" t="str">
        <f t="shared" si="37"/>
        <v>FEW</v>
      </c>
      <c r="X68" s="34">
        <f t="shared" si="38"/>
        <v>0</v>
      </c>
      <c r="Y68" s="34">
        <f t="shared" si="39"/>
        <v>800</v>
      </c>
      <c r="Z68" s="34">
        <f t="shared" si="4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280</v>
      </c>
      <c r="F69" s="51">
        <v>2</v>
      </c>
      <c r="G69" s="51">
        <v>0</v>
      </c>
      <c r="H69" s="51">
        <v>8000</v>
      </c>
      <c r="I69" s="51">
        <v>0</v>
      </c>
      <c r="J69" s="52" t="s">
        <v>58</v>
      </c>
      <c r="K69" s="51">
        <v>900</v>
      </c>
      <c r="L69" s="57" t="s">
        <v>93</v>
      </c>
      <c r="M69" s="32">
        <f t="shared" si="28"/>
        <v>10</v>
      </c>
      <c r="N69" s="33">
        <f t="shared" si="29"/>
        <v>1</v>
      </c>
      <c r="O69" s="33">
        <f t="shared" si="30"/>
        <v>2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41"/>
        <v>8000</v>
      </c>
      <c r="T69" s="34">
        <f t="shared" si="34"/>
        <v>1</v>
      </c>
      <c r="U69" s="34">
        <f t="shared" si="35"/>
        <v>0</v>
      </c>
      <c r="V69" s="34">
        <f t="shared" si="36"/>
        <v>1</v>
      </c>
      <c r="W69" s="34" t="str">
        <f t="shared" si="37"/>
        <v>BKN</v>
      </c>
      <c r="X69" s="34">
        <f t="shared" si="38"/>
        <v>1</v>
      </c>
      <c r="Y69" s="34">
        <f t="shared" si="39"/>
        <v>800</v>
      </c>
      <c r="Z69" s="34">
        <f t="shared" si="4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280</v>
      </c>
      <c r="F70" s="51">
        <v>2</v>
      </c>
      <c r="G70" s="51">
        <v>0</v>
      </c>
      <c r="H70" s="51">
        <v>8000</v>
      </c>
      <c r="I70" s="51">
        <v>0</v>
      </c>
      <c r="J70" s="52" t="s">
        <v>58</v>
      </c>
      <c r="K70" s="51">
        <v>900</v>
      </c>
      <c r="L70" s="57" t="s">
        <v>94</v>
      </c>
      <c r="M70" s="32">
        <f t="shared" si="28"/>
        <v>300</v>
      </c>
      <c r="N70" s="33">
        <f t="shared" si="29"/>
        <v>1</v>
      </c>
      <c r="O70" s="33">
        <f t="shared" si="30"/>
        <v>3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41"/>
        <v>8000</v>
      </c>
      <c r="T70" s="34">
        <f t="shared" si="34"/>
        <v>1</v>
      </c>
      <c r="U70" s="34">
        <f t="shared" si="35"/>
        <v>0</v>
      </c>
      <c r="V70" s="34">
        <f t="shared" si="36"/>
        <v>1</v>
      </c>
      <c r="W70" s="34" t="str">
        <f t="shared" si="37"/>
        <v>BKN</v>
      </c>
      <c r="X70" s="34">
        <f t="shared" si="38"/>
        <v>1</v>
      </c>
      <c r="Y70" s="34">
        <f t="shared" si="39"/>
        <v>800</v>
      </c>
      <c r="Z70" s="34">
        <f t="shared" si="4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280</v>
      </c>
      <c r="F71" s="51">
        <v>2</v>
      </c>
      <c r="G71" s="51">
        <v>0</v>
      </c>
      <c r="H71" s="51">
        <v>8000</v>
      </c>
      <c r="I71" s="51">
        <v>0</v>
      </c>
      <c r="J71" s="52" t="s">
        <v>58</v>
      </c>
      <c r="K71" s="51">
        <v>900</v>
      </c>
      <c r="L71" s="57" t="s">
        <v>95</v>
      </c>
      <c r="M71" s="32">
        <f t="shared" si="28"/>
        <v>350</v>
      </c>
      <c r="N71" s="33">
        <f t="shared" si="29"/>
        <v>1</v>
      </c>
      <c r="O71" s="33">
        <f t="shared" si="30"/>
        <v>4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41"/>
        <v>8000</v>
      </c>
      <c r="T71" s="34">
        <f t="shared" si="34"/>
        <v>1</v>
      </c>
      <c r="U71" s="34">
        <f t="shared" si="35"/>
        <v>0</v>
      </c>
      <c r="V71" s="34">
        <f t="shared" si="36"/>
        <v>1</v>
      </c>
      <c r="W71" s="34" t="str">
        <f t="shared" si="37"/>
        <v>FEW</v>
      </c>
      <c r="X71" s="34">
        <f t="shared" si="38"/>
        <v>0</v>
      </c>
      <c r="Y71" s="34">
        <f t="shared" si="39"/>
        <v>800</v>
      </c>
      <c r="Z71" s="34">
        <f t="shared" si="40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280</v>
      </c>
      <c r="F72" s="51">
        <v>2</v>
      </c>
      <c r="G72" s="51">
        <v>0</v>
      </c>
      <c r="H72" s="51">
        <v>8000</v>
      </c>
      <c r="I72" s="51">
        <v>0</v>
      </c>
      <c r="J72" s="52" t="s">
        <v>58</v>
      </c>
      <c r="K72" s="51">
        <v>900</v>
      </c>
      <c r="L72" s="57" t="s">
        <v>96</v>
      </c>
      <c r="M72" s="32">
        <f t="shared" si="28"/>
        <v>0</v>
      </c>
      <c r="N72" s="33">
        <f t="shared" si="29"/>
        <v>1</v>
      </c>
      <c r="O72" s="33">
        <f t="shared" si="30"/>
        <v>0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41"/>
        <v>1000</v>
      </c>
      <c r="T72" s="34">
        <f t="shared" si="34"/>
        <v>0</v>
      </c>
      <c r="U72" s="34" t="str">
        <f t="shared" si="35"/>
        <v>RA</v>
      </c>
      <c r="V72" s="34">
        <f t="shared" si="36"/>
        <v>0</v>
      </c>
      <c r="W72" s="34" t="str">
        <f t="shared" si="37"/>
        <v>BKN</v>
      </c>
      <c r="X72" s="34">
        <f t="shared" si="38"/>
        <v>1</v>
      </c>
      <c r="Y72" s="34">
        <f t="shared" si="39"/>
        <v>800</v>
      </c>
      <c r="Z72" s="34">
        <f t="shared" si="4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280</v>
      </c>
      <c r="F73" s="51">
        <v>2</v>
      </c>
      <c r="G73" s="51">
        <v>0</v>
      </c>
      <c r="H73" s="51">
        <v>8000</v>
      </c>
      <c r="I73" s="51">
        <v>0</v>
      </c>
      <c r="J73" s="52" t="s">
        <v>58</v>
      </c>
      <c r="K73" s="51">
        <v>900</v>
      </c>
      <c r="L73" s="57" t="s">
        <v>97</v>
      </c>
      <c r="M73" s="32">
        <f t="shared" si="28"/>
        <v>120</v>
      </c>
      <c r="N73" s="33">
        <f t="shared" si="29"/>
        <v>1</v>
      </c>
      <c r="O73" s="33">
        <f t="shared" si="30"/>
        <v>2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41"/>
        <v>1000</v>
      </c>
      <c r="T73" s="34">
        <f t="shared" si="34"/>
        <v>0</v>
      </c>
      <c r="U73" s="34" t="str">
        <f t="shared" si="35"/>
        <v>RA</v>
      </c>
      <c r="V73" s="34">
        <f t="shared" si="36"/>
        <v>0</v>
      </c>
      <c r="W73" s="34" t="str">
        <f t="shared" si="37"/>
        <v>OVC</v>
      </c>
      <c r="X73" s="34">
        <f t="shared" si="38"/>
        <v>1</v>
      </c>
      <c r="Y73" s="34">
        <f t="shared" si="39"/>
        <v>800</v>
      </c>
      <c r="Z73" s="34">
        <f t="shared" si="4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280</v>
      </c>
      <c r="F74" s="51">
        <v>2</v>
      </c>
      <c r="G74" s="51">
        <v>0</v>
      </c>
      <c r="H74" s="51">
        <v>8000</v>
      </c>
      <c r="I74" s="51">
        <v>0</v>
      </c>
      <c r="J74" s="52" t="s">
        <v>58</v>
      </c>
      <c r="K74" s="51">
        <v>900</v>
      </c>
      <c r="L74" s="57" t="s">
        <v>98</v>
      </c>
      <c r="M74" s="32">
        <f t="shared" si="28"/>
        <v>0</v>
      </c>
      <c r="N74" s="33">
        <f t="shared" si="29"/>
        <v>1</v>
      </c>
      <c r="O74" s="33">
        <f t="shared" si="30"/>
        <v>0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41"/>
        <v>1000</v>
      </c>
      <c r="T74" s="34">
        <f t="shared" si="34"/>
        <v>0</v>
      </c>
      <c r="U74" s="34" t="str">
        <f t="shared" si="35"/>
        <v>RA</v>
      </c>
      <c r="V74" s="34">
        <f t="shared" si="36"/>
        <v>0</v>
      </c>
      <c r="W74" s="34" t="str">
        <f t="shared" si="37"/>
        <v>OVC</v>
      </c>
      <c r="X74" s="34">
        <f t="shared" si="38"/>
        <v>1</v>
      </c>
      <c r="Y74" s="34">
        <f t="shared" si="39"/>
        <v>800</v>
      </c>
      <c r="Z74" s="34">
        <f t="shared" si="4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280</v>
      </c>
      <c r="F75" s="51">
        <v>2</v>
      </c>
      <c r="G75" s="51">
        <v>0</v>
      </c>
      <c r="H75" s="51">
        <v>8000</v>
      </c>
      <c r="I75" s="51">
        <v>0</v>
      </c>
      <c r="J75" s="52" t="s">
        <v>58</v>
      </c>
      <c r="K75" s="51">
        <v>900</v>
      </c>
      <c r="L75" s="57" t="s">
        <v>99</v>
      </c>
      <c r="M75" s="32">
        <f t="shared" si="28"/>
        <v>360</v>
      </c>
      <c r="N75" s="33">
        <f t="shared" si="29"/>
        <v>1</v>
      </c>
      <c r="O75" s="33">
        <f t="shared" si="30"/>
        <v>2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41"/>
        <v>5000</v>
      </c>
      <c r="T75" s="34">
        <f t="shared" si="34"/>
        <v>1</v>
      </c>
      <c r="U75" s="34">
        <f t="shared" si="35"/>
        <v>0</v>
      </c>
      <c r="V75" s="34">
        <f t="shared" si="36"/>
        <v>1</v>
      </c>
      <c r="W75" s="34" t="str">
        <f t="shared" si="37"/>
        <v>BKN</v>
      </c>
      <c r="X75" s="34">
        <f t="shared" si="38"/>
        <v>1</v>
      </c>
      <c r="Y75" s="34">
        <f t="shared" si="39"/>
        <v>800</v>
      </c>
      <c r="Z75" s="34">
        <f t="shared" si="4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280</v>
      </c>
      <c r="F76" s="51">
        <v>2</v>
      </c>
      <c r="G76" s="51">
        <v>0</v>
      </c>
      <c r="H76" s="51">
        <v>8000</v>
      </c>
      <c r="I76" s="51">
        <v>0</v>
      </c>
      <c r="J76" s="52" t="s">
        <v>58</v>
      </c>
      <c r="K76" s="51">
        <v>900</v>
      </c>
      <c r="L76" s="57" t="s">
        <v>100</v>
      </c>
      <c r="M76" s="32">
        <f t="shared" si="28"/>
        <v>340</v>
      </c>
      <c r="N76" s="33">
        <f t="shared" si="29"/>
        <v>1</v>
      </c>
      <c r="O76" s="33">
        <f t="shared" si="30"/>
        <v>3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41"/>
        <v>8000</v>
      </c>
      <c r="T76" s="34">
        <f t="shared" si="34"/>
        <v>1</v>
      </c>
      <c r="U76" s="34">
        <f t="shared" si="35"/>
        <v>0</v>
      </c>
      <c r="V76" s="34">
        <f t="shared" si="36"/>
        <v>1</v>
      </c>
      <c r="W76" s="34" t="str">
        <f t="shared" si="37"/>
        <v>BKN</v>
      </c>
      <c r="X76" s="34">
        <f t="shared" si="38"/>
        <v>1</v>
      </c>
      <c r="Y76" s="34">
        <f t="shared" si="39"/>
        <v>900</v>
      </c>
      <c r="Z76" s="34">
        <f t="shared" si="4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9</v>
      </c>
      <c r="U80" s="25"/>
      <c r="V80" s="25">
        <f>SUM(V64:V76)</f>
        <v>9</v>
      </c>
      <c r="W80" s="25"/>
      <c r="X80" s="25">
        <f>SUM(X64:X76)</f>
        <v>7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9</v>
      </c>
      <c r="U81" s="25"/>
      <c r="V81" s="25">
        <f>SUMIF($C64:$C76,"GENERAL",V64:V76)</f>
        <v>9</v>
      </c>
      <c r="W81" s="25"/>
      <c r="X81" s="25">
        <f>SUMIF($C64:$C76,"GENERAL",X64:X76)</f>
        <v>7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75</v>
      </c>
      <c r="U85" s="38"/>
      <c r="V85" s="38">
        <f>(SUM(V81:V84)/COUNTA(V64:V76))*100</f>
        <v>75</v>
      </c>
      <c r="W85" s="38"/>
      <c r="X85" s="38">
        <f>(SUM(X81:X84)/COUNTA(X64:X76))*100</f>
        <v>58.333333333333336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86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3</v>
      </c>
      <c r="B93" s="50">
        <v>0.75</v>
      </c>
      <c r="C93" s="51" t="s">
        <v>39</v>
      </c>
      <c r="D93" s="52"/>
      <c r="E93" s="51">
        <v>230</v>
      </c>
      <c r="F93" s="51">
        <v>3</v>
      </c>
      <c r="G93" s="51">
        <v>0</v>
      </c>
      <c r="H93" s="51">
        <v>8000</v>
      </c>
      <c r="I93" s="51">
        <v>0</v>
      </c>
      <c r="J93" s="52" t="s">
        <v>58</v>
      </c>
      <c r="K93" s="51">
        <v>800</v>
      </c>
      <c r="L93" s="57" t="s">
        <v>95</v>
      </c>
      <c r="M93" s="32">
        <f t="shared" ref="M93:M104" si="42">IF(ISNUMBER(VALUE(FIND("VRB",L93))),999,VALUE(MID(L93,20,3)))</f>
        <v>350</v>
      </c>
      <c r="N93" s="33">
        <f t="shared" ref="N93:N104" si="4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4">VALUE(MID(L93,23,2))</f>
        <v>4</v>
      </c>
      <c r="P93" s="33">
        <f t="shared" ref="P93:P104" si="45">IF(ABS(O93-F93)&lt;11,1,0)</f>
        <v>1</v>
      </c>
      <c r="Q93" s="34">
        <f t="shared" ref="Q93:Q104" si="46">IF(MID(L93,25,1)="G","GUST",0)</f>
        <v>0</v>
      </c>
      <c r="R93" s="33">
        <f t="shared" ref="R93:R104" si="47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104" si="48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49">IF(AND(IFERROR(FIND("RA",L93),0)&gt;0, IFERROR(FIND("RA",L93),0)&lt;38),"RA",0)</f>
        <v>0</v>
      </c>
      <c r="V93" s="34">
        <f t="shared" ref="V93:V104" si="50">IF(U93=I93,1,0)</f>
        <v>1</v>
      </c>
      <c r="W93" s="34" t="str">
        <f t="shared" ref="W93:W104" si="51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FEW</v>
      </c>
      <c r="X93" s="34">
        <f t="shared" ref="X93:X104" si="52">IF(OR(AND(OR(J93="SKC",J93="FEW",J93="SCT"),OR(W93="SKC",W93="FEW",W93="SCT")),(AND(OR(J93="BKN",J93="OVC"),OR(W93="BKN",W93="OVC")))),1,0)</f>
        <v>0</v>
      </c>
      <c r="Y93" s="34">
        <f t="shared" ref="Y93:Y104" si="53">IF(ISNUMBER(VALUE(FIND("CAVOK",L93))),9999,IF(ISNUMBER(VALUE(FIND("NSC",L93))),9999,(MID(L93,(FIND(W93,L93)+4),2))*100))</f>
        <v>800</v>
      </c>
      <c r="Z93" s="34">
        <f t="shared" ref="Z93:Z104" si="54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230</v>
      </c>
      <c r="F94" s="51">
        <v>3</v>
      </c>
      <c r="G94" s="51">
        <v>0</v>
      </c>
      <c r="H94" s="51">
        <v>8000</v>
      </c>
      <c r="I94" s="51">
        <v>0</v>
      </c>
      <c r="J94" s="52" t="s">
        <v>58</v>
      </c>
      <c r="K94" s="51">
        <v>800</v>
      </c>
      <c r="L94" s="57" t="s">
        <v>96</v>
      </c>
      <c r="M94" s="32">
        <f t="shared" si="42"/>
        <v>0</v>
      </c>
      <c r="N94" s="33">
        <f t="shared" si="43"/>
        <v>1</v>
      </c>
      <c r="O94" s="33">
        <f t="shared" si="44"/>
        <v>0</v>
      </c>
      <c r="P94" s="33">
        <f t="shared" si="45"/>
        <v>1</v>
      </c>
      <c r="Q94" s="34">
        <f t="shared" si="46"/>
        <v>0</v>
      </c>
      <c r="R94" s="33">
        <f t="shared" si="47"/>
        <v>1</v>
      </c>
      <c r="S94" s="34">
        <f t="shared" ref="S94:S104" si="55">IF(ISNUMBER(VALUE(MID(L94,(FIND("KT",L94,FIND("Z",L94))+3),4))),VALUE(MID(L94,(FIND("KT",L94,FIND("Z",L94))+3),4)),IF(ISNUMBER(VALUE(MID(L94,(FIND("0V",L94)+6),4))),VALUE(MID(L94,(FIND("0V",L94)+6),4)),9999))</f>
        <v>1000</v>
      </c>
      <c r="T94" s="34">
        <f t="shared" si="48"/>
        <v>0</v>
      </c>
      <c r="U94" s="34" t="str">
        <f t="shared" si="49"/>
        <v>RA</v>
      </c>
      <c r="V94" s="34">
        <f t="shared" si="50"/>
        <v>0</v>
      </c>
      <c r="W94" s="34" t="str">
        <f t="shared" si="51"/>
        <v>BKN</v>
      </c>
      <c r="X94" s="34">
        <f t="shared" si="52"/>
        <v>1</v>
      </c>
      <c r="Y94" s="34">
        <f t="shared" si="53"/>
        <v>800</v>
      </c>
      <c r="Z94" s="34">
        <f t="shared" si="54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40</v>
      </c>
      <c r="D95" s="52"/>
      <c r="E95" s="51">
        <v>230</v>
      </c>
      <c r="F95" s="51">
        <v>3</v>
      </c>
      <c r="G95" s="51">
        <v>0</v>
      </c>
      <c r="H95" s="51">
        <v>4000</v>
      </c>
      <c r="I95" s="51" t="s">
        <v>52</v>
      </c>
      <c r="J95" s="52" t="s">
        <v>51</v>
      </c>
      <c r="K95" s="51">
        <v>800</v>
      </c>
      <c r="L95" s="57" t="s">
        <v>97</v>
      </c>
      <c r="M95" s="32">
        <f t="shared" si="42"/>
        <v>120</v>
      </c>
      <c r="N95" s="33">
        <f t="shared" si="43"/>
        <v>1</v>
      </c>
      <c r="O95" s="33">
        <f t="shared" si="44"/>
        <v>2</v>
      </c>
      <c r="P95" s="33">
        <f t="shared" si="45"/>
        <v>1</v>
      </c>
      <c r="Q95" s="34">
        <f t="shared" si="46"/>
        <v>0</v>
      </c>
      <c r="R95" s="33">
        <f t="shared" si="47"/>
        <v>1</v>
      </c>
      <c r="S95" s="34">
        <f t="shared" si="55"/>
        <v>1000</v>
      </c>
      <c r="T95" s="34">
        <f t="shared" si="48"/>
        <v>0</v>
      </c>
      <c r="U95" s="34" t="str">
        <f t="shared" si="49"/>
        <v>RA</v>
      </c>
      <c r="V95" s="34">
        <f t="shared" si="50"/>
        <v>1</v>
      </c>
      <c r="W95" s="34" t="str">
        <f t="shared" si="51"/>
        <v>OVC</v>
      </c>
      <c r="X95" s="34">
        <f t="shared" si="52"/>
        <v>0</v>
      </c>
      <c r="Y95" s="34">
        <f t="shared" si="53"/>
        <v>800</v>
      </c>
      <c r="Z95" s="34">
        <f t="shared" si="54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40</v>
      </c>
      <c r="D96" s="52"/>
      <c r="E96" s="51">
        <v>230</v>
      </c>
      <c r="F96" s="51">
        <v>3</v>
      </c>
      <c r="G96" s="51">
        <v>0</v>
      </c>
      <c r="H96" s="51">
        <v>4000</v>
      </c>
      <c r="I96" s="51" t="s">
        <v>52</v>
      </c>
      <c r="J96" s="52" t="s">
        <v>51</v>
      </c>
      <c r="K96" s="51">
        <v>800</v>
      </c>
      <c r="L96" s="57" t="s">
        <v>98</v>
      </c>
      <c r="M96" s="32">
        <f t="shared" si="42"/>
        <v>0</v>
      </c>
      <c r="N96" s="33">
        <f t="shared" si="43"/>
        <v>1</v>
      </c>
      <c r="O96" s="33">
        <f t="shared" si="44"/>
        <v>0</v>
      </c>
      <c r="P96" s="33">
        <f t="shared" si="45"/>
        <v>1</v>
      </c>
      <c r="Q96" s="34">
        <f t="shared" si="46"/>
        <v>0</v>
      </c>
      <c r="R96" s="33">
        <f t="shared" si="47"/>
        <v>1</v>
      </c>
      <c r="S96" s="34">
        <f t="shared" si="55"/>
        <v>1000</v>
      </c>
      <c r="T96" s="34">
        <f t="shared" si="48"/>
        <v>0</v>
      </c>
      <c r="U96" s="34" t="str">
        <f t="shared" si="49"/>
        <v>RA</v>
      </c>
      <c r="V96" s="34">
        <f t="shared" si="50"/>
        <v>1</v>
      </c>
      <c r="W96" s="34" t="str">
        <f t="shared" si="51"/>
        <v>OVC</v>
      </c>
      <c r="X96" s="34">
        <f t="shared" si="52"/>
        <v>0</v>
      </c>
      <c r="Y96" s="34">
        <f t="shared" si="53"/>
        <v>800</v>
      </c>
      <c r="Z96" s="34">
        <f t="shared" si="54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40</v>
      </c>
      <c r="D97" s="52"/>
      <c r="E97" s="51">
        <v>230</v>
      </c>
      <c r="F97" s="51">
        <v>3</v>
      </c>
      <c r="G97" s="51">
        <v>0</v>
      </c>
      <c r="H97" s="51">
        <v>4000</v>
      </c>
      <c r="I97" s="51" t="s">
        <v>52</v>
      </c>
      <c r="J97" s="52" t="s">
        <v>51</v>
      </c>
      <c r="K97" s="51">
        <v>800</v>
      </c>
      <c r="L97" s="57" t="s">
        <v>99</v>
      </c>
      <c r="M97" s="32">
        <f t="shared" si="42"/>
        <v>360</v>
      </c>
      <c r="N97" s="33">
        <f t="shared" si="43"/>
        <v>1</v>
      </c>
      <c r="O97" s="33">
        <f t="shared" si="44"/>
        <v>2</v>
      </c>
      <c r="P97" s="33">
        <f t="shared" si="45"/>
        <v>1</v>
      </c>
      <c r="Q97" s="34">
        <f t="shared" si="46"/>
        <v>0</v>
      </c>
      <c r="R97" s="33">
        <f t="shared" si="47"/>
        <v>1</v>
      </c>
      <c r="S97" s="34">
        <f t="shared" si="55"/>
        <v>5000</v>
      </c>
      <c r="T97" s="34">
        <f t="shared" si="48"/>
        <v>1</v>
      </c>
      <c r="U97" s="34">
        <f t="shared" si="49"/>
        <v>0</v>
      </c>
      <c r="V97" s="34">
        <f t="shared" si="50"/>
        <v>0</v>
      </c>
      <c r="W97" s="34" t="str">
        <f t="shared" si="51"/>
        <v>BKN</v>
      </c>
      <c r="X97" s="34">
        <f t="shared" si="52"/>
        <v>0</v>
      </c>
      <c r="Y97" s="34">
        <f t="shared" si="53"/>
        <v>800</v>
      </c>
      <c r="Z97" s="34">
        <f t="shared" si="54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230</v>
      </c>
      <c r="F98" s="51">
        <v>3</v>
      </c>
      <c r="G98" s="51">
        <v>0</v>
      </c>
      <c r="H98" s="51">
        <v>8000</v>
      </c>
      <c r="I98" s="51">
        <v>0</v>
      </c>
      <c r="J98" s="52" t="s">
        <v>58</v>
      </c>
      <c r="K98" s="51">
        <v>800</v>
      </c>
      <c r="L98" s="57" t="s">
        <v>100</v>
      </c>
      <c r="M98" s="32">
        <f t="shared" si="42"/>
        <v>340</v>
      </c>
      <c r="N98" s="33">
        <f t="shared" si="43"/>
        <v>1</v>
      </c>
      <c r="O98" s="33">
        <f t="shared" si="44"/>
        <v>3</v>
      </c>
      <c r="P98" s="33">
        <f t="shared" si="45"/>
        <v>1</v>
      </c>
      <c r="Q98" s="34">
        <f t="shared" si="46"/>
        <v>0</v>
      </c>
      <c r="R98" s="33">
        <f t="shared" si="47"/>
        <v>1</v>
      </c>
      <c r="S98" s="34">
        <f t="shared" si="55"/>
        <v>8000</v>
      </c>
      <c r="T98" s="34">
        <f t="shared" si="48"/>
        <v>1</v>
      </c>
      <c r="U98" s="34">
        <f t="shared" si="49"/>
        <v>0</v>
      </c>
      <c r="V98" s="34">
        <f t="shared" si="50"/>
        <v>1</v>
      </c>
      <c r="W98" s="34" t="str">
        <f t="shared" si="51"/>
        <v>BKN</v>
      </c>
      <c r="X98" s="34">
        <f t="shared" si="52"/>
        <v>1</v>
      </c>
      <c r="Y98" s="34">
        <f t="shared" si="53"/>
        <v>900</v>
      </c>
      <c r="Z98" s="34">
        <f t="shared" si="54"/>
        <v>1</v>
      </c>
      <c r="AA98" s="25"/>
      <c r="AB98" s="25"/>
      <c r="AC98" s="25"/>
      <c r="AD98" s="25"/>
      <c r="AE98" s="25"/>
    </row>
    <row r="99" spans="1:31" ht="16.5">
      <c r="A99" s="55">
        <v>4</v>
      </c>
      <c r="B99" s="54">
        <v>0</v>
      </c>
      <c r="C99" s="51" t="s">
        <v>39</v>
      </c>
      <c r="D99" s="52"/>
      <c r="E99" s="51">
        <v>230</v>
      </c>
      <c r="F99" s="51">
        <v>3</v>
      </c>
      <c r="G99" s="51">
        <v>0</v>
      </c>
      <c r="H99" s="51">
        <v>8000</v>
      </c>
      <c r="I99" s="51">
        <v>0</v>
      </c>
      <c r="J99" s="52" t="s">
        <v>58</v>
      </c>
      <c r="K99" s="51">
        <v>800</v>
      </c>
      <c r="L99" s="31" t="s">
        <v>101</v>
      </c>
      <c r="M99" s="32">
        <f t="shared" si="42"/>
        <v>280</v>
      </c>
      <c r="N99" s="33">
        <f t="shared" si="43"/>
        <v>1</v>
      </c>
      <c r="O99" s="33">
        <f t="shared" si="44"/>
        <v>2</v>
      </c>
      <c r="P99" s="33">
        <f t="shared" si="45"/>
        <v>1</v>
      </c>
      <c r="Q99" s="34">
        <f t="shared" si="46"/>
        <v>0</v>
      </c>
      <c r="R99" s="33">
        <f t="shared" si="47"/>
        <v>1</v>
      </c>
      <c r="S99" s="34">
        <f t="shared" si="55"/>
        <v>8000</v>
      </c>
      <c r="T99" s="34">
        <f t="shared" si="48"/>
        <v>1</v>
      </c>
      <c r="U99" s="34">
        <f t="shared" si="49"/>
        <v>0</v>
      </c>
      <c r="V99" s="34">
        <f t="shared" si="50"/>
        <v>1</v>
      </c>
      <c r="W99" s="34" t="str">
        <f t="shared" si="51"/>
        <v>BKN</v>
      </c>
      <c r="X99" s="34">
        <f t="shared" si="52"/>
        <v>1</v>
      </c>
      <c r="Y99" s="34">
        <f t="shared" si="53"/>
        <v>900</v>
      </c>
      <c r="Z99" s="34">
        <f t="shared" si="54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230</v>
      </c>
      <c r="F100" s="51">
        <v>3</v>
      </c>
      <c r="G100" s="51">
        <v>0</v>
      </c>
      <c r="H100" s="51">
        <v>8000</v>
      </c>
      <c r="I100" s="51">
        <v>0</v>
      </c>
      <c r="J100" s="52" t="s">
        <v>58</v>
      </c>
      <c r="K100" s="51">
        <v>800</v>
      </c>
      <c r="L100" s="31" t="s">
        <v>102</v>
      </c>
      <c r="M100" s="32">
        <f t="shared" si="42"/>
        <v>320</v>
      </c>
      <c r="N100" s="33">
        <f t="shared" si="43"/>
        <v>1</v>
      </c>
      <c r="O100" s="33">
        <f t="shared" si="44"/>
        <v>3</v>
      </c>
      <c r="P100" s="33">
        <f t="shared" si="45"/>
        <v>1</v>
      </c>
      <c r="Q100" s="34">
        <f t="shared" si="46"/>
        <v>0</v>
      </c>
      <c r="R100" s="33">
        <f t="shared" si="47"/>
        <v>1</v>
      </c>
      <c r="S100" s="34">
        <f t="shared" si="55"/>
        <v>8000</v>
      </c>
      <c r="T100" s="34">
        <f t="shared" si="48"/>
        <v>1</v>
      </c>
      <c r="U100" s="34">
        <f t="shared" si="49"/>
        <v>0</v>
      </c>
      <c r="V100" s="34">
        <f t="shared" si="50"/>
        <v>1</v>
      </c>
      <c r="W100" s="34" t="str">
        <f t="shared" si="51"/>
        <v>BKN</v>
      </c>
      <c r="X100" s="34">
        <f t="shared" si="52"/>
        <v>1</v>
      </c>
      <c r="Y100" s="34">
        <f t="shared" si="53"/>
        <v>900</v>
      </c>
      <c r="Z100" s="34">
        <f t="shared" si="54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230</v>
      </c>
      <c r="F101" s="51">
        <v>3</v>
      </c>
      <c r="G101" s="51">
        <v>0</v>
      </c>
      <c r="H101" s="51">
        <v>8000</v>
      </c>
      <c r="I101" s="51">
        <v>0</v>
      </c>
      <c r="J101" s="52" t="s">
        <v>58</v>
      </c>
      <c r="K101" s="51">
        <v>800</v>
      </c>
      <c r="L101" s="31" t="s">
        <v>103</v>
      </c>
      <c r="M101" s="32">
        <f t="shared" si="42"/>
        <v>320</v>
      </c>
      <c r="N101" s="33">
        <f t="shared" si="43"/>
        <v>1</v>
      </c>
      <c r="O101" s="33">
        <f t="shared" si="44"/>
        <v>2</v>
      </c>
      <c r="P101" s="33">
        <f t="shared" si="45"/>
        <v>1</v>
      </c>
      <c r="Q101" s="34">
        <f t="shared" si="46"/>
        <v>0</v>
      </c>
      <c r="R101" s="33">
        <f t="shared" si="47"/>
        <v>1</v>
      </c>
      <c r="S101" s="34">
        <f t="shared" si="55"/>
        <v>8000</v>
      </c>
      <c r="T101" s="34">
        <f t="shared" si="48"/>
        <v>1</v>
      </c>
      <c r="U101" s="34">
        <f t="shared" si="49"/>
        <v>0</v>
      </c>
      <c r="V101" s="34">
        <f t="shared" si="50"/>
        <v>1</v>
      </c>
      <c r="W101" s="34" t="str">
        <f t="shared" si="51"/>
        <v>BKN</v>
      </c>
      <c r="X101" s="34">
        <f t="shared" si="52"/>
        <v>1</v>
      </c>
      <c r="Y101" s="34">
        <f t="shared" si="53"/>
        <v>900</v>
      </c>
      <c r="Z101" s="34">
        <f t="shared" si="54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230</v>
      </c>
      <c r="F102" s="51">
        <v>3</v>
      </c>
      <c r="G102" s="51">
        <v>0</v>
      </c>
      <c r="H102" s="51">
        <v>8000</v>
      </c>
      <c r="I102" s="51">
        <v>0</v>
      </c>
      <c r="J102" s="52" t="s">
        <v>58</v>
      </c>
      <c r="K102" s="51">
        <v>800</v>
      </c>
      <c r="L102" s="31" t="s">
        <v>104</v>
      </c>
      <c r="M102" s="32">
        <f t="shared" si="42"/>
        <v>290</v>
      </c>
      <c r="N102" s="33">
        <f t="shared" si="43"/>
        <v>1</v>
      </c>
      <c r="O102" s="33">
        <f t="shared" si="44"/>
        <v>4</v>
      </c>
      <c r="P102" s="33">
        <f t="shared" si="45"/>
        <v>1</v>
      </c>
      <c r="Q102" s="34">
        <f t="shared" si="46"/>
        <v>0</v>
      </c>
      <c r="R102" s="33">
        <f t="shared" si="47"/>
        <v>1</v>
      </c>
      <c r="S102" s="34">
        <f t="shared" si="55"/>
        <v>8000</v>
      </c>
      <c r="T102" s="34">
        <f t="shared" si="48"/>
        <v>1</v>
      </c>
      <c r="U102" s="34">
        <f t="shared" si="49"/>
        <v>0</v>
      </c>
      <c r="V102" s="34">
        <f t="shared" si="50"/>
        <v>1</v>
      </c>
      <c r="W102" s="34" t="str">
        <f t="shared" si="51"/>
        <v>BKN</v>
      </c>
      <c r="X102" s="34">
        <f t="shared" si="52"/>
        <v>1</v>
      </c>
      <c r="Y102" s="34">
        <f t="shared" si="53"/>
        <v>900</v>
      </c>
      <c r="Z102" s="34">
        <f t="shared" si="54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230</v>
      </c>
      <c r="F103" s="51">
        <v>3</v>
      </c>
      <c r="G103" s="51">
        <v>0</v>
      </c>
      <c r="H103" s="51">
        <v>8000</v>
      </c>
      <c r="I103" s="51">
        <v>0</v>
      </c>
      <c r="J103" s="52" t="s">
        <v>58</v>
      </c>
      <c r="K103" s="51">
        <v>800</v>
      </c>
      <c r="L103" s="31" t="s">
        <v>105</v>
      </c>
      <c r="M103" s="32">
        <f t="shared" si="42"/>
        <v>190</v>
      </c>
      <c r="N103" s="33">
        <f t="shared" si="43"/>
        <v>1</v>
      </c>
      <c r="O103" s="33">
        <f t="shared" si="44"/>
        <v>5</v>
      </c>
      <c r="P103" s="33">
        <f t="shared" si="45"/>
        <v>1</v>
      </c>
      <c r="Q103" s="34">
        <f t="shared" si="46"/>
        <v>0</v>
      </c>
      <c r="R103" s="33">
        <f t="shared" si="47"/>
        <v>1</v>
      </c>
      <c r="S103" s="34">
        <f t="shared" si="55"/>
        <v>8000</v>
      </c>
      <c r="T103" s="34">
        <f t="shared" si="48"/>
        <v>1</v>
      </c>
      <c r="U103" s="34">
        <f t="shared" si="49"/>
        <v>0</v>
      </c>
      <c r="V103" s="34">
        <f t="shared" si="50"/>
        <v>1</v>
      </c>
      <c r="W103" s="34" t="str">
        <f t="shared" si="51"/>
        <v>BKN</v>
      </c>
      <c r="X103" s="34">
        <f t="shared" si="52"/>
        <v>1</v>
      </c>
      <c r="Y103" s="34">
        <f t="shared" si="53"/>
        <v>900</v>
      </c>
      <c r="Z103" s="34">
        <f t="shared" si="54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230</v>
      </c>
      <c r="F104" s="51">
        <v>3</v>
      </c>
      <c r="G104" s="51">
        <v>0</v>
      </c>
      <c r="H104" s="51">
        <v>8000</v>
      </c>
      <c r="I104" s="51">
        <v>0</v>
      </c>
      <c r="J104" s="52" t="s">
        <v>58</v>
      </c>
      <c r="K104" s="51">
        <v>800</v>
      </c>
      <c r="L104" s="31" t="s">
        <v>106</v>
      </c>
      <c r="M104" s="32">
        <f t="shared" si="42"/>
        <v>230</v>
      </c>
      <c r="N104" s="33">
        <f t="shared" si="43"/>
        <v>1</v>
      </c>
      <c r="O104" s="33">
        <f t="shared" si="44"/>
        <v>4</v>
      </c>
      <c r="P104" s="33">
        <f t="shared" si="45"/>
        <v>1</v>
      </c>
      <c r="Q104" s="34">
        <f t="shared" si="46"/>
        <v>0</v>
      </c>
      <c r="R104" s="33">
        <f t="shared" si="47"/>
        <v>1</v>
      </c>
      <c r="S104" s="34">
        <f t="shared" si="55"/>
        <v>8000</v>
      </c>
      <c r="T104" s="34">
        <f t="shared" si="48"/>
        <v>1</v>
      </c>
      <c r="U104" s="34">
        <f t="shared" si="49"/>
        <v>0</v>
      </c>
      <c r="V104" s="34">
        <f t="shared" si="50"/>
        <v>1</v>
      </c>
      <c r="W104" s="34" t="str">
        <f t="shared" si="51"/>
        <v>BKN</v>
      </c>
      <c r="X104" s="34">
        <f t="shared" si="52"/>
        <v>1</v>
      </c>
      <c r="Y104" s="34">
        <f t="shared" si="53"/>
        <v>900</v>
      </c>
      <c r="Z104" s="34">
        <f t="shared" si="54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59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9</v>
      </c>
      <c r="U109" s="25"/>
      <c r="V109" s="25">
        <f>SUM(V93:V104)</f>
        <v>10</v>
      </c>
      <c r="W109" s="25"/>
      <c r="X109" s="25">
        <f>SUM(X93:X104)</f>
        <v>8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9</v>
      </c>
      <c r="O110" s="25"/>
      <c r="P110" s="25">
        <f>SUMIF($C93:$C104,"GENERAL",P93:P104)</f>
        <v>9</v>
      </c>
      <c r="Q110" s="25"/>
      <c r="R110" s="25">
        <f>SUMIF($C93:$C104,"GENERAL",R93:R104)</f>
        <v>9</v>
      </c>
      <c r="S110" s="25"/>
      <c r="T110" s="25">
        <f>SUMIF($C93:$C104,"GENERAL",T93:T104)</f>
        <v>8</v>
      </c>
      <c r="U110" s="25"/>
      <c r="V110" s="25">
        <f>SUMIF($C93:$C104,"GENERAL",V93:V104)</f>
        <v>8</v>
      </c>
      <c r="W110" s="25"/>
      <c r="X110" s="25">
        <f>SUMIF($C93:$C104,"GENERAL",X93:X104)</f>
        <v>8</v>
      </c>
      <c r="Y110" s="25"/>
      <c r="Z110" s="25">
        <f>SUMIF($C93:$C104,"GENERAL",Z93:Z104)</f>
        <v>9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3</v>
      </c>
      <c r="M113" s="42">
        <f>SUMIF($C93:$C104,"TEMPO",N93:N104)</f>
        <v>3</v>
      </c>
      <c r="N113" s="42">
        <f>M113</f>
        <v>3</v>
      </c>
      <c r="O113" s="42">
        <f>SUMIF($C93:$C104,"TEMPO",P93:P104)</f>
        <v>3</v>
      </c>
      <c r="P113" s="42">
        <f>O113</f>
        <v>3</v>
      </c>
      <c r="Q113" s="42">
        <f>SUMIF($C93:$C104,"TEMPO",R93:R104)</f>
        <v>3</v>
      </c>
      <c r="R113" s="42">
        <f>Q113</f>
        <v>3</v>
      </c>
      <c r="S113" s="42">
        <f>SUMIF($C93:$C104,"TEMPO",T93:T104)</f>
        <v>1</v>
      </c>
      <c r="T113" s="42">
        <f>S113</f>
        <v>1</v>
      </c>
      <c r="U113" s="42">
        <f>SUMIF($C93:$C104,"TEMPO",V93:V104)</f>
        <v>2</v>
      </c>
      <c r="V113" s="42">
        <f>U113</f>
        <v>2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3</v>
      </c>
      <c r="Z113" s="42">
        <f>Y113</f>
        <v>3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75</v>
      </c>
      <c r="U114" s="38"/>
      <c r="V114" s="38">
        <f>(SUM(V110:V113)/COUNTA(V93:V104))*100</f>
        <v>83.333333333333343</v>
      </c>
      <c r="W114" s="38"/>
      <c r="X114" s="38">
        <f>(SUM(X110:X113)/COUNTA(X93:X104))*100</f>
        <v>66.666666666666657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853C-C0CD-9443-8D34-8937D1DE274B}">
  <sheetPr>
    <tabColor theme="0"/>
  </sheetPr>
  <dimension ref="A1:AE115"/>
  <sheetViews>
    <sheetView topLeftCell="A13" zoomScale="85" zoomScaleNormal="85" workbookViewId="0">
      <selection activeCell="C13" sqref="C13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87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4</v>
      </c>
      <c r="B7" s="28">
        <v>0</v>
      </c>
      <c r="C7" s="51" t="s">
        <v>39</v>
      </c>
      <c r="D7" s="52"/>
      <c r="E7" s="51">
        <v>340</v>
      </c>
      <c r="F7" s="51">
        <v>3</v>
      </c>
      <c r="G7" s="51">
        <v>0</v>
      </c>
      <c r="H7" s="51">
        <v>8000</v>
      </c>
      <c r="I7" s="51">
        <v>0</v>
      </c>
      <c r="J7" s="52" t="s">
        <v>58</v>
      </c>
      <c r="K7" s="51">
        <v>800</v>
      </c>
      <c r="L7" s="63" t="s">
        <v>101</v>
      </c>
      <c r="M7" s="32">
        <f t="shared" ref="M7:M12" si="0">IF(ISNUMBER(VALUE(FIND("VRB",L7))),999,VALUE(MID(L7,20,3)))</f>
        <v>280</v>
      </c>
      <c r="N7" s="33">
        <f t="shared" ref="N7:N12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2" si="2">VALUE(MID(L7,23,2))</f>
        <v>2</v>
      </c>
      <c r="P7" s="33">
        <f t="shared" ref="P7:P12" si="3">IF(ABS(O7-F7)&lt;11,1,0)</f>
        <v>1</v>
      </c>
      <c r="Q7" s="34">
        <f t="shared" ref="Q7:Q12" si="4">IF(MID(L7,25,1)="G","GUST",0)</f>
        <v>0</v>
      </c>
      <c r="R7" s="33">
        <f t="shared" ref="R7:R12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2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2" si="7">IF(AND(IFERROR(FIND("RA",L7),0)&gt;0, IFERROR(FIND("RA",L7),0)&lt;38),"RA",0)</f>
        <v>0</v>
      </c>
      <c r="V7" s="34">
        <f t="shared" ref="V7:V12" si="8">IF(U7=I7,1,0)</f>
        <v>1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2" si="10">IF(OR(AND(OR(J7="SKC",J7="FEW",J7="SCT"),OR(W7="SKC",W7="FEW",W7="SCT")),(AND(OR(J7="BKN",J7="OVC"),OR(W7="BKN",W7="OVC")))),1,0)</f>
        <v>1</v>
      </c>
      <c r="Y7" s="34">
        <f t="shared" ref="Y7:Y12" si="11">IF(ISNUMBER(VALUE(FIND("CAVOK",L7))),9999,IF(ISNUMBER(VALUE(FIND("NSC",L7))),9999,(MID(L7,(FIND(W7,L7)+4),2))*100))</f>
        <v>900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51" t="s">
        <v>39</v>
      </c>
      <c r="D8" s="52"/>
      <c r="E8" s="51">
        <v>340</v>
      </c>
      <c r="F8" s="51">
        <v>3</v>
      </c>
      <c r="G8" s="51">
        <v>0</v>
      </c>
      <c r="H8" s="51">
        <v>8000</v>
      </c>
      <c r="I8" s="51">
        <v>0</v>
      </c>
      <c r="J8" s="52" t="s">
        <v>58</v>
      </c>
      <c r="K8" s="51">
        <v>800</v>
      </c>
      <c r="L8" s="63" t="s">
        <v>102</v>
      </c>
      <c r="M8" s="32">
        <f t="shared" si="0"/>
        <v>320</v>
      </c>
      <c r="N8" s="33">
        <f t="shared" si="1"/>
        <v>1</v>
      </c>
      <c r="O8" s="33">
        <f t="shared" si="2"/>
        <v>3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51" t="s">
        <v>39</v>
      </c>
      <c r="D9" s="52"/>
      <c r="E9" s="51">
        <v>340</v>
      </c>
      <c r="F9" s="51">
        <v>3</v>
      </c>
      <c r="G9" s="51">
        <v>0</v>
      </c>
      <c r="H9" s="51">
        <v>8000</v>
      </c>
      <c r="I9" s="51">
        <v>0</v>
      </c>
      <c r="J9" s="52" t="s">
        <v>58</v>
      </c>
      <c r="K9" s="51">
        <v>800</v>
      </c>
      <c r="L9" s="63" t="s">
        <v>103</v>
      </c>
      <c r="M9" s="32">
        <f t="shared" si="0"/>
        <v>320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51" t="s">
        <v>39</v>
      </c>
      <c r="D10" s="52"/>
      <c r="E10" s="51">
        <v>340</v>
      </c>
      <c r="F10" s="51">
        <v>3</v>
      </c>
      <c r="G10" s="51">
        <v>0</v>
      </c>
      <c r="H10" s="51">
        <v>8000</v>
      </c>
      <c r="I10" s="51">
        <v>0</v>
      </c>
      <c r="J10" s="52" t="s">
        <v>58</v>
      </c>
      <c r="K10" s="51">
        <v>800</v>
      </c>
      <c r="L10" s="63" t="s">
        <v>104</v>
      </c>
      <c r="M10" s="32">
        <f t="shared" si="0"/>
        <v>290</v>
      </c>
      <c r="N10" s="33">
        <f t="shared" si="1"/>
        <v>1</v>
      </c>
      <c r="O10" s="33">
        <f t="shared" si="2"/>
        <v>4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51" t="s">
        <v>39</v>
      </c>
      <c r="D11" s="52"/>
      <c r="E11" s="51">
        <v>340</v>
      </c>
      <c r="F11" s="51">
        <v>3</v>
      </c>
      <c r="G11" s="51">
        <v>0</v>
      </c>
      <c r="H11" s="51">
        <v>8000</v>
      </c>
      <c r="I11" s="51">
        <v>0</v>
      </c>
      <c r="J11" s="52" t="s">
        <v>58</v>
      </c>
      <c r="K11" s="51">
        <v>800</v>
      </c>
      <c r="L11" s="63" t="s">
        <v>105</v>
      </c>
      <c r="M11" s="32">
        <f t="shared" si="0"/>
        <v>190</v>
      </c>
      <c r="N11" s="33">
        <f t="shared" si="1"/>
        <v>1</v>
      </c>
      <c r="O11" s="33">
        <f t="shared" si="2"/>
        <v>5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51" t="s">
        <v>39</v>
      </c>
      <c r="D12" s="52"/>
      <c r="E12" s="51">
        <v>340</v>
      </c>
      <c r="F12" s="51">
        <v>3</v>
      </c>
      <c r="G12" s="51">
        <v>0</v>
      </c>
      <c r="H12" s="51">
        <v>8000</v>
      </c>
      <c r="I12" s="51">
        <v>0</v>
      </c>
      <c r="J12" s="52" t="s">
        <v>58</v>
      </c>
      <c r="K12" s="51">
        <v>800</v>
      </c>
      <c r="L12" s="63" t="s">
        <v>106</v>
      </c>
      <c r="M12" s="32">
        <f t="shared" si="0"/>
        <v>230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51" t="s">
        <v>40</v>
      </c>
      <c r="D13" s="52"/>
      <c r="E13" s="51">
        <v>340</v>
      </c>
      <c r="F13" s="51">
        <v>3</v>
      </c>
      <c r="G13" s="51">
        <v>0</v>
      </c>
      <c r="H13" s="51">
        <v>4000</v>
      </c>
      <c r="I13" s="51" t="s">
        <v>52</v>
      </c>
      <c r="J13" s="52" t="s">
        <v>51</v>
      </c>
      <c r="K13" s="51">
        <v>800</v>
      </c>
      <c r="L13" s="63" t="s">
        <v>107</v>
      </c>
      <c r="M13" s="32">
        <f t="shared" ref="M13:M18" si="14">IF(ISNUMBER(VALUE(FIND("VRB",L13))),999,VALUE(MID(L13,20,3)))</f>
        <v>210</v>
      </c>
      <c r="N13" s="33">
        <f t="shared" ref="N13:N18" si="15">IF(OR(ABS(E13-M13)&lt;61,AND(ABS(E13-M13)&gt;60,O13&lt;10),E13=M13,AND(E13=999,ISNUMBER(VALUE(FIND("TS",L13)))),AND(E13=999,ISNUMBER(VALUE(FIND("CB",L13)))),AND(E13=999,O13&lt;10),AND(F13&lt;10,M13=999,O13&lt;10)),1,0)</f>
        <v>1</v>
      </c>
      <c r="O13" s="33">
        <f t="shared" ref="O13:O18" si="16">VALUE(MID(L13,23,2))</f>
        <v>2</v>
      </c>
      <c r="P13" s="33">
        <f t="shared" ref="P13:P18" si="17">IF(ABS(O13-F13)&lt;11,1,0)</f>
        <v>1</v>
      </c>
      <c r="Q13" s="34">
        <f t="shared" ref="Q13:Q18" si="18">IF(MID(L13,25,1)="G","GUST",0)</f>
        <v>0</v>
      </c>
      <c r="R13" s="33">
        <f t="shared" ref="R13:R18" si="19">IF(G13=Q13,1,0)</f>
        <v>1</v>
      </c>
      <c r="S13" s="34">
        <f t="shared" si="13"/>
        <v>8000</v>
      </c>
      <c r="T13" s="34">
        <f t="shared" ref="T13:T18" si="20">IF(OR(AND(H13&lt;801,S13&lt;801),AND(H13&gt;799,H13&lt;1501,S13&gt;799,S13&lt;1502),AND(H13&gt;1499,H13&lt;3001,S13&gt;1499,S13&lt;3001),AND(H13&gt;2999,H13&lt;5001,S13&gt;2999,S13&lt;5001),AND(H13&gt;4999,S13&gt;4999)),1,0)</f>
        <v>0</v>
      </c>
      <c r="U13" s="34">
        <f t="shared" ref="U13:U18" si="21">IF(AND(IFERROR(FIND("RA",L13),0)&gt;0, IFERROR(FIND("RA",L13),0)&lt;38),"RA",0)</f>
        <v>0</v>
      </c>
      <c r="V13" s="34">
        <f t="shared" ref="V13:V18" si="22">IF(U13=I13,1,0)</f>
        <v>0</v>
      </c>
      <c r="W13" s="34" t="str">
        <f t="shared" ref="W13:W18" si="23"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BKN</v>
      </c>
      <c r="X13" s="34">
        <f t="shared" ref="X13:X18" si="24">IF(OR(AND(OR(J13="SKC",J13="FEW",J13="SCT"),OR(W13="SKC",W13="FEW",W13="SCT")),(AND(OR(J13="BKN",J13="OVC"),OR(W13="BKN",W13="OVC")))),1,0)</f>
        <v>0</v>
      </c>
      <c r="Y13" s="34">
        <f t="shared" ref="Y13:Y18" si="25">IF(ISNUMBER(VALUE(FIND("CAVOK",L13))),9999,IF(ISNUMBER(VALUE(FIND("NSC",L13))),9999,(MID(L13,(FIND(W13,L13)+4),2))*100))</f>
        <v>900</v>
      </c>
      <c r="Z13" s="34">
        <f t="shared" ref="Z13:Z18" si="26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51" t="s">
        <v>40</v>
      </c>
      <c r="D14" s="52"/>
      <c r="E14" s="51">
        <v>340</v>
      </c>
      <c r="F14" s="51">
        <v>3</v>
      </c>
      <c r="G14" s="51">
        <v>0</v>
      </c>
      <c r="H14" s="51">
        <v>4000</v>
      </c>
      <c r="I14" s="51" t="s">
        <v>52</v>
      </c>
      <c r="J14" s="52" t="s">
        <v>51</v>
      </c>
      <c r="K14" s="51">
        <v>800</v>
      </c>
      <c r="L14" s="63" t="s">
        <v>108</v>
      </c>
      <c r="M14" s="32">
        <f t="shared" si="14"/>
        <v>210</v>
      </c>
      <c r="N14" s="33">
        <f t="shared" si="15"/>
        <v>1</v>
      </c>
      <c r="O14" s="33">
        <f t="shared" si="16"/>
        <v>3</v>
      </c>
      <c r="P14" s="33">
        <f t="shared" si="17"/>
        <v>1</v>
      </c>
      <c r="Q14" s="34">
        <f t="shared" si="18"/>
        <v>0</v>
      </c>
      <c r="R14" s="33">
        <f t="shared" si="19"/>
        <v>1</v>
      </c>
      <c r="S14" s="34">
        <f t="shared" si="13"/>
        <v>8000</v>
      </c>
      <c r="T14" s="34">
        <f t="shared" si="20"/>
        <v>0</v>
      </c>
      <c r="U14" s="34">
        <f t="shared" si="21"/>
        <v>0</v>
      </c>
      <c r="V14" s="34">
        <f t="shared" si="22"/>
        <v>0</v>
      </c>
      <c r="W14" s="34" t="str">
        <f t="shared" si="23"/>
        <v>BKN</v>
      </c>
      <c r="X14" s="34">
        <f t="shared" si="24"/>
        <v>0</v>
      </c>
      <c r="Y14" s="34">
        <f t="shared" si="25"/>
        <v>900</v>
      </c>
      <c r="Z14" s="34">
        <f t="shared" si="26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51" t="s">
        <v>40</v>
      </c>
      <c r="D15" s="52"/>
      <c r="E15" s="51">
        <v>340</v>
      </c>
      <c r="F15" s="51">
        <v>3</v>
      </c>
      <c r="G15" s="51">
        <v>0</v>
      </c>
      <c r="H15" s="51">
        <v>4000</v>
      </c>
      <c r="I15" s="51" t="s">
        <v>52</v>
      </c>
      <c r="J15" s="52" t="s">
        <v>51</v>
      </c>
      <c r="K15" s="51">
        <v>800</v>
      </c>
      <c r="L15" s="64" t="s">
        <v>118</v>
      </c>
      <c r="M15" s="32">
        <f t="shared" si="14"/>
        <v>190</v>
      </c>
      <c r="N15" s="33">
        <f t="shared" si="15"/>
        <v>1</v>
      </c>
      <c r="O15" s="33">
        <f t="shared" si="16"/>
        <v>3</v>
      </c>
      <c r="P15" s="33">
        <f t="shared" si="17"/>
        <v>1</v>
      </c>
      <c r="Q15" s="34">
        <f t="shared" si="18"/>
        <v>0</v>
      </c>
      <c r="R15" s="33">
        <f t="shared" si="19"/>
        <v>1</v>
      </c>
      <c r="S15" s="34">
        <f t="shared" si="13"/>
        <v>8000</v>
      </c>
      <c r="T15" s="34">
        <f t="shared" si="20"/>
        <v>0</v>
      </c>
      <c r="U15" s="34">
        <f t="shared" si="21"/>
        <v>0</v>
      </c>
      <c r="V15" s="34">
        <f t="shared" si="22"/>
        <v>0</v>
      </c>
      <c r="W15" s="34" t="str">
        <f t="shared" si="23"/>
        <v>BKN</v>
      </c>
      <c r="X15" s="34">
        <f t="shared" si="24"/>
        <v>0</v>
      </c>
      <c r="Y15" s="34">
        <f t="shared" si="25"/>
        <v>900</v>
      </c>
      <c r="Z15" s="34">
        <f t="shared" si="26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51" t="s">
        <v>39</v>
      </c>
      <c r="D16" s="52"/>
      <c r="E16" s="51">
        <v>340</v>
      </c>
      <c r="F16" s="51">
        <v>3</v>
      </c>
      <c r="G16" s="51">
        <v>0</v>
      </c>
      <c r="H16" s="51">
        <v>8000</v>
      </c>
      <c r="I16" s="51">
        <v>0</v>
      </c>
      <c r="J16" s="52" t="s">
        <v>58</v>
      </c>
      <c r="K16" s="51">
        <v>800</v>
      </c>
      <c r="L16" s="64" t="s">
        <v>117</v>
      </c>
      <c r="M16" s="32">
        <f t="shared" si="14"/>
        <v>200</v>
      </c>
      <c r="N16" s="33">
        <f t="shared" si="15"/>
        <v>1</v>
      </c>
      <c r="O16" s="33">
        <f t="shared" si="16"/>
        <v>5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20"/>
        <v>1</v>
      </c>
      <c r="U16" s="34">
        <f t="shared" si="21"/>
        <v>0</v>
      </c>
      <c r="V16" s="34">
        <f t="shared" si="22"/>
        <v>1</v>
      </c>
      <c r="W16" s="34" t="str">
        <f t="shared" si="23"/>
        <v>BKN</v>
      </c>
      <c r="X16" s="34">
        <f t="shared" si="24"/>
        <v>1</v>
      </c>
      <c r="Y16" s="34">
        <f t="shared" si="25"/>
        <v>900</v>
      </c>
      <c r="Z16" s="34">
        <f t="shared" si="26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51" t="s">
        <v>39</v>
      </c>
      <c r="D17" s="52"/>
      <c r="E17" s="51">
        <v>340</v>
      </c>
      <c r="F17" s="51">
        <v>3</v>
      </c>
      <c r="G17" s="51">
        <v>0</v>
      </c>
      <c r="H17" s="51">
        <v>8000</v>
      </c>
      <c r="I17" s="51">
        <v>0</v>
      </c>
      <c r="J17" s="52" t="s">
        <v>58</v>
      </c>
      <c r="K17" s="51">
        <v>800</v>
      </c>
      <c r="L17" s="64" t="s">
        <v>116</v>
      </c>
      <c r="M17" s="32">
        <f t="shared" si="14"/>
        <v>210</v>
      </c>
      <c r="N17" s="33">
        <f t="shared" si="15"/>
        <v>1</v>
      </c>
      <c r="O17" s="33">
        <f t="shared" si="16"/>
        <v>2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8000</v>
      </c>
      <c r="T17" s="34">
        <f t="shared" si="20"/>
        <v>1</v>
      </c>
      <c r="U17" s="34">
        <f t="shared" si="21"/>
        <v>0</v>
      </c>
      <c r="V17" s="34">
        <f t="shared" si="22"/>
        <v>1</v>
      </c>
      <c r="W17" s="34" t="str">
        <f t="shared" si="23"/>
        <v>BKN</v>
      </c>
      <c r="X17" s="34">
        <f t="shared" si="24"/>
        <v>1</v>
      </c>
      <c r="Y17" s="34">
        <f t="shared" si="25"/>
        <v>900</v>
      </c>
      <c r="Z17" s="34">
        <f t="shared" si="26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51" t="s">
        <v>39</v>
      </c>
      <c r="D18" s="52"/>
      <c r="E18" s="51">
        <v>340</v>
      </c>
      <c r="F18" s="51">
        <v>3</v>
      </c>
      <c r="G18" s="51">
        <v>0</v>
      </c>
      <c r="H18" s="51">
        <v>8000</v>
      </c>
      <c r="I18" s="51">
        <v>0</v>
      </c>
      <c r="J18" s="52" t="s">
        <v>58</v>
      </c>
      <c r="K18" s="51">
        <v>800</v>
      </c>
      <c r="L18" s="64" t="s">
        <v>115</v>
      </c>
      <c r="M18" s="32">
        <f t="shared" si="14"/>
        <v>0</v>
      </c>
      <c r="N18" s="33">
        <f t="shared" si="15"/>
        <v>1</v>
      </c>
      <c r="O18" s="33">
        <f t="shared" si="16"/>
        <v>0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8000</v>
      </c>
      <c r="T18" s="34">
        <f t="shared" si="20"/>
        <v>1</v>
      </c>
      <c r="U18" s="34">
        <f t="shared" si="21"/>
        <v>0</v>
      </c>
      <c r="V18" s="34">
        <f t="shared" si="22"/>
        <v>1</v>
      </c>
      <c r="W18" s="34" t="str">
        <f t="shared" si="23"/>
        <v>BKN</v>
      </c>
      <c r="X18" s="34">
        <f t="shared" si="24"/>
        <v>1</v>
      </c>
      <c r="Y18" s="34">
        <f t="shared" si="25"/>
        <v>900</v>
      </c>
      <c r="Z18" s="34">
        <f t="shared" si="26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9</v>
      </c>
      <c r="U23" s="25"/>
      <c r="V23" s="25">
        <f>SUM(V7:V18)</f>
        <v>9</v>
      </c>
      <c r="W23" s="25"/>
      <c r="X23" s="25">
        <f>SUM(X7:X18)</f>
        <v>9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9</v>
      </c>
      <c r="O24" s="25"/>
      <c r="P24" s="25">
        <f>SUMIF($C7:$C18,"GENERAL",P7:P18)</f>
        <v>9</v>
      </c>
      <c r="Q24" s="25"/>
      <c r="R24" s="25">
        <f>SUMIF($C7:$C18,"GENERAL",R7:R18)</f>
        <v>9</v>
      </c>
      <c r="S24" s="25"/>
      <c r="T24" s="25">
        <f>SUMIF($C7:$C18,"GENERAL",T7:T18)</f>
        <v>9</v>
      </c>
      <c r="U24" s="25"/>
      <c r="V24" s="25">
        <f>SUMIF($C7:$C18,"GENERAL",V7:V18)</f>
        <v>9</v>
      </c>
      <c r="W24" s="25"/>
      <c r="X24" s="25">
        <f>SUMIF($C7:$C18,"GENERAL",X7:X18)</f>
        <v>9</v>
      </c>
      <c r="Y24" s="25"/>
      <c r="Z24" s="25">
        <f>SUMIF($C7:$C18,"GENERAL",Z7:Z18)</f>
        <v>9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3</v>
      </c>
      <c r="M27" s="42">
        <f>SUMIF($C7:$C18,"TEMPO",N7:N18)</f>
        <v>3</v>
      </c>
      <c r="N27" s="42">
        <f>M27</f>
        <v>3</v>
      </c>
      <c r="O27" s="42">
        <f>SUMIF($C7:$C18,"TEMPO",P7:P18)</f>
        <v>3</v>
      </c>
      <c r="P27" s="42">
        <f>O27</f>
        <v>3</v>
      </c>
      <c r="Q27" s="42">
        <f>SUMIF($C7:$C18,"TEMPO",R7:R18)</f>
        <v>3</v>
      </c>
      <c r="R27" s="42">
        <f>Q27</f>
        <v>3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3</v>
      </c>
      <c r="Z27" s="42">
        <f>Y27</f>
        <v>3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75</v>
      </c>
      <c r="U28" s="38"/>
      <c r="V28" s="38">
        <f>(SUM(V24:V27)/COUNTA(V7:V18))*100</f>
        <v>75</v>
      </c>
      <c r="W28" s="38"/>
      <c r="X28" s="38">
        <f>(SUM(X24:X27)/COUNTA(X7:X18))*100</f>
        <v>75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88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4</v>
      </c>
      <c r="B36" s="28">
        <v>0.25</v>
      </c>
      <c r="C36" s="29" t="s">
        <v>39</v>
      </c>
      <c r="D36" s="30"/>
      <c r="E36" s="29">
        <v>230</v>
      </c>
      <c r="F36" s="29">
        <v>4</v>
      </c>
      <c r="G36" s="29">
        <v>0</v>
      </c>
      <c r="H36" s="29">
        <v>8000</v>
      </c>
      <c r="I36" s="29">
        <v>0</v>
      </c>
      <c r="J36" s="30" t="s">
        <v>58</v>
      </c>
      <c r="K36" s="29">
        <v>800</v>
      </c>
      <c r="L36" s="31" t="s">
        <v>107</v>
      </c>
      <c r="M36" s="32">
        <f t="shared" ref="M36:M37" si="27">IF(ISNUMBER(VALUE(FIND("VRB",L36))),999,VALUE(MID(L36,20,3)))</f>
        <v>210</v>
      </c>
      <c r="N36" s="33">
        <f t="shared" ref="N36:N37" si="2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37" si="29">VALUE(MID(L36,23,2))</f>
        <v>2</v>
      </c>
      <c r="P36" s="33">
        <f t="shared" ref="P36:P37" si="30">IF(ABS(O36-F36)&lt;11,1,0)</f>
        <v>1</v>
      </c>
      <c r="Q36" s="34">
        <f t="shared" ref="Q36:Q37" si="31">IF(MID(L36,25,1)="G","GUST",0)</f>
        <v>0</v>
      </c>
      <c r="R36" s="33">
        <f t="shared" ref="R36:R37" si="32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37" si="33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37" si="34">IF(AND(IFERROR(FIND("RA",L36),0)&gt;0, IFERROR(FIND("RA",L36),0)&lt;38),"RA",0)</f>
        <v>0</v>
      </c>
      <c r="V36" s="34">
        <f t="shared" ref="V36:V37" si="35">IF(U36=I36,1,0)</f>
        <v>1</v>
      </c>
      <c r="W36" s="34" t="str">
        <f t="shared" ref="W36:W37" si="36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37" si="37">IF(OR(AND(OR(J36="SKC",J36="FEW",J36="SCT"),OR(W36="SKC",W36="FEW",W36="SCT")),(AND(OR(J36="BKN",J36="OVC"),OR(W36="BKN",W36="OVC")))),1,0)</f>
        <v>1</v>
      </c>
      <c r="Y36" s="34">
        <f t="shared" ref="Y36:Y37" si="38">IF(ISNUMBER(VALUE(FIND("CAVOK",L36))),9999,IF(ISNUMBER(VALUE(FIND("NSC",L36))),9999,(MID(L36,(FIND(W36,L36)+4),2))*100))</f>
        <v>900</v>
      </c>
      <c r="Z36" s="34">
        <f t="shared" ref="Z36:Z37" si="39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230</v>
      </c>
      <c r="F37" s="29">
        <v>4</v>
      </c>
      <c r="G37" s="29">
        <v>0</v>
      </c>
      <c r="H37" s="29">
        <v>8000</v>
      </c>
      <c r="I37" s="29">
        <v>0</v>
      </c>
      <c r="J37" s="30" t="s">
        <v>58</v>
      </c>
      <c r="K37" s="29">
        <v>800</v>
      </c>
      <c r="L37" s="31" t="s">
        <v>108</v>
      </c>
      <c r="M37" s="32">
        <f t="shared" si="27"/>
        <v>210</v>
      </c>
      <c r="N37" s="33">
        <f t="shared" si="28"/>
        <v>1</v>
      </c>
      <c r="O37" s="33">
        <f t="shared" si="29"/>
        <v>3</v>
      </c>
      <c r="P37" s="33">
        <f t="shared" si="30"/>
        <v>1</v>
      </c>
      <c r="Q37" s="34">
        <f t="shared" si="31"/>
        <v>0</v>
      </c>
      <c r="R37" s="33">
        <f t="shared" si="32"/>
        <v>1</v>
      </c>
      <c r="S37" s="34">
        <f t="shared" ref="S37" si="40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3"/>
        <v>1</v>
      </c>
      <c r="U37" s="34">
        <f t="shared" si="34"/>
        <v>0</v>
      </c>
      <c r="V37" s="34">
        <f t="shared" si="35"/>
        <v>1</v>
      </c>
      <c r="W37" s="34" t="str">
        <f t="shared" si="36"/>
        <v>BKN</v>
      </c>
      <c r="X37" s="34">
        <f t="shared" si="37"/>
        <v>1</v>
      </c>
      <c r="Y37" s="34">
        <f t="shared" si="38"/>
        <v>900</v>
      </c>
      <c r="Z37" s="34">
        <f t="shared" si="39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230</v>
      </c>
      <c r="F38" s="29">
        <v>4</v>
      </c>
      <c r="G38" s="29">
        <v>0</v>
      </c>
      <c r="H38" s="29">
        <v>8000</v>
      </c>
      <c r="I38" s="29">
        <v>0</v>
      </c>
      <c r="J38" s="30" t="s">
        <v>58</v>
      </c>
      <c r="K38" s="29">
        <v>800</v>
      </c>
      <c r="L38" t="s">
        <v>118</v>
      </c>
      <c r="M38" s="32">
        <f t="shared" ref="M38:M47" si="41">IF(ISNUMBER(VALUE(FIND("VRB",L38))),999,VALUE(MID(L38,20,3)))</f>
        <v>190</v>
      </c>
      <c r="N38" s="33">
        <f t="shared" ref="N38:N47" si="42">IF(OR(ABS(E38-M38)&lt;61,AND(ABS(E38-M38)&gt;60,O38&lt;10),E38=M38,AND(E38=999,ISNUMBER(VALUE(FIND("TS",L38)))),AND(E38=999,ISNUMBER(VALUE(FIND("CB",L38)))),AND(E38=999,O38&lt;10),AND(F38&lt;10,M38=999,O38&lt;10)),1,0)</f>
        <v>1</v>
      </c>
      <c r="O38" s="33">
        <f t="shared" ref="O38:O47" si="43">VALUE(MID(L38,23,2))</f>
        <v>3</v>
      </c>
      <c r="P38" s="33">
        <f t="shared" ref="P38:P47" si="44">IF(ABS(O38-F38)&lt;11,1,0)</f>
        <v>1</v>
      </c>
      <c r="Q38" s="34">
        <f t="shared" ref="Q38:Q47" si="45">IF(MID(L38,25,1)="G","GUST",0)</f>
        <v>0</v>
      </c>
      <c r="R38" s="33">
        <f t="shared" ref="R38:R47" si="46">IF(G38=Q38,1,0)</f>
        <v>1</v>
      </c>
      <c r="S38" s="34">
        <f t="shared" ref="S38:S47" si="47">IF(ISNUMBER(VALUE(MID(L38,(FIND("KT",L38,FIND("Z",L38))+3),4))),VALUE(MID(L38,(FIND("KT",L38,FIND("Z",L38))+3),4)),IF(ISNUMBER(VALUE(MID(L38,(FIND("0V",L38)+6),4))),VALUE(MID(L38,(FIND("0V",L38)+6),4)),9999))</f>
        <v>8000</v>
      </c>
      <c r="T38" s="34">
        <f t="shared" ref="T38:T47" si="48">IF(OR(AND(H38&lt;801,S38&lt;801),AND(H38&gt;799,H38&lt;1501,S38&gt;799,S38&lt;1502),AND(H38&gt;1499,H38&lt;3001,S38&gt;1499,S38&lt;3001),AND(H38&gt;2999,H38&lt;5001,S38&gt;2999,S38&lt;5001),AND(H38&gt;4999,S38&gt;4999)),1,0)</f>
        <v>1</v>
      </c>
      <c r="U38" s="34">
        <f t="shared" ref="U38:U47" si="49">IF(AND(IFERROR(FIND("RA",L38),0)&gt;0, IFERROR(FIND("RA",L38),0)&lt;38),"RA",0)</f>
        <v>0</v>
      </c>
      <c r="V38" s="34">
        <f t="shared" ref="V38:V47" si="50">IF(U38=I38,1,0)</f>
        <v>1</v>
      </c>
      <c r="W38" s="34" t="str">
        <f t="shared" ref="W38:W47" si="51">IF(ISNUMBER(VALUE(FIND("FEW",L38))),"FEW",IF(ISNUMBER(VALUE(FIND("SCT",L38))),"SCT",IF(ISNUMBER(VALUE(FIND("BKN",L38))),"BKN",IF(ISNUMBER(VALUE(FIND("OVC",L38))),"OVC",IF(ISNUMBER(VALUE(FIND("SKC",L38))),"SKC",IF(ISNUMBER(VALUE(FIND("CAVOK",L38))),"SKC",IF(ISNUMBER(VALUE(FIND("NSC",L38))),"SKC","EROR")))))))</f>
        <v>BKN</v>
      </c>
      <c r="X38" s="34">
        <f t="shared" ref="X38:X47" si="52">IF(OR(AND(OR(J38="SKC",J38="FEW",J38="SCT"),OR(W38="SKC",W38="FEW",W38="SCT")),(AND(OR(J38="BKN",J38="OVC"),OR(W38="BKN",W38="OVC")))),1,0)</f>
        <v>1</v>
      </c>
      <c r="Y38" s="34">
        <f t="shared" ref="Y38:Y47" si="53">IF(ISNUMBER(VALUE(FIND("CAVOK",L38))),9999,IF(ISNUMBER(VALUE(FIND("NSC",L38))),9999,(MID(L38,(FIND(W38,L38)+4),2))*100))</f>
        <v>900</v>
      </c>
      <c r="Z38" s="34">
        <f t="shared" ref="Z38:Z47" si="54">IF(AND(Y38&lt;1001,ABS(K38-Y38)&lt;101),1,IF(AND(Y38&gt;1000,ABS(Y38-K38)/K38&lt;0.30005),1,0))</f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30"/>
      <c r="E39" s="29">
        <v>230</v>
      </c>
      <c r="F39" s="29">
        <v>4</v>
      </c>
      <c r="G39" s="29">
        <v>0</v>
      </c>
      <c r="H39" s="29">
        <v>4000</v>
      </c>
      <c r="I39" s="29" t="s">
        <v>52</v>
      </c>
      <c r="J39" s="30" t="s">
        <v>51</v>
      </c>
      <c r="K39" s="29">
        <v>800</v>
      </c>
      <c r="L39" t="s">
        <v>117</v>
      </c>
      <c r="M39" s="32">
        <f t="shared" si="41"/>
        <v>200</v>
      </c>
      <c r="N39" s="33">
        <f t="shared" si="42"/>
        <v>1</v>
      </c>
      <c r="O39" s="33">
        <f t="shared" si="43"/>
        <v>5</v>
      </c>
      <c r="P39" s="33">
        <f t="shared" si="44"/>
        <v>1</v>
      </c>
      <c r="Q39" s="34">
        <f t="shared" si="45"/>
        <v>0</v>
      </c>
      <c r="R39" s="33">
        <f t="shared" si="46"/>
        <v>1</v>
      </c>
      <c r="S39" s="34">
        <f t="shared" si="47"/>
        <v>8000</v>
      </c>
      <c r="T39" s="34">
        <f t="shared" si="48"/>
        <v>0</v>
      </c>
      <c r="U39" s="34">
        <f t="shared" si="49"/>
        <v>0</v>
      </c>
      <c r="V39" s="34">
        <f t="shared" si="50"/>
        <v>0</v>
      </c>
      <c r="W39" s="34" t="str">
        <f t="shared" si="51"/>
        <v>BKN</v>
      </c>
      <c r="X39" s="34">
        <f t="shared" si="52"/>
        <v>0</v>
      </c>
      <c r="Y39" s="34">
        <f t="shared" si="53"/>
        <v>900</v>
      </c>
      <c r="Z39" s="34">
        <f t="shared" si="54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30"/>
      <c r="E40" s="29">
        <v>230</v>
      </c>
      <c r="F40" s="29">
        <v>4</v>
      </c>
      <c r="G40" s="29">
        <v>0</v>
      </c>
      <c r="H40" s="29">
        <v>4000</v>
      </c>
      <c r="I40" s="29" t="s">
        <v>52</v>
      </c>
      <c r="J40" s="30" t="s">
        <v>51</v>
      </c>
      <c r="K40" s="29">
        <v>800</v>
      </c>
      <c r="L40" t="s">
        <v>116</v>
      </c>
      <c r="M40" s="32">
        <f t="shared" si="41"/>
        <v>210</v>
      </c>
      <c r="N40" s="33">
        <f t="shared" si="42"/>
        <v>1</v>
      </c>
      <c r="O40" s="33">
        <f t="shared" si="43"/>
        <v>2</v>
      </c>
      <c r="P40" s="33">
        <f t="shared" si="44"/>
        <v>1</v>
      </c>
      <c r="Q40" s="34">
        <f t="shared" si="45"/>
        <v>0</v>
      </c>
      <c r="R40" s="33">
        <f t="shared" si="46"/>
        <v>1</v>
      </c>
      <c r="S40" s="34">
        <f t="shared" si="47"/>
        <v>8000</v>
      </c>
      <c r="T40" s="34">
        <f t="shared" si="48"/>
        <v>0</v>
      </c>
      <c r="U40" s="34">
        <f t="shared" si="49"/>
        <v>0</v>
      </c>
      <c r="V40" s="34">
        <f t="shared" si="50"/>
        <v>0</v>
      </c>
      <c r="W40" s="34" t="str">
        <f t="shared" si="51"/>
        <v>BKN</v>
      </c>
      <c r="X40" s="34">
        <f t="shared" si="52"/>
        <v>0</v>
      </c>
      <c r="Y40" s="34">
        <f t="shared" si="53"/>
        <v>900</v>
      </c>
      <c r="Z40" s="34">
        <f t="shared" si="54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30"/>
      <c r="E41" s="29">
        <v>230</v>
      </c>
      <c r="F41" s="29">
        <v>4</v>
      </c>
      <c r="G41" s="29">
        <v>0</v>
      </c>
      <c r="H41" s="29">
        <v>4000</v>
      </c>
      <c r="I41" s="29" t="s">
        <v>52</v>
      </c>
      <c r="J41" s="30" t="s">
        <v>51</v>
      </c>
      <c r="K41" s="29">
        <v>800</v>
      </c>
      <c r="L41" t="s">
        <v>115</v>
      </c>
      <c r="M41" s="32">
        <f t="shared" si="41"/>
        <v>0</v>
      </c>
      <c r="N41" s="33">
        <f t="shared" si="42"/>
        <v>1</v>
      </c>
      <c r="O41" s="33">
        <f t="shared" si="43"/>
        <v>0</v>
      </c>
      <c r="P41" s="33">
        <f t="shared" si="44"/>
        <v>1</v>
      </c>
      <c r="Q41" s="34">
        <f t="shared" si="45"/>
        <v>0</v>
      </c>
      <c r="R41" s="33">
        <f t="shared" si="46"/>
        <v>1</v>
      </c>
      <c r="S41" s="34">
        <f t="shared" si="47"/>
        <v>8000</v>
      </c>
      <c r="T41" s="34">
        <f t="shared" si="48"/>
        <v>0</v>
      </c>
      <c r="U41" s="34">
        <f t="shared" si="49"/>
        <v>0</v>
      </c>
      <c r="V41" s="34">
        <f t="shared" si="50"/>
        <v>0</v>
      </c>
      <c r="W41" s="34" t="str">
        <f t="shared" si="51"/>
        <v>BKN</v>
      </c>
      <c r="X41" s="34">
        <f t="shared" si="52"/>
        <v>0</v>
      </c>
      <c r="Y41" s="34">
        <f t="shared" si="53"/>
        <v>900</v>
      </c>
      <c r="Z41" s="34">
        <f t="shared" si="54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230</v>
      </c>
      <c r="F42" s="29">
        <v>4</v>
      </c>
      <c r="G42" s="29">
        <v>0</v>
      </c>
      <c r="H42" s="29">
        <v>8000</v>
      </c>
      <c r="I42" s="29">
        <v>0</v>
      </c>
      <c r="J42" s="30" t="s">
        <v>58</v>
      </c>
      <c r="K42" s="29">
        <v>800</v>
      </c>
      <c r="L42" t="s">
        <v>114</v>
      </c>
      <c r="M42" s="32">
        <f t="shared" si="41"/>
        <v>150</v>
      </c>
      <c r="N42" s="33">
        <f t="shared" si="42"/>
        <v>1</v>
      </c>
      <c r="O42" s="33">
        <f t="shared" si="43"/>
        <v>2</v>
      </c>
      <c r="P42" s="33">
        <f t="shared" si="44"/>
        <v>1</v>
      </c>
      <c r="Q42" s="34">
        <f t="shared" si="45"/>
        <v>0</v>
      </c>
      <c r="R42" s="33">
        <f t="shared" si="46"/>
        <v>1</v>
      </c>
      <c r="S42" s="34">
        <f t="shared" si="47"/>
        <v>8000</v>
      </c>
      <c r="T42" s="34">
        <f t="shared" si="48"/>
        <v>1</v>
      </c>
      <c r="U42" s="34">
        <f t="shared" si="49"/>
        <v>0</v>
      </c>
      <c r="V42" s="34">
        <f t="shared" si="50"/>
        <v>1</v>
      </c>
      <c r="W42" s="34" t="str">
        <f t="shared" si="51"/>
        <v>BKN</v>
      </c>
      <c r="X42" s="34">
        <f t="shared" si="52"/>
        <v>1</v>
      </c>
      <c r="Y42" s="34">
        <f t="shared" si="53"/>
        <v>900</v>
      </c>
      <c r="Z42" s="34">
        <f t="shared" si="54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230</v>
      </c>
      <c r="F43" s="29">
        <v>4</v>
      </c>
      <c r="G43" s="29">
        <v>0</v>
      </c>
      <c r="H43" s="29">
        <v>8000</v>
      </c>
      <c r="I43" s="29">
        <v>0</v>
      </c>
      <c r="J43" s="30" t="s">
        <v>58</v>
      </c>
      <c r="K43" s="29">
        <v>800</v>
      </c>
      <c r="L43" t="s">
        <v>113</v>
      </c>
      <c r="M43" s="32">
        <f t="shared" si="41"/>
        <v>40</v>
      </c>
      <c r="N43" s="33">
        <f t="shared" si="42"/>
        <v>1</v>
      </c>
      <c r="O43" s="33">
        <f t="shared" si="43"/>
        <v>1</v>
      </c>
      <c r="P43" s="33">
        <f t="shared" si="44"/>
        <v>1</v>
      </c>
      <c r="Q43" s="34">
        <f t="shared" si="45"/>
        <v>0</v>
      </c>
      <c r="R43" s="33">
        <f t="shared" si="46"/>
        <v>1</v>
      </c>
      <c r="S43" s="34">
        <f t="shared" si="47"/>
        <v>8000</v>
      </c>
      <c r="T43" s="34">
        <f t="shared" si="48"/>
        <v>1</v>
      </c>
      <c r="U43" s="34">
        <f t="shared" si="49"/>
        <v>0</v>
      </c>
      <c r="V43" s="34">
        <f t="shared" si="50"/>
        <v>1</v>
      </c>
      <c r="W43" s="34" t="str">
        <f t="shared" si="51"/>
        <v>BKN</v>
      </c>
      <c r="X43" s="34">
        <f t="shared" si="52"/>
        <v>1</v>
      </c>
      <c r="Y43" s="34">
        <f t="shared" si="53"/>
        <v>900</v>
      </c>
      <c r="Z43" s="34">
        <f t="shared" si="54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230</v>
      </c>
      <c r="F44" s="29">
        <v>4</v>
      </c>
      <c r="G44" s="29">
        <v>0</v>
      </c>
      <c r="H44" s="29">
        <v>8000</v>
      </c>
      <c r="I44" s="29">
        <v>0</v>
      </c>
      <c r="J44" s="30" t="s">
        <v>58</v>
      </c>
      <c r="K44" s="29">
        <v>800</v>
      </c>
      <c r="L44" t="s">
        <v>112</v>
      </c>
      <c r="M44" s="32">
        <f t="shared" si="41"/>
        <v>0</v>
      </c>
      <c r="N44" s="33">
        <f t="shared" si="42"/>
        <v>1</v>
      </c>
      <c r="O44" s="33">
        <f t="shared" si="43"/>
        <v>0</v>
      </c>
      <c r="P44" s="33">
        <f t="shared" si="44"/>
        <v>1</v>
      </c>
      <c r="Q44" s="34">
        <f t="shared" si="45"/>
        <v>0</v>
      </c>
      <c r="R44" s="33">
        <f t="shared" si="46"/>
        <v>1</v>
      </c>
      <c r="S44" s="34">
        <f t="shared" si="47"/>
        <v>8000</v>
      </c>
      <c r="T44" s="34">
        <f t="shared" si="48"/>
        <v>1</v>
      </c>
      <c r="U44" s="34">
        <f t="shared" si="49"/>
        <v>0</v>
      </c>
      <c r="V44" s="34">
        <f t="shared" si="50"/>
        <v>1</v>
      </c>
      <c r="W44" s="34" t="str">
        <f t="shared" si="51"/>
        <v>BKN</v>
      </c>
      <c r="X44" s="34">
        <f t="shared" si="52"/>
        <v>1</v>
      </c>
      <c r="Y44" s="34">
        <f t="shared" si="53"/>
        <v>900</v>
      </c>
      <c r="Z44" s="34">
        <f t="shared" si="54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230</v>
      </c>
      <c r="F45" s="29">
        <v>4</v>
      </c>
      <c r="G45" s="29">
        <v>0</v>
      </c>
      <c r="H45" s="29">
        <v>8000</v>
      </c>
      <c r="I45" s="29">
        <v>0</v>
      </c>
      <c r="J45" s="30" t="s">
        <v>58</v>
      </c>
      <c r="K45" s="29">
        <v>800</v>
      </c>
      <c r="L45" t="s">
        <v>111</v>
      </c>
      <c r="M45" s="32">
        <f t="shared" si="41"/>
        <v>360</v>
      </c>
      <c r="N45" s="33">
        <f t="shared" si="42"/>
        <v>1</v>
      </c>
      <c r="O45" s="33">
        <f t="shared" si="43"/>
        <v>3</v>
      </c>
      <c r="P45" s="33">
        <f t="shared" si="44"/>
        <v>1</v>
      </c>
      <c r="Q45" s="34">
        <f t="shared" si="45"/>
        <v>0</v>
      </c>
      <c r="R45" s="33">
        <f t="shared" si="46"/>
        <v>1</v>
      </c>
      <c r="S45" s="34">
        <f t="shared" si="47"/>
        <v>8000</v>
      </c>
      <c r="T45" s="34">
        <f t="shared" si="48"/>
        <v>1</v>
      </c>
      <c r="U45" s="34">
        <f t="shared" si="49"/>
        <v>0</v>
      </c>
      <c r="V45" s="34">
        <f t="shared" si="50"/>
        <v>1</v>
      </c>
      <c r="W45" s="34" t="str">
        <f t="shared" si="51"/>
        <v>BKN</v>
      </c>
      <c r="X45" s="34">
        <f t="shared" si="52"/>
        <v>1</v>
      </c>
      <c r="Y45" s="34">
        <f t="shared" si="53"/>
        <v>900</v>
      </c>
      <c r="Z45" s="34">
        <f t="shared" si="54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230</v>
      </c>
      <c r="F46" s="29">
        <v>4</v>
      </c>
      <c r="G46" s="29">
        <v>0</v>
      </c>
      <c r="H46" s="29">
        <v>8000</v>
      </c>
      <c r="I46" s="29">
        <v>0</v>
      </c>
      <c r="J46" s="30" t="s">
        <v>58</v>
      </c>
      <c r="K46" s="29">
        <v>800</v>
      </c>
      <c r="L46" t="s">
        <v>110</v>
      </c>
      <c r="M46" s="32">
        <f t="shared" si="41"/>
        <v>10</v>
      </c>
      <c r="N46" s="33">
        <f t="shared" si="42"/>
        <v>1</v>
      </c>
      <c r="O46" s="33">
        <f t="shared" si="43"/>
        <v>3</v>
      </c>
      <c r="P46" s="33">
        <f t="shared" si="44"/>
        <v>1</v>
      </c>
      <c r="Q46" s="34">
        <f t="shared" si="45"/>
        <v>0</v>
      </c>
      <c r="R46" s="33">
        <f t="shared" si="46"/>
        <v>1</v>
      </c>
      <c r="S46" s="34">
        <f t="shared" si="47"/>
        <v>8000</v>
      </c>
      <c r="T46" s="34">
        <f t="shared" si="48"/>
        <v>1</v>
      </c>
      <c r="U46" s="34">
        <f t="shared" si="49"/>
        <v>0</v>
      </c>
      <c r="V46" s="34">
        <f t="shared" si="50"/>
        <v>1</v>
      </c>
      <c r="W46" s="34" t="str">
        <f t="shared" si="51"/>
        <v>BKN</v>
      </c>
      <c r="X46" s="34">
        <f t="shared" si="52"/>
        <v>1</v>
      </c>
      <c r="Y46" s="34">
        <f t="shared" si="53"/>
        <v>900</v>
      </c>
      <c r="Z46" s="34">
        <f t="shared" si="54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230</v>
      </c>
      <c r="F47" s="29">
        <v>4</v>
      </c>
      <c r="G47" s="29">
        <v>0</v>
      </c>
      <c r="H47" s="29">
        <v>8000</v>
      </c>
      <c r="I47" s="29">
        <v>0</v>
      </c>
      <c r="J47" s="30" t="s">
        <v>58</v>
      </c>
      <c r="K47" s="29">
        <v>800</v>
      </c>
      <c r="L47" t="s">
        <v>109</v>
      </c>
      <c r="M47" s="32">
        <f t="shared" si="41"/>
        <v>10</v>
      </c>
      <c r="N47" s="33">
        <f t="shared" si="42"/>
        <v>1</v>
      </c>
      <c r="O47" s="33">
        <f t="shared" si="43"/>
        <v>3</v>
      </c>
      <c r="P47" s="33">
        <f t="shared" si="44"/>
        <v>1</v>
      </c>
      <c r="Q47" s="34">
        <f t="shared" si="45"/>
        <v>0</v>
      </c>
      <c r="R47" s="33">
        <f t="shared" si="46"/>
        <v>1</v>
      </c>
      <c r="S47" s="34">
        <f t="shared" si="47"/>
        <v>8000</v>
      </c>
      <c r="T47" s="34">
        <f t="shared" si="48"/>
        <v>1</v>
      </c>
      <c r="U47" s="34">
        <f t="shared" si="49"/>
        <v>0</v>
      </c>
      <c r="V47" s="34">
        <f t="shared" si="50"/>
        <v>1</v>
      </c>
      <c r="W47" s="34" t="str">
        <f t="shared" si="51"/>
        <v>BKN</v>
      </c>
      <c r="X47" s="34">
        <f t="shared" si="52"/>
        <v>1</v>
      </c>
      <c r="Y47" s="34">
        <f t="shared" si="53"/>
        <v>900</v>
      </c>
      <c r="Z47" s="34">
        <f t="shared" si="54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9</v>
      </c>
      <c r="W52" s="25"/>
      <c r="X52" s="25">
        <f>SUM(X36:X47)</f>
        <v>9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9</v>
      </c>
      <c r="U53" s="25"/>
      <c r="V53" s="25">
        <f>SUMIF($C36:$C47,"GENERAL",V36:V47)</f>
        <v>9</v>
      </c>
      <c r="W53" s="25"/>
      <c r="X53" s="25">
        <f>SUMIF($C36:$C47,"GENERAL",X36:X47)</f>
        <v>9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75</v>
      </c>
      <c r="W57" s="38"/>
      <c r="X57" s="38">
        <f>(SUM(X53:X56)/COUNTA(X36:X47))*100</f>
        <v>75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119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4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2" t="s">
        <v>58</v>
      </c>
      <c r="K65" s="29">
        <v>900</v>
      </c>
      <c r="L65" t="s">
        <v>114</v>
      </c>
      <c r="M65" s="32">
        <f t="shared" ref="M65:M70" si="55">IF(ISNUMBER(VALUE(FIND("VRB",L65))),999,VALUE(MID(L65,20,3)))</f>
        <v>150</v>
      </c>
      <c r="N65" s="33">
        <f t="shared" ref="N65:N70" si="56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7">VALUE(MID(L65,23,2))</f>
        <v>2</v>
      </c>
      <c r="P65" s="33">
        <f t="shared" ref="P65:P70" si="58">IF(ABS(O65-F65)&lt;11,1,0)</f>
        <v>1</v>
      </c>
      <c r="Q65" s="34">
        <f t="shared" ref="Q65:Q70" si="59">IF(MID(L65,25,1)="G","GUST",0)</f>
        <v>0</v>
      </c>
      <c r="R65" s="33">
        <f t="shared" ref="R65:R70" si="60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61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62">IF(AND(IFERROR(FIND("RA",L65),0)&gt;0, IFERROR(FIND("RA",L65),0)&lt;38),"RA",0)</f>
        <v>0</v>
      </c>
      <c r="V65" s="34">
        <f t="shared" ref="V65:V70" si="63">IF(U65=I65,1,0)</f>
        <v>1</v>
      </c>
      <c r="W65" s="34" t="str">
        <f t="shared" ref="W65:W70" si="64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0" si="65">IF(OR(AND(OR(J65="SKC",J65="FEW",J65="SCT"),OR(W65="SKC",W65="FEW",W65="SCT")),(AND(OR(J65="BKN",J65="OVC"),OR(W65="BKN",W65="OVC")))),1,0)</f>
        <v>1</v>
      </c>
      <c r="Y65" s="34">
        <f t="shared" ref="Y65:Y70" si="66">IF(ISNUMBER(VALUE(FIND("CAVOK",L65))),9999,IF(ISNUMBER(VALUE(FIND("NSC",L65))),9999,(MID(L65,(FIND(W65,L65)+4),2))*100))</f>
        <v>900</v>
      </c>
      <c r="Z65" s="34">
        <f t="shared" ref="Z65:Z70" si="67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2" t="s">
        <v>58</v>
      </c>
      <c r="K66" s="29">
        <v>900</v>
      </c>
      <c r="L66" t="s">
        <v>113</v>
      </c>
      <c r="M66" s="32">
        <f t="shared" si="55"/>
        <v>40</v>
      </c>
      <c r="N66" s="33">
        <f t="shared" si="56"/>
        <v>1</v>
      </c>
      <c r="O66" s="33">
        <f t="shared" si="57"/>
        <v>1</v>
      </c>
      <c r="P66" s="33">
        <f t="shared" si="58"/>
        <v>1</v>
      </c>
      <c r="Q66" s="34">
        <f t="shared" si="59"/>
        <v>0</v>
      </c>
      <c r="R66" s="33">
        <f t="shared" si="60"/>
        <v>1</v>
      </c>
      <c r="S66" s="34">
        <f t="shared" ref="S66:S70" si="68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61"/>
        <v>1</v>
      </c>
      <c r="U66" s="34">
        <f t="shared" si="62"/>
        <v>0</v>
      </c>
      <c r="V66" s="34">
        <f t="shared" si="63"/>
        <v>1</v>
      </c>
      <c r="W66" s="34" t="str">
        <f t="shared" si="64"/>
        <v>BKN</v>
      </c>
      <c r="X66" s="34">
        <f t="shared" si="65"/>
        <v>1</v>
      </c>
      <c r="Y66" s="34">
        <f t="shared" si="66"/>
        <v>900</v>
      </c>
      <c r="Z66" s="34">
        <f t="shared" si="67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2" t="s">
        <v>58</v>
      </c>
      <c r="K67" s="29">
        <v>900</v>
      </c>
      <c r="L67" t="s">
        <v>112</v>
      </c>
      <c r="M67" s="32">
        <f t="shared" si="55"/>
        <v>0</v>
      </c>
      <c r="N67" s="33">
        <f t="shared" si="56"/>
        <v>1</v>
      </c>
      <c r="O67" s="33">
        <f t="shared" si="57"/>
        <v>0</v>
      </c>
      <c r="P67" s="33">
        <f t="shared" si="58"/>
        <v>1</v>
      </c>
      <c r="Q67" s="34">
        <f t="shared" si="59"/>
        <v>0</v>
      </c>
      <c r="R67" s="33">
        <f t="shared" si="60"/>
        <v>1</v>
      </c>
      <c r="S67" s="34">
        <f t="shared" si="68"/>
        <v>8000</v>
      </c>
      <c r="T67" s="34">
        <f t="shared" si="61"/>
        <v>1</v>
      </c>
      <c r="U67" s="34">
        <f t="shared" si="62"/>
        <v>0</v>
      </c>
      <c r="V67" s="34">
        <f t="shared" si="63"/>
        <v>1</v>
      </c>
      <c r="W67" s="34" t="str">
        <f t="shared" si="64"/>
        <v>BKN</v>
      </c>
      <c r="X67" s="34">
        <f t="shared" si="65"/>
        <v>1</v>
      </c>
      <c r="Y67" s="34">
        <f t="shared" si="66"/>
        <v>900</v>
      </c>
      <c r="Z67" s="34">
        <f t="shared" si="67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2" t="s">
        <v>58</v>
      </c>
      <c r="K68" s="29">
        <v>900</v>
      </c>
      <c r="L68" t="s">
        <v>111</v>
      </c>
      <c r="M68" s="32">
        <f t="shared" si="55"/>
        <v>360</v>
      </c>
      <c r="N68" s="33">
        <f t="shared" si="56"/>
        <v>1</v>
      </c>
      <c r="O68" s="33">
        <f t="shared" si="57"/>
        <v>3</v>
      </c>
      <c r="P68" s="33">
        <f t="shared" si="58"/>
        <v>1</v>
      </c>
      <c r="Q68" s="34">
        <f t="shared" si="59"/>
        <v>0</v>
      </c>
      <c r="R68" s="33">
        <f t="shared" si="60"/>
        <v>1</v>
      </c>
      <c r="S68" s="34">
        <f t="shared" si="68"/>
        <v>8000</v>
      </c>
      <c r="T68" s="34">
        <f t="shared" si="61"/>
        <v>1</v>
      </c>
      <c r="U68" s="34">
        <f t="shared" si="62"/>
        <v>0</v>
      </c>
      <c r="V68" s="34">
        <f t="shared" si="63"/>
        <v>1</v>
      </c>
      <c r="W68" s="34" t="str">
        <f t="shared" si="64"/>
        <v>BKN</v>
      </c>
      <c r="X68" s="34">
        <f t="shared" si="65"/>
        <v>1</v>
      </c>
      <c r="Y68" s="34">
        <f t="shared" si="66"/>
        <v>900</v>
      </c>
      <c r="Z68" s="34">
        <f t="shared" si="67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2" t="s">
        <v>58</v>
      </c>
      <c r="K69" s="29">
        <v>900</v>
      </c>
      <c r="L69" t="s">
        <v>110</v>
      </c>
      <c r="M69" s="32">
        <f t="shared" si="55"/>
        <v>10</v>
      </c>
      <c r="N69" s="33">
        <f t="shared" si="56"/>
        <v>1</v>
      </c>
      <c r="O69" s="33">
        <f t="shared" si="57"/>
        <v>3</v>
      </c>
      <c r="P69" s="33">
        <f t="shared" si="58"/>
        <v>1</v>
      </c>
      <c r="Q69" s="34">
        <f t="shared" si="59"/>
        <v>0</v>
      </c>
      <c r="R69" s="33">
        <f t="shared" si="60"/>
        <v>1</v>
      </c>
      <c r="S69" s="34">
        <f t="shared" si="68"/>
        <v>8000</v>
      </c>
      <c r="T69" s="34">
        <f t="shared" si="61"/>
        <v>1</v>
      </c>
      <c r="U69" s="34">
        <f t="shared" si="62"/>
        <v>0</v>
      </c>
      <c r="V69" s="34">
        <f t="shared" si="63"/>
        <v>1</v>
      </c>
      <c r="W69" s="34" t="str">
        <f t="shared" si="64"/>
        <v>BKN</v>
      </c>
      <c r="X69" s="34">
        <f t="shared" si="65"/>
        <v>1</v>
      </c>
      <c r="Y69" s="34">
        <f t="shared" si="66"/>
        <v>900</v>
      </c>
      <c r="Z69" s="34">
        <f t="shared" si="67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2" t="s">
        <v>58</v>
      </c>
      <c r="K70" s="29">
        <v>900</v>
      </c>
      <c r="L70" t="s">
        <v>109</v>
      </c>
      <c r="M70" s="32">
        <f t="shared" si="55"/>
        <v>10</v>
      </c>
      <c r="N70" s="33">
        <f t="shared" si="56"/>
        <v>1</v>
      </c>
      <c r="O70" s="33">
        <f t="shared" si="57"/>
        <v>3</v>
      </c>
      <c r="P70" s="33">
        <f t="shared" si="58"/>
        <v>1</v>
      </c>
      <c r="Q70" s="34">
        <f t="shared" si="59"/>
        <v>0</v>
      </c>
      <c r="R70" s="33">
        <f t="shared" si="60"/>
        <v>1</v>
      </c>
      <c r="S70" s="34">
        <f t="shared" si="68"/>
        <v>8000</v>
      </c>
      <c r="T70" s="34">
        <f t="shared" si="61"/>
        <v>1</v>
      </c>
      <c r="U70" s="34">
        <f t="shared" si="62"/>
        <v>0</v>
      </c>
      <c r="V70" s="34">
        <f t="shared" si="63"/>
        <v>1</v>
      </c>
      <c r="W70" s="34" t="str">
        <f t="shared" si="64"/>
        <v>BKN</v>
      </c>
      <c r="X70" s="34">
        <f t="shared" si="65"/>
        <v>1</v>
      </c>
      <c r="Y70" s="34">
        <f t="shared" si="66"/>
        <v>900</v>
      </c>
      <c r="Z70" s="34">
        <f t="shared" si="67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2" t="s">
        <v>58</v>
      </c>
      <c r="K71" s="29">
        <v>900</v>
      </c>
      <c r="L71" t="s">
        <v>125</v>
      </c>
      <c r="M71" s="32">
        <f t="shared" ref="M71:M76" si="69">IF(ISNUMBER(VALUE(FIND("VRB",L71))),999,VALUE(MID(L71,20,3)))</f>
        <v>360</v>
      </c>
      <c r="N71" s="33">
        <f t="shared" ref="N71:N76" si="70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1">VALUE(MID(L71,23,2))</f>
        <v>4</v>
      </c>
      <c r="P71" s="33">
        <f t="shared" ref="P71:P76" si="72">IF(ABS(O71-F71)&lt;11,1,0)</f>
        <v>1</v>
      </c>
      <c r="Q71" s="34">
        <f t="shared" ref="Q71:Q76" si="73">IF(MID(L71,25,1)="G","GUST",0)</f>
        <v>0</v>
      </c>
      <c r="R71" s="33">
        <f t="shared" ref="R71:R76" si="74">IF(G71=Q71,1,0)</f>
        <v>1</v>
      </c>
      <c r="S71" s="34">
        <f t="shared" ref="S71:S76" si="75">IF(ISNUMBER(VALUE(MID(L71,(FIND("KT",L71,FIND("Z",L71))+3),4))),VALUE(MID(L71,(FIND("KT",L71,FIND("Z",L71))+3),4)),IF(ISNUMBER(VALUE(MID(L71,(FIND("0V",L71)+6),4))),VALUE(MID(L71,(FIND("0V",L71)+6),4)),9999))</f>
        <v>8000</v>
      </c>
      <c r="T71" s="34">
        <f t="shared" ref="T71:T76" si="76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77">IF(AND(IFERROR(FIND("RA",L71),0)&gt;0, IFERROR(FIND("RA",L71),0)&lt;38),"RA",0)</f>
        <v>0</v>
      </c>
      <c r="V71" s="34">
        <f t="shared" ref="V71:V76" si="78">IF(U71=I71,1,0)</f>
        <v>1</v>
      </c>
      <c r="W71" s="34" t="str">
        <f t="shared" ref="W71:W76" si="79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80">IF(OR(AND(OR(J71="SKC",J71="FEW",J71="SCT"),OR(W71="SKC",W71="FEW",W71="SCT")),(AND(OR(J71="BKN",J71="OVC"),OR(W71="BKN",W71="OVC")))),1,0)</f>
        <v>1</v>
      </c>
      <c r="Y71" s="34">
        <f t="shared" ref="Y71:Y76" si="81">IF(ISNUMBER(VALUE(FIND("CAVOK",L71))),9999,IF(ISNUMBER(VALUE(FIND("NSC",L71))),9999,(MID(L71,(FIND(W71,L71)+4),2))*100))</f>
        <v>900</v>
      </c>
      <c r="Z71" s="34">
        <f t="shared" ref="Z71:Z76" si="82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2" t="s">
        <v>58</v>
      </c>
      <c r="K72" s="29">
        <v>900</v>
      </c>
      <c r="L72" t="s">
        <v>124</v>
      </c>
      <c r="M72" s="32">
        <f t="shared" si="69"/>
        <v>350</v>
      </c>
      <c r="N72" s="33">
        <f t="shared" si="70"/>
        <v>1</v>
      </c>
      <c r="O72" s="33">
        <f t="shared" si="71"/>
        <v>3</v>
      </c>
      <c r="P72" s="33">
        <f t="shared" si="72"/>
        <v>1</v>
      </c>
      <c r="Q72" s="34">
        <f t="shared" si="73"/>
        <v>0</v>
      </c>
      <c r="R72" s="33">
        <f t="shared" si="74"/>
        <v>1</v>
      </c>
      <c r="S72" s="34">
        <f t="shared" si="75"/>
        <v>8000</v>
      </c>
      <c r="T72" s="34">
        <f t="shared" si="76"/>
        <v>1</v>
      </c>
      <c r="U72" s="34">
        <f t="shared" si="77"/>
        <v>0</v>
      </c>
      <c r="V72" s="34">
        <f t="shared" si="78"/>
        <v>1</v>
      </c>
      <c r="W72" s="34" t="str">
        <f t="shared" si="79"/>
        <v>BKN</v>
      </c>
      <c r="X72" s="34">
        <f t="shared" si="80"/>
        <v>1</v>
      </c>
      <c r="Y72" s="34">
        <f t="shared" si="81"/>
        <v>900</v>
      </c>
      <c r="Z72" s="34">
        <f t="shared" si="82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2" t="s">
        <v>58</v>
      </c>
      <c r="K73" s="29">
        <v>900</v>
      </c>
      <c r="L73" t="s">
        <v>123</v>
      </c>
      <c r="M73" s="32">
        <f t="shared" si="69"/>
        <v>330</v>
      </c>
      <c r="N73" s="33">
        <f t="shared" si="70"/>
        <v>1</v>
      </c>
      <c r="O73" s="33">
        <f t="shared" si="71"/>
        <v>4</v>
      </c>
      <c r="P73" s="33">
        <f t="shared" si="72"/>
        <v>1</v>
      </c>
      <c r="Q73" s="34">
        <f t="shared" si="73"/>
        <v>0</v>
      </c>
      <c r="R73" s="33">
        <f t="shared" si="74"/>
        <v>1</v>
      </c>
      <c r="S73" s="34">
        <f t="shared" si="75"/>
        <v>5000</v>
      </c>
      <c r="T73" s="34">
        <f t="shared" si="76"/>
        <v>1</v>
      </c>
      <c r="U73" s="34" t="str">
        <f t="shared" si="77"/>
        <v>RA</v>
      </c>
      <c r="V73" s="34">
        <f t="shared" si="78"/>
        <v>0</v>
      </c>
      <c r="W73" s="34" t="str">
        <f t="shared" si="79"/>
        <v>BKN</v>
      </c>
      <c r="X73" s="34">
        <f t="shared" si="80"/>
        <v>1</v>
      </c>
      <c r="Y73" s="34">
        <f t="shared" si="81"/>
        <v>900</v>
      </c>
      <c r="Z73" s="34">
        <f t="shared" si="82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2" t="s">
        <v>58</v>
      </c>
      <c r="K74" s="29">
        <v>900</v>
      </c>
      <c r="L74" t="s">
        <v>122</v>
      </c>
      <c r="M74" s="32">
        <f t="shared" si="69"/>
        <v>270</v>
      </c>
      <c r="N74" s="33">
        <f t="shared" si="70"/>
        <v>1</v>
      </c>
      <c r="O74" s="33">
        <f t="shared" si="71"/>
        <v>2</v>
      </c>
      <c r="P74" s="33">
        <f t="shared" si="72"/>
        <v>1</v>
      </c>
      <c r="Q74" s="34">
        <f t="shared" si="73"/>
        <v>0</v>
      </c>
      <c r="R74" s="33">
        <f t="shared" si="74"/>
        <v>1</v>
      </c>
      <c r="S74" s="34">
        <f t="shared" si="75"/>
        <v>7000</v>
      </c>
      <c r="T74" s="34">
        <f t="shared" si="76"/>
        <v>1</v>
      </c>
      <c r="U74" s="34">
        <f t="shared" si="77"/>
        <v>0</v>
      </c>
      <c r="V74" s="34">
        <f t="shared" si="78"/>
        <v>1</v>
      </c>
      <c r="W74" s="34" t="str">
        <f t="shared" si="79"/>
        <v>BKN</v>
      </c>
      <c r="X74" s="34">
        <f t="shared" si="80"/>
        <v>1</v>
      </c>
      <c r="Y74" s="34">
        <f t="shared" si="81"/>
        <v>900</v>
      </c>
      <c r="Z74" s="34">
        <f t="shared" si="82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2" t="s">
        <v>58</v>
      </c>
      <c r="K75" s="29">
        <v>900</v>
      </c>
      <c r="L75" t="s">
        <v>121</v>
      </c>
      <c r="M75" s="32">
        <f t="shared" si="69"/>
        <v>300</v>
      </c>
      <c r="N75" s="33">
        <f t="shared" si="70"/>
        <v>1</v>
      </c>
      <c r="O75" s="33">
        <f t="shared" si="71"/>
        <v>2</v>
      </c>
      <c r="P75" s="33">
        <f t="shared" si="72"/>
        <v>1</v>
      </c>
      <c r="Q75" s="34">
        <f t="shared" si="73"/>
        <v>0</v>
      </c>
      <c r="R75" s="33">
        <f t="shared" si="74"/>
        <v>1</v>
      </c>
      <c r="S75" s="34">
        <f t="shared" si="75"/>
        <v>8000</v>
      </c>
      <c r="T75" s="34">
        <f t="shared" si="76"/>
        <v>1</v>
      </c>
      <c r="U75" s="34">
        <f t="shared" si="77"/>
        <v>0</v>
      </c>
      <c r="V75" s="34">
        <f t="shared" si="78"/>
        <v>1</v>
      </c>
      <c r="W75" s="34" t="str">
        <f t="shared" si="79"/>
        <v>BKN</v>
      </c>
      <c r="X75" s="34">
        <f t="shared" si="80"/>
        <v>1</v>
      </c>
      <c r="Y75" s="34">
        <f t="shared" si="81"/>
        <v>900</v>
      </c>
      <c r="Z75" s="34">
        <f t="shared" si="82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2" t="s">
        <v>58</v>
      </c>
      <c r="K76" s="29">
        <v>900</v>
      </c>
      <c r="L76" t="s">
        <v>134</v>
      </c>
      <c r="M76" s="32">
        <f t="shared" si="69"/>
        <v>40</v>
      </c>
      <c r="N76" s="33">
        <f t="shared" si="70"/>
        <v>1</v>
      </c>
      <c r="O76" s="33">
        <f t="shared" si="71"/>
        <v>2</v>
      </c>
      <c r="P76" s="33">
        <f t="shared" si="72"/>
        <v>1</v>
      </c>
      <c r="Q76" s="34">
        <f t="shared" si="73"/>
        <v>0</v>
      </c>
      <c r="R76" s="33">
        <f t="shared" si="74"/>
        <v>1</v>
      </c>
      <c r="S76" s="34">
        <f t="shared" si="75"/>
        <v>8000</v>
      </c>
      <c r="T76" s="34">
        <f t="shared" si="76"/>
        <v>1</v>
      </c>
      <c r="U76" s="34">
        <f t="shared" si="77"/>
        <v>0</v>
      </c>
      <c r="V76" s="34">
        <f t="shared" si="78"/>
        <v>1</v>
      </c>
      <c r="W76" s="34" t="str">
        <f t="shared" si="79"/>
        <v>BKN</v>
      </c>
      <c r="X76" s="34">
        <f t="shared" si="80"/>
        <v>1</v>
      </c>
      <c r="Y76" s="34">
        <f t="shared" si="81"/>
        <v>900</v>
      </c>
      <c r="Z76" s="34">
        <f t="shared" si="82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12</v>
      </c>
      <c r="U80" s="25"/>
      <c r="V80" s="25">
        <f>SUM(V64:V76)</f>
        <v>11</v>
      </c>
      <c r="W80" s="25"/>
      <c r="X80" s="25">
        <f>SUM(X64:X76)</f>
        <v>12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12</v>
      </c>
      <c r="U81" s="25"/>
      <c r="V81" s="25">
        <f>SUMIF($C64:$C76,"GENERAL",V64:V76)</f>
        <v>11</v>
      </c>
      <c r="W81" s="25"/>
      <c r="X81" s="25">
        <f>SUMIF($C64:$C76,"GENERAL",X64:X76)</f>
        <v>12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100</v>
      </c>
      <c r="U85" s="38"/>
      <c r="V85" s="38">
        <f>(SUM(V81:V84)/COUNTA(V64:V76))*100</f>
        <v>91.666666666666657</v>
      </c>
      <c r="W85" s="38"/>
      <c r="X85" s="38">
        <f>(SUM(X81:X84)/COUNTA(X64:X76))*100</f>
        <v>100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120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4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2" t="s">
        <v>58</v>
      </c>
      <c r="K93" s="51">
        <v>900</v>
      </c>
      <c r="L93" t="s">
        <v>125</v>
      </c>
      <c r="M93" s="32">
        <f t="shared" ref="M93:M98" si="83">IF(ISNUMBER(VALUE(FIND("VRB",L93))),999,VALUE(MID(L93,20,3)))</f>
        <v>360</v>
      </c>
      <c r="N93" s="33">
        <f t="shared" ref="N93:N98" si="84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5">VALUE(MID(L93,23,2))</f>
        <v>4</v>
      </c>
      <c r="P93" s="33">
        <f t="shared" ref="P93:P98" si="86">IF(ABS(O93-F93)&lt;11,1,0)</f>
        <v>1</v>
      </c>
      <c r="Q93" s="34">
        <f t="shared" ref="Q93:Q98" si="87">IF(MID(L93,25,1)="G","GUST",0)</f>
        <v>0</v>
      </c>
      <c r="R93" s="33">
        <f t="shared" ref="R93:R98" si="88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89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90">IF(AND(IFERROR(FIND("RA",L93),0)&gt;0, IFERROR(FIND("RA",L93),0)&lt;38),"RA",0)</f>
        <v>0</v>
      </c>
      <c r="V93" s="34">
        <f t="shared" ref="V93:V98" si="91">IF(U93=I93,1,0)</f>
        <v>1</v>
      </c>
      <c r="W93" s="34" t="str">
        <f t="shared" ref="W93:W98" si="92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93">IF(OR(AND(OR(J93="SKC",J93="FEW",J93="SCT"),OR(W93="SKC",W93="FEW",W93="SCT")),(AND(OR(J93="BKN",J93="OVC"),OR(W93="BKN",W93="OVC")))),1,0)</f>
        <v>1</v>
      </c>
      <c r="Y93" s="34">
        <f t="shared" ref="Y93:Y98" si="94">IF(ISNUMBER(VALUE(FIND("CAVOK",L93))),9999,IF(ISNUMBER(VALUE(FIND("NSC",L93))),9999,(MID(L93,(FIND(W93,L93)+4),2))*100))</f>
        <v>900</v>
      </c>
      <c r="Z93" s="34">
        <f t="shared" ref="Z93:Z98" si="95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2" t="s">
        <v>58</v>
      </c>
      <c r="K94" s="51">
        <v>900</v>
      </c>
      <c r="L94" t="s">
        <v>124</v>
      </c>
      <c r="M94" s="32">
        <f t="shared" si="83"/>
        <v>350</v>
      </c>
      <c r="N94" s="33">
        <f t="shared" si="84"/>
        <v>1</v>
      </c>
      <c r="O94" s="33">
        <f t="shared" si="85"/>
        <v>3</v>
      </c>
      <c r="P94" s="33">
        <f t="shared" si="86"/>
        <v>1</v>
      </c>
      <c r="Q94" s="34">
        <f t="shared" si="87"/>
        <v>0</v>
      </c>
      <c r="R94" s="33">
        <f t="shared" si="88"/>
        <v>1</v>
      </c>
      <c r="S94" s="34">
        <f t="shared" ref="S94:S98" si="96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9"/>
        <v>1</v>
      </c>
      <c r="U94" s="34">
        <f t="shared" si="90"/>
        <v>0</v>
      </c>
      <c r="V94" s="34">
        <f t="shared" si="91"/>
        <v>1</v>
      </c>
      <c r="W94" s="34" t="str">
        <f t="shared" si="92"/>
        <v>BKN</v>
      </c>
      <c r="X94" s="34">
        <f t="shared" si="93"/>
        <v>1</v>
      </c>
      <c r="Y94" s="34">
        <f t="shared" si="94"/>
        <v>900</v>
      </c>
      <c r="Z94" s="34">
        <f t="shared" si="95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2" t="s">
        <v>58</v>
      </c>
      <c r="K95" s="51">
        <v>900</v>
      </c>
      <c r="L95" t="s">
        <v>123</v>
      </c>
      <c r="M95" s="32">
        <f t="shared" si="83"/>
        <v>330</v>
      </c>
      <c r="N95" s="33">
        <f t="shared" si="84"/>
        <v>1</v>
      </c>
      <c r="O95" s="33">
        <f t="shared" si="85"/>
        <v>4</v>
      </c>
      <c r="P95" s="33">
        <f t="shared" si="86"/>
        <v>1</v>
      </c>
      <c r="Q95" s="34">
        <f t="shared" si="87"/>
        <v>0</v>
      </c>
      <c r="R95" s="33">
        <f t="shared" si="88"/>
        <v>1</v>
      </c>
      <c r="S95" s="34">
        <f t="shared" si="96"/>
        <v>5000</v>
      </c>
      <c r="T95" s="34">
        <f t="shared" si="89"/>
        <v>1</v>
      </c>
      <c r="U95" s="34" t="str">
        <f t="shared" si="90"/>
        <v>RA</v>
      </c>
      <c r="V95" s="34">
        <f t="shared" si="91"/>
        <v>0</v>
      </c>
      <c r="W95" s="34" t="str">
        <f t="shared" si="92"/>
        <v>BKN</v>
      </c>
      <c r="X95" s="34">
        <f t="shared" si="93"/>
        <v>1</v>
      </c>
      <c r="Y95" s="34">
        <f t="shared" si="94"/>
        <v>900</v>
      </c>
      <c r="Z95" s="34">
        <f t="shared" si="95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2" t="s">
        <v>58</v>
      </c>
      <c r="K96" s="51">
        <v>900</v>
      </c>
      <c r="L96" t="s">
        <v>122</v>
      </c>
      <c r="M96" s="32">
        <f t="shared" si="83"/>
        <v>270</v>
      </c>
      <c r="N96" s="33">
        <f t="shared" si="84"/>
        <v>1</v>
      </c>
      <c r="O96" s="33">
        <f t="shared" si="85"/>
        <v>2</v>
      </c>
      <c r="P96" s="33">
        <f t="shared" si="86"/>
        <v>1</v>
      </c>
      <c r="Q96" s="34">
        <f t="shared" si="87"/>
        <v>0</v>
      </c>
      <c r="R96" s="33">
        <f t="shared" si="88"/>
        <v>1</v>
      </c>
      <c r="S96" s="34">
        <f t="shared" si="96"/>
        <v>7000</v>
      </c>
      <c r="T96" s="34">
        <f t="shared" si="89"/>
        <v>1</v>
      </c>
      <c r="U96" s="34">
        <f t="shared" si="90"/>
        <v>0</v>
      </c>
      <c r="V96" s="34">
        <f t="shared" si="91"/>
        <v>1</v>
      </c>
      <c r="W96" s="34" t="str">
        <f t="shared" si="92"/>
        <v>BKN</v>
      </c>
      <c r="X96" s="34">
        <f t="shared" si="93"/>
        <v>1</v>
      </c>
      <c r="Y96" s="34">
        <f t="shared" si="94"/>
        <v>900</v>
      </c>
      <c r="Z96" s="34">
        <f t="shared" si="95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2" t="s">
        <v>58</v>
      </c>
      <c r="K97" s="51">
        <v>900</v>
      </c>
      <c r="L97" t="s">
        <v>121</v>
      </c>
      <c r="M97" s="32">
        <f t="shared" si="83"/>
        <v>300</v>
      </c>
      <c r="N97" s="33">
        <f t="shared" si="84"/>
        <v>1</v>
      </c>
      <c r="O97" s="33">
        <f t="shared" si="85"/>
        <v>2</v>
      </c>
      <c r="P97" s="33">
        <f t="shared" si="86"/>
        <v>1</v>
      </c>
      <c r="Q97" s="34">
        <f t="shared" si="87"/>
        <v>0</v>
      </c>
      <c r="R97" s="33">
        <f t="shared" si="88"/>
        <v>1</v>
      </c>
      <c r="S97" s="34">
        <f t="shared" si="96"/>
        <v>8000</v>
      </c>
      <c r="T97" s="34">
        <f t="shared" si="89"/>
        <v>1</v>
      </c>
      <c r="U97" s="34">
        <f t="shared" si="90"/>
        <v>0</v>
      </c>
      <c r="V97" s="34">
        <f t="shared" si="91"/>
        <v>1</v>
      </c>
      <c r="W97" s="34" t="str">
        <f t="shared" si="92"/>
        <v>BKN</v>
      </c>
      <c r="X97" s="34">
        <f t="shared" si="93"/>
        <v>1</v>
      </c>
      <c r="Y97" s="34">
        <f t="shared" si="94"/>
        <v>900</v>
      </c>
      <c r="Z97" s="34">
        <f t="shared" si="95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2" t="s">
        <v>58</v>
      </c>
      <c r="K98" s="51">
        <v>900</v>
      </c>
      <c r="L98" t="s">
        <v>134</v>
      </c>
      <c r="M98" s="32">
        <f t="shared" si="83"/>
        <v>40</v>
      </c>
      <c r="N98" s="33">
        <f t="shared" si="84"/>
        <v>1</v>
      </c>
      <c r="O98" s="33">
        <f t="shared" si="85"/>
        <v>2</v>
      </c>
      <c r="P98" s="33">
        <f t="shared" si="86"/>
        <v>1</v>
      </c>
      <c r="Q98" s="34">
        <f t="shared" si="87"/>
        <v>0</v>
      </c>
      <c r="R98" s="33">
        <f t="shared" si="88"/>
        <v>1</v>
      </c>
      <c r="S98" s="34">
        <f t="shared" si="96"/>
        <v>8000</v>
      </c>
      <c r="T98" s="34">
        <f t="shared" si="89"/>
        <v>1</v>
      </c>
      <c r="U98" s="34">
        <f t="shared" si="90"/>
        <v>0</v>
      </c>
      <c r="V98" s="34">
        <f t="shared" si="91"/>
        <v>1</v>
      </c>
      <c r="W98" s="34" t="str">
        <f t="shared" si="92"/>
        <v>BKN</v>
      </c>
      <c r="X98" s="34">
        <f t="shared" si="93"/>
        <v>1</v>
      </c>
      <c r="Y98" s="34">
        <f t="shared" si="94"/>
        <v>900</v>
      </c>
      <c r="Z98" s="34">
        <f t="shared" si="95"/>
        <v>1</v>
      </c>
      <c r="AA98" s="25"/>
      <c r="AB98" s="25"/>
      <c r="AC98" s="25"/>
      <c r="AD98" s="25"/>
      <c r="AE98" s="25"/>
    </row>
    <row r="99" spans="1:31" ht="16.5">
      <c r="A99" s="55">
        <v>5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2" t="s">
        <v>58</v>
      </c>
      <c r="K99" s="51">
        <v>900</v>
      </c>
      <c r="L99" t="s">
        <v>131</v>
      </c>
      <c r="M99" s="32">
        <f t="shared" ref="M99:M104" si="97">IF(ISNUMBER(VALUE(FIND("VRB",L99))),999,VALUE(MID(L99,20,3)))</f>
        <v>0</v>
      </c>
      <c r="N99" s="33">
        <f t="shared" ref="N99:N104" si="98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9">VALUE(MID(L99,23,2))</f>
        <v>0</v>
      </c>
      <c r="P99" s="33">
        <f t="shared" ref="P99:P104" si="100">IF(ABS(O99-F99)&lt;11,1,0)</f>
        <v>1</v>
      </c>
      <c r="Q99" s="34">
        <f t="shared" ref="Q99:Q104" si="101">IF(MID(L99,25,1)="G","GUST",0)</f>
        <v>0</v>
      </c>
      <c r="R99" s="33">
        <f t="shared" ref="R99:R104" si="102">IF(G99=Q99,1,0)</f>
        <v>1</v>
      </c>
      <c r="S99" s="34">
        <f t="shared" ref="S99:S104" si="103">IF(ISNUMBER(VALUE(MID(L99,(FIND("KT",L99,FIND("Z",L99))+3),4))),VALUE(MID(L99,(FIND("KT",L99,FIND("Z",L99))+3),4)),IF(ISNUMBER(VALUE(MID(L99,(FIND("0V",L99)+6),4))),VALUE(MID(L99,(FIND("0V",L99)+6),4)),9999))</f>
        <v>8000</v>
      </c>
      <c r="T99" s="34">
        <f t="shared" ref="T99:T104" si="104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05">IF(AND(IFERROR(FIND("RA",L99),0)&gt;0, IFERROR(FIND("RA",L99),0)&lt;38),"RA",0)</f>
        <v>0</v>
      </c>
      <c r="V99" s="34">
        <f t="shared" ref="V99:V104" si="106">IF(U99=I99,1,0)</f>
        <v>1</v>
      </c>
      <c r="W99" s="34" t="str">
        <f t="shared" ref="W99:W104" si="107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08">IF(OR(AND(OR(J99="SKC",J99="FEW",J99="SCT"),OR(W99="SKC",W99="FEW",W99="SCT")),(AND(OR(J99="BKN",J99="OVC"),OR(W99="BKN",W99="OVC")))),1,0)</f>
        <v>1</v>
      </c>
      <c r="Y99" s="34">
        <f t="shared" ref="Y99:Y104" si="109">IF(ISNUMBER(VALUE(FIND("CAVOK",L99))),9999,IF(ISNUMBER(VALUE(FIND("NSC",L99))),9999,(MID(L99,(FIND(W99,L99)+4),2))*100))</f>
        <v>900</v>
      </c>
      <c r="Z99" s="34">
        <f t="shared" ref="Z99:Z104" si="110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2" t="s">
        <v>58</v>
      </c>
      <c r="K100" s="51">
        <v>900</v>
      </c>
      <c r="L100" t="s">
        <v>130</v>
      </c>
      <c r="M100" s="32">
        <f t="shared" si="97"/>
        <v>0</v>
      </c>
      <c r="N100" s="33">
        <f t="shared" si="98"/>
        <v>1</v>
      </c>
      <c r="O100" s="33">
        <f t="shared" si="99"/>
        <v>0</v>
      </c>
      <c r="P100" s="33">
        <f t="shared" si="100"/>
        <v>1</v>
      </c>
      <c r="Q100" s="34">
        <f t="shared" si="101"/>
        <v>0</v>
      </c>
      <c r="R100" s="33">
        <f t="shared" si="102"/>
        <v>1</v>
      </c>
      <c r="S100" s="34">
        <f t="shared" si="103"/>
        <v>8000</v>
      </c>
      <c r="T100" s="34">
        <f t="shared" si="104"/>
        <v>1</v>
      </c>
      <c r="U100" s="34">
        <f t="shared" si="105"/>
        <v>0</v>
      </c>
      <c r="V100" s="34">
        <f t="shared" si="106"/>
        <v>1</v>
      </c>
      <c r="W100" s="34" t="str">
        <f t="shared" si="107"/>
        <v>BKN</v>
      </c>
      <c r="X100" s="34">
        <f t="shared" si="108"/>
        <v>1</v>
      </c>
      <c r="Y100" s="34">
        <f t="shared" si="109"/>
        <v>900</v>
      </c>
      <c r="Z100" s="34">
        <f t="shared" si="110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2" t="s">
        <v>58</v>
      </c>
      <c r="K101" s="51">
        <v>900</v>
      </c>
      <c r="L101" t="s">
        <v>129</v>
      </c>
      <c r="M101" s="32">
        <f t="shared" si="97"/>
        <v>320</v>
      </c>
      <c r="N101" s="33">
        <f t="shared" si="98"/>
        <v>1</v>
      </c>
      <c r="O101" s="33">
        <f t="shared" si="99"/>
        <v>2</v>
      </c>
      <c r="P101" s="33">
        <f t="shared" si="100"/>
        <v>1</v>
      </c>
      <c r="Q101" s="34">
        <f t="shared" si="101"/>
        <v>0</v>
      </c>
      <c r="R101" s="33">
        <f t="shared" si="102"/>
        <v>1</v>
      </c>
      <c r="S101" s="34">
        <f t="shared" si="103"/>
        <v>8000</v>
      </c>
      <c r="T101" s="34">
        <f t="shared" si="104"/>
        <v>1</v>
      </c>
      <c r="U101" s="34">
        <f t="shared" si="105"/>
        <v>0</v>
      </c>
      <c r="V101" s="34">
        <f t="shared" si="106"/>
        <v>1</v>
      </c>
      <c r="W101" s="34" t="str">
        <f t="shared" si="107"/>
        <v>BKN</v>
      </c>
      <c r="X101" s="34">
        <f t="shared" si="108"/>
        <v>1</v>
      </c>
      <c r="Y101" s="34">
        <f t="shared" si="109"/>
        <v>800</v>
      </c>
      <c r="Z101" s="34">
        <f t="shared" si="110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2" t="s">
        <v>58</v>
      </c>
      <c r="K102" s="51">
        <v>900</v>
      </c>
      <c r="L102" t="s">
        <v>128</v>
      </c>
      <c r="M102" s="32">
        <f t="shared" si="97"/>
        <v>320</v>
      </c>
      <c r="N102" s="33">
        <f t="shared" si="98"/>
        <v>1</v>
      </c>
      <c r="O102" s="33">
        <f t="shared" si="99"/>
        <v>2</v>
      </c>
      <c r="P102" s="33">
        <f t="shared" si="100"/>
        <v>1</v>
      </c>
      <c r="Q102" s="34">
        <f t="shared" si="101"/>
        <v>0</v>
      </c>
      <c r="R102" s="33">
        <f t="shared" si="102"/>
        <v>1</v>
      </c>
      <c r="S102" s="34">
        <f t="shared" si="103"/>
        <v>8000</v>
      </c>
      <c r="T102" s="34">
        <f t="shared" si="104"/>
        <v>1</v>
      </c>
      <c r="U102" s="34">
        <f t="shared" si="105"/>
        <v>0</v>
      </c>
      <c r="V102" s="34">
        <f t="shared" si="106"/>
        <v>1</v>
      </c>
      <c r="W102" s="34" t="str">
        <f t="shared" si="107"/>
        <v>BKN</v>
      </c>
      <c r="X102" s="34">
        <f t="shared" si="108"/>
        <v>1</v>
      </c>
      <c r="Y102" s="34">
        <f t="shared" si="109"/>
        <v>900</v>
      </c>
      <c r="Z102" s="34">
        <f t="shared" si="110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2" t="s">
        <v>58</v>
      </c>
      <c r="K103" s="51">
        <v>900</v>
      </c>
      <c r="L103" t="s">
        <v>127</v>
      </c>
      <c r="M103" s="32">
        <f t="shared" si="97"/>
        <v>320</v>
      </c>
      <c r="N103" s="33">
        <f t="shared" si="98"/>
        <v>1</v>
      </c>
      <c r="O103" s="33">
        <f t="shared" si="99"/>
        <v>2</v>
      </c>
      <c r="P103" s="33">
        <f t="shared" si="100"/>
        <v>1</v>
      </c>
      <c r="Q103" s="34">
        <f t="shared" si="101"/>
        <v>0</v>
      </c>
      <c r="R103" s="33">
        <f t="shared" si="102"/>
        <v>1</v>
      </c>
      <c r="S103" s="34">
        <f t="shared" si="103"/>
        <v>8000</v>
      </c>
      <c r="T103" s="34">
        <f t="shared" si="104"/>
        <v>1</v>
      </c>
      <c r="U103" s="34">
        <f t="shared" si="105"/>
        <v>0</v>
      </c>
      <c r="V103" s="34">
        <f t="shared" si="106"/>
        <v>1</v>
      </c>
      <c r="W103" s="34" t="str">
        <f t="shared" si="107"/>
        <v>BKN</v>
      </c>
      <c r="X103" s="34">
        <f t="shared" si="108"/>
        <v>1</v>
      </c>
      <c r="Y103" s="34">
        <f t="shared" si="109"/>
        <v>900</v>
      </c>
      <c r="Z103" s="34">
        <f t="shared" si="110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2" t="s">
        <v>58</v>
      </c>
      <c r="K104" s="51">
        <v>900</v>
      </c>
      <c r="L104" t="s">
        <v>126</v>
      </c>
      <c r="M104" s="32">
        <f t="shared" si="97"/>
        <v>320</v>
      </c>
      <c r="N104" s="33">
        <f t="shared" si="98"/>
        <v>1</v>
      </c>
      <c r="O104" s="33">
        <f t="shared" si="99"/>
        <v>2</v>
      </c>
      <c r="P104" s="33">
        <f t="shared" si="100"/>
        <v>1</v>
      </c>
      <c r="Q104" s="34">
        <f t="shared" si="101"/>
        <v>0</v>
      </c>
      <c r="R104" s="33">
        <f t="shared" si="102"/>
        <v>1</v>
      </c>
      <c r="S104" s="34">
        <f t="shared" si="103"/>
        <v>8000</v>
      </c>
      <c r="T104" s="34">
        <f t="shared" si="104"/>
        <v>1</v>
      </c>
      <c r="U104" s="34">
        <f t="shared" si="105"/>
        <v>0</v>
      </c>
      <c r="V104" s="34">
        <f t="shared" si="106"/>
        <v>1</v>
      </c>
      <c r="W104" s="34" t="str">
        <f t="shared" si="107"/>
        <v>BKN</v>
      </c>
      <c r="X104" s="34">
        <f t="shared" si="108"/>
        <v>1</v>
      </c>
      <c r="Y104" s="34">
        <f t="shared" si="109"/>
        <v>900</v>
      </c>
      <c r="Z104" s="34">
        <f t="shared" si="110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11</v>
      </c>
      <c r="W109" s="25"/>
      <c r="X109" s="25">
        <f>SUM(X93:X104)</f>
        <v>12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11</v>
      </c>
      <c r="W110" s="25"/>
      <c r="X110" s="25">
        <f>SUMIF($C93:$C104,"GENERAL",X93:X104)</f>
        <v>12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91.666666666666657</v>
      </c>
      <c r="W114" s="38"/>
      <c r="X114" s="38">
        <f>(SUM(X110:X113)/COUNTA(X93:X104))*100</f>
        <v>100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E8C24-0324-5C4C-9BE8-D296AD2E4074}">
  <sheetPr>
    <tabColor theme="0"/>
  </sheetPr>
  <dimension ref="A1:AE115"/>
  <sheetViews>
    <sheetView topLeftCell="F52" zoomScale="85" zoomScaleNormal="85" workbookViewId="0">
      <selection activeCell="M34" sqref="M34:M35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132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5</v>
      </c>
      <c r="B7" s="28">
        <v>0</v>
      </c>
      <c r="C7" s="29" t="s">
        <v>39</v>
      </c>
      <c r="D7" s="29"/>
      <c r="E7" s="29">
        <v>300</v>
      </c>
      <c r="F7" s="29">
        <v>3</v>
      </c>
      <c r="G7" s="29">
        <v>0</v>
      </c>
      <c r="H7" s="29">
        <v>8000</v>
      </c>
      <c r="I7" s="29">
        <v>0</v>
      </c>
      <c r="J7" s="30" t="s">
        <v>58</v>
      </c>
      <c r="K7" s="29">
        <v>900</v>
      </c>
      <c r="L7" s="1" t="s">
        <v>131</v>
      </c>
      <c r="M7" s="32">
        <f t="shared" ref="M7:M18" si="0">IF(ISNUMBER(VALUE(FIND("VRB",L7))),999,VALUE(MID(L7,20,3)))</f>
        <v>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0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8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0">IF(OR(AND(OR(J7="SKC",J7="FEW",J7="SCT"),OR(W7="SKC",W7="FEW",W7="SCT")),(AND(OR(J7="BKN",J7="OVC"),OR(W7="BKN",W7="OVC")))),1,0)</f>
        <v>1</v>
      </c>
      <c r="Y7" s="34">
        <f t="shared" ref="Y7:Y18" si="11">IF(ISNUMBER(VALUE(FIND("CAVOK",L7))),9999,IF(ISNUMBER(VALUE(FIND("NSC",L7))),9999,(MID(L7,(FIND(W7,L7)+4),2))*100))</f>
        <v>900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300</v>
      </c>
      <c r="F8" s="29">
        <v>3</v>
      </c>
      <c r="G8" s="29">
        <v>0</v>
      </c>
      <c r="H8" s="29">
        <v>8000</v>
      </c>
      <c r="I8" s="29">
        <v>0</v>
      </c>
      <c r="J8" s="30" t="s">
        <v>58</v>
      </c>
      <c r="K8" s="29">
        <v>900</v>
      </c>
      <c r="L8" s="1" t="s">
        <v>130</v>
      </c>
      <c r="M8" s="32">
        <f t="shared" si="0"/>
        <v>0</v>
      </c>
      <c r="N8" s="33">
        <f t="shared" si="1"/>
        <v>1</v>
      </c>
      <c r="O8" s="33">
        <f t="shared" si="2"/>
        <v>0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300</v>
      </c>
      <c r="F9" s="29">
        <v>3</v>
      </c>
      <c r="G9" s="29">
        <v>0</v>
      </c>
      <c r="H9" s="29">
        <v>8000</v>
      </c>
      <c r="I9" s="29">
        <v>0</v>
      </c>
      <c r="J9" s="30" t="s">
        <v>58</v>
      </c>
      <c r="K9" s="29">
        <v>900</v>
      </c>
      <c r="L9" s="1" t="s">
        <v>129</v>
      </c>
      <c r="M9" s="32">
        <f t="shared" si="0"/>
        <v>320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800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300</v>
      </c>
      <c r="F10" s="29">
        <v>3</v>
      </c>
      <c r="G10" s="29">
        <v>0</v>
      </c>
      <c r="H10" s="29">
        <v>8000</v>
      </c>
      <c r="I10" s="29">
        <v>0</v>
      </c>
      <c r="J10" s="30" t="s">
        <v>58</v>
      </c>
      <c r="K10" s="29">
        <v>900</v>
      </c>
      <c r="L10" s="1" t="s">
        <v>128</v>
      </c>
      <c r="M10" s="32">
        <f t="shared" si="0"/>
        <v>320</v>
      </c>
      <c r="N10" s="33">
        <f t="shared" si="1"/>
        <v>1</v>
      </c>
      <c r="O10" s="33">
        <f t="shared" si="2"/>
        <v>2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300</v>
      </c>
      <c r="F11" s="29">
        <v>3</v>
      </c>
      <c r="G11" s="29">
        <v>0</v>
      </c>
      <c r="H11" s="29">
        <v>8000</v>
      </c>
      <c r="I11" s="29">
        <v>0</v>
      </c>
      <c r="J11" s="30" t="s">
        <v>58</v>
      </c>
      <c r="K11" s="29">
        <v>900</v>
      </c>
      <c r="L11" s="1" t="s">
        <v>127</v>
      </c>
      <c r="M11" s="32">
        <f t="shared" si="0"/>
        <v>320</v>
      </c>
      <c r="N11" s="33">
        <f t="shared" si="1"/>
        <v>1</v>
      </c>
      <c r="O11" s="33">
        <f t="shared" si="2"/>
        <v>2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300</v>
      </c>
      <c r="F12" s="29">
        <v>3</v>
      </c>
      <c r="G12" s="29">
        <v>0</v>
      </c>
      <c r="H12" s="29">
        <v>8000</v>
      </c>
      <c r="I12" s="29">
        <v>0</v>
      </c>
      <c r="J12" s="30" t="s">
        <v>58</v>
      </c>
      <c r="K12" s="29">
        <v>900</v>
      </c>
      <c r="L12" s="1" t="s">
        <v>126</v>
      </c>
      <c r="M12" s="32">
        <f t="shared" si="0"/>
        <v>320</v>
      </c>
      <c r="N12" s="33">
        <f t="shared" si="1"/>
        <v>1</v>
      </c>
      <c r="O12" s="33">
        <f t="shared" si="2"/>
        <v>2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300</v>
      </c>
      <c r="F13" s="29">
        <v>3</v>
      </c>
      <c r="G13" s="29">
        <v>0</v>
      </c>
      <c r="H13" s="29">
        <v>8000</v>
      </c>
      <c r="I13" s="29">
        <v>0</v>
      </c>
      <c r="J13" s="30" t="s">
        <v>58</v>
      </c>
      <c r="K13" s="29">
        <v>900</v>
      </c>
      <c r="L13" s="1" t="s">
        <v>135</v>
      </c>
      <c r="M13" s="32">
        <f t="shared" si="0"/>
        <v>310</v>
      </c>
      <c r="N13" s="33">
        <f t="shared" si="1"/>
        <v>1</v>
      </c>
      <c r="O13" s="33">
        <f t="shared" si="2"/>
        <v>2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BKN</v>
      </c>
      <c r="X13" s="34">
        <f t="shared" si="10"/>
        <v>1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40</v>
      </c>
      <c r="D14" s="29"/>
      <c r="E14" s="29">
        <v>300</v>
      </c>
      <c r="F14" s="29">
        <v>3</v>
      </c>
      <c r="G14" s="29">
        <v>0</v>
      </c>
      <c r="H14" s="29">
        <v>8000</v>
      </c>
      <c r="I14" s="29">
        <v>0</v>
      </c>
      <c r="J14" s="30" t="s">
        <v>58</v>
      </c>
      <c r="K14" s="29">
        <v>900</v>
      </c>
      <c r="L14" s="1" t="s">
        <v>907</v>
      </c>
      <c r="M14" s="32">
        <f t="shared" si="0"/>
        <v>40</v>
      </c>
      <c r="N14" s="33">
        <f t="shared" si="1"/>
        <v>1</v>
      </c>
      <c r="O14" s="33">
        <f t="shared" si="2"/>
        <v>3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BKN</v>
      </c>
      <c r="X14" s="34">
        <f t="shared" si="10"/>
        <v>1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40</v>
      </c>
      <c r="D15" s="29"/>
      <c r="E15" s="29">
        <v>300</v>
      </c>
      <c r="F15" s="29">
        <v>3</v>
      </c>
      <c r="G15" s="29">
        <v>0</v>
      </c>
      <c r="H15" s="29">
        <v>8000</v>
      </c>
      <c r="I15" s="29">
        <v>0</v>
      </c>
      <c r="J15" s="30" t="s">
        <v>58</v>
      </c>
      <c r="K15" s="29">
        <v>900</v>
      </c>
      <c r="L15" s="1" t="s">
        <v>141</v>
      </c>
      <c r="M15" s="32">
        <f t="shared" si="0"/>
        <v>0</v>
      </c>
      <c r="N15" s="33">
        <f t="shared" si="1"/>
        <v>1</v>
      </c>
      <c r="O15" s="33">
        <f t="shared" si="2"/>
        <v>0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3"/>
        <v>8000</v>
      </c>
      <c r="T15" s="34">
        <f t="shared" si="6"/>
        <v>1</v>
      </c>
      <c r="U15" s="34">
        <f t="shared" si="7"/>
        <v>0</v>
      </c>
      <c r="V15" s="34">
        <f t="shared" si="8"/>
        <v>1</v>
      </c>
      <c r="W15" s="34" t="str">
        <f t="shared" si="9"/>
        <v>BKN</v>
      </c>
      <c r="X15" s="34">
        <f t="shared" si="10"/>
        <v>1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40</v>
      </c>
      <c r="D16" s="29"/>
      <c r="E16" s="29">
        <v>300</v>
      </c>
      <c r="F16" s="29">
        <v>3</v>
      </c>
      <c r="G16" s="29">
        <v>0</v>
      </c>
      <c r="H16" s="29">
        <v>8000</v>
      </c>
      <c r="I16" s="29">
        <v>0</v>
      </c>
      <c r="J16" s="30" t="s">
        <v>58</v>
      </c>
      <c r="K16" s="29">
        <v>900</v>
      </c>
      <c r="L16" s="1" t="s">
        <v>142</v>
      </c>
      <c r="M16" s="32">
        <f t="shared" si="0"/>
        <v>0</v>
      </c>
      <c r="N16" s="33">
        <f t="shared" si="1"/>
        <v>1</v>
      </c>
      <c r="O16" s="33">
        <f t="shared" si="2"/>
        <v>0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3"/>
        <v>8000</v>
      </c>
      <c r="T16" s="34">
        <f t="shared" si="6"/>
        <v>1</v>
      </c>
      <c r="U16" s="34">
        <f t="shared" si="7"/>
        <v>0</v>
      </c>
      <c r="V16" s="34">
        <f t="shared" si="8"/>
        <v>1</v>
      </c>
      <c r="W16" s="34" t="str">
        <f t="shared" si="9"/>
        <v>BKN</v>
      </c>
      <c r="X16" s="34">
        <f t="shared" si="10"/>
        <v>1</v>
      </c>
      <c r="Y16" s="34">
        <f t="shared" si="11"/>
        <v>900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40</v>
      </c>
      <c r="D17" s="29"/>
      <c r="E17" s="29">
        <v>300</v>
      </c>
      <c r="F17" s="29">
        <v>3</v>
      </c>
      <c r="G17" s="29">
        <v>0</v>
      </c>
      <c r="H17" s="29">
        <v>8000</v>
      </c>
      <c r="I17" s="29">
        <v>0</v>
      </c>
      <c r="J17" s="30" t="s">
        <v>58</v>
      </c>
      <c r="K17" s="29">
        <v>900</v>
      </c>
      <c r="L17" s="1" t="s">
        <v>143</v>
      </c>
      <c r="M17" s="32">
        <f t="shared" si="0"/>
        <v>0</v>
      </c>
      <c r="N17" s="33">
        <f t="shared" si="1"/>
        <v>1</v>
      </c>
      <c r="O17" s="33">
        <f t="shared" si="2"/>
        <v>0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3"/>
        <v>8000</v>
      </c>
      <c r="T17" s="34">
        <f t="shared" si="6"/>
        <v>1</v>
      </c>
      <c r="U17" s="34">
        <f t="shared" si="7"/>
        <v>0</v>
      </c>
      <c r="V17" s="34">
        <f t="shared" si="8"/>
        <v>1</v>
      </c>
      <c r="W17" s="34" t="str">
        <f t="shared" si="9"/>
        <v>BKN</v>
      </c>
      <c r="X17" s="34">
        <f t="shared" si="10"/>
        <v>1</v>
      </c>
      <c r="Y17" s="34">
        <f t="shared" si="11"/>
        <v>900</v>
      </c>
      <c r="Z17" s="34">
        <f t="shared" si="12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300</v>
      </c>
      <c r="F18" s="29">
        <v>3</v>
      </c>
      <c r="G18" s="29">
        <v>0</v>
      </c>
      <c r="H18" s="29">
        <v>8000</v>
      </c>
      <c r="I18" s="29">
        <v>0</v>
      </c>
      <c r="J18" s="30" t="s">
        <v>58</v>
      </c>
      <c r="K18" s="29">
        <v>900</v>
      </c>
      <c r="L18" s="1" t="s">
        <v>144</v>
      </c>
      <c r="M18" s="32">
        <f t="shared" si="0"/>
        <v>0</v>
      </c>
      <c r="N18" s="33">
        <f t="shared" si="1"/>
        <v>1</v>
      </c>
      <c r="O18" s="33">
        <f t="shared" si="2"/>
        <v>0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3"/>
        <v>8000</v>
      </c>
      <c r="T18" s="34">
        <f t="shared" si="6"/>
        <v>1</v>
      </c>
      <c r="U18" s="34">
        <f t="shared" si="7"/>
        <v>0</v>
      </c>
      <c r="V18" s="34">
        <f t="shared" si="8"/>
        <v>1</v>
      </c>
      <c r="W18" s="34" t="str">
        <f t="shared" si="9"/>
        <v>BKN</v>
      </c>
      <c r="X18" s="34">
        <f t="shared" si="10"/>
        <v>1</v>
      </c>
      <c r="Y18" s="34">
        <f t="shared" si="11"/>
        <v>900</v>
      </c>
      <c r="Z18" s="34">
        <f t="shared" si="12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12</v>
      </c>
      <c r="W23" s="25"/>
      <c r="X23" s="25">
        <f>SUM(X7:X18)</f>
        <v>12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8</v>
      </c>
      <c r="O24" s="25"/>
      <c r="P24" s="25">
        <f>SUMIF($C7:$C18,"GENERAL",P7:P18)</f>
        <v>8</v>
      </c>
      <c r="Q24" s="25"/>
      <c r="R24" s="25">
        <f>SUMIF($C7:$C18,"GENERAL",R7:R18)</f>
        <v>8</v>
      </c>
      <c r="S24" s="25"/>
      <c r="T24" s="25">
        <f>SUMIF($C7:$C18,"GENERAL",T7:T18)</f>
        <v>8</v>
      </c>
      <c r="U24" s="25"/>
      <c r="V24" s="25">
        <f>SUMIF($C7:$C18,"GENERAL",V7:V18)</f>
        <v>8</v>
      </c>
      <c r="W24" s="25"/>
      <c r="X24" s="25">
        <f>SUMIF($C7:$C18,"GENERAL",X7:X18)</f>
        <v>8</v>
      </c>
      <c r="Y24" s="25"/>
      <c r="Z24" s="25">
        <f>SUMIF($C7:$C18,"GENERAL",Z7:Z18)</f>
        <v>8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4</v>
      </c>
      <c r="M27" s="42">
        <f>SUMIF($C7:$C18,"TEMPO",N7:N18)</f>
        <v>4</v>
      </c>
      <c r="N27" s="42">
        <f>M27</f>
        <v>4</v>
      </c>
      <c r="O27" s="42">
        <f>SUMIF($C7:$C18,"TEMPO",P7:P18)</f>
        <v>4</v>
      </c>
      <c r="P27" s="42">
        <f>O27</f>
        <v>4</v>
      </c>
      <c r="Q27" s="42">
        <f>SUMIF($C7:$C18,"TEMPO",R7:R18)</f>
        <v>4</v>
      </c>
      <c r="R27" s="42">
        <f>Q27</f>
        <v>4</v>
      </c>
      <c r="S27" s="42">
        <f>SUMIF($C7:$C18,"TEMPO",T7:T18)</f>
        <v>4</v>
      </c>
      <c r="T27" s="42">
        <f>S27</f>
        <v>4</v>
      </c>
      <c r="U27" s="42">
        <f>SUMIF($C7:$C18,"TEMPO",V7:V18)</f>
        <v>4</v>
      </c>
      <c r="V27" s="42">
        <f>U27</f>
        <v>4</v>
      </c>
      <c r="W27" s="42">
        <f>SUMIF($C7:$C18,"TEMPO",X7:X18)</f>
        <v>4</v>
      </c>
      <c r="X27" s="42">
        <f>W27</f>
        <v>4</v>
      </c>
      <c r="Y27" s="42">
        <f>SUMIF($C7:$C18,"TEMPO",Z7:Z18)</f>
        <v>4</v>
      </c>
      <c r="Z27" s="42">
        <f>Y27</f>
        <v>4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100</v>
      </c>
      <c r="W28" s="38"/>
      <c r="X28" s="38">
        <f>(SUM(X24:X27)/COUNTA(X7:X18))*100</f>
        <v>100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133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5</v>
      </c>
      <c r="B36" s="28">
        <v>0.25</v>
      </c>
      <c r="C36" s="29" t="s">
        <v>39</v>
      </c>
      <c r="D36" s="30"/>
      <c r="E36" s="29">
        <v>280</v>
      </c>
      <c r="F36" s="29">
        <v>3</v>
      </c>
      <c r="G36" s="29">
        <v>0</v>
      </c>
      <c r="H36" s="29">
        <v>8000</v>
      </c>
      <c r="I36" s="29">
        <v>0</v>
      </c>
      <c r="J36" s="30" t="s">
        <v>58</v>
      </c>
      <c r="K36" s="29">
        <v>900</v>
      </c>
      <c r="L36" s="1" t="s">
        <v>135</v>
      </c>
      <c r="M36" s="32">
        <f t="shared" ref="M36:M41" si="14">IF(ISNUMBER(VALUE(FIND("VRB",L36))),999,VALUE(MID(L36,20,3)))</f>
        <v>310</v>
      </c>
      <c r="N36" s="33">
        <f t="shared" ref="N36:N41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16">VALUE(MID(L36,23,2))</f>
        <v>2</v>
      </c>
      <c r="P36" s="33">
        <f t="shared" ref="P36:P41" si="17">IF(ABS(O36-F36)&lt;11,1,0)</f>
        <v>1</v>
      </c>
      <c r="Q36" s="34">
        <f t="shared" ref="Q36:Q41" si="18">IF(MID(L36,25,1)="G","GUST",0)</f>
        <v>0</v>
      </c>
      <c r="R36" s="33">
        <f t="shared" ref="R36:R41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21">IF(AND(IFERROR(FIND("RA",L36),0)&gt;0, IFERROR(FIND("RA",L36),0)&lt;38),"RA",0)</f>
        <v>0</v>
      </c>
      <c r="V36" s="34">
        <f t="shared" ref="V36:V41" si="22">IF(U36=I36,1,0)</f>
        <v>1</v>
      </c>
      <c r="W36" s="34" t="str">
        <f t="shared" ref="W36:W41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1" si="24">IF(OR(AND(OR(J36="SKC",J36="FEW",J36="SCT"),OR(W36="SKC",W36="FEW",W36="SCT")),(AND(OR(J36="BKN",J36="OVC"),OR(W36="BKN",W36="OVC")))),1,0)</f>
        <v>1</v>
      </c>
      <c r="Y36" s="34">
        <f t="shared" ref="Y36:Y41" si="25">IF(ISNUMBER(VALUE(FIND("CAVOK",L36))),9999,IF(ISNUMBER(VALUE(FIND("NSC",L36))),9999,(MID(L36,(FIND(W36,L36)+4),2))*100))</f>
        <v>900</v>
      </c>
      <c r="Z36" s="34">
        <f t="shared" ref="Z36:Z41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280</v>
      </c>
      <c r="F37" s="29">
        <v>3</v>
      </c>
      <c r="G37" s="29">
        <v>0</v>
      </c>
      <c r="H37" s="29">
        <v>8000</v>
      </c>
      <c r="I37" s="29">
        <v>0</v>
      </c>
      <c r="J37" s="30" t="s">
        <v>58</v>
      </c>
      <c r="K37" s="29">
        <v>900</v>
      </c>
      <c r="L37" s="1" t="s">
        <v>907</v>
      </c>
      <c r="M37" s="32">
        <f t="shared" si="14"/>
        <v>40</v>
      </c>
      <c r="N37" s="33">
        <f t="shared" si="15"/>
        <v>1</v>
      </c>
      <c r="O37" s="33">
        <f t="shared" si="16"/>
        <v>3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20"/>
        <v>1</v>
      </c>
      <c r="U37" s="34">
        <f t="shared" si="21"/>
        <v>0</v>
      </c>
      <c r="V37" s="34">
        <f t="shared" si="22"/>
        <v>1</v>
      </c>
      <c r="W37" s="34" t="str">
        <f t="shared" si="23"/>
        <v>BKN</v>
      </c>
      <c r="X37" s="34">
        <f t="shared" si="24"/>
        <v>1</v>
      </c>
      <c r="Y37" s="34">
        <f t="shared" si="25"/>
        <v>900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280</v>
      </c>
      <c r="F38" s="29">
        <v>3</v>
      </c>
      <c r="G38" s="29">
        <v>0</v>
      </c>
      <c r="H38" s="29">
        <v>8000</v>
      </c>
      <c r="I38" s="29">
        <v>0</v>
      </c>
      <c r="J38" s="30" t="s">
        <v>58</v>
      </c>
      <c r="K38" s="29">
        <v>900</v>
      </c>
      <c r="L38" s="1" t="s">
        <v>141</v>
      </c>
      <c r="M38" s="32">
        <f t="shared" si="14"/>
        <v>0</v>
      </c>
      <c r="N38" s="33">
        <f t="shared" si="15"/>
        <v>1</v>
      </c>
      <c r="O38" s="33">
        <f t="shared" si="16"/>
        <v>0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8000</v>
      </c>
      <c r="T38" s="34">
        <f t="shared" si="20"/>
        <v>1</v>
      </c>
      <c r="U38" s="34">
        <f t="shared" si="21"/>
        <v>0</v>
      </c>
      <c r="V38" s="34">
        <f t="shared" si="22"/>
        <v>1</v>
      </c>
      <c r="W38" s="34" t="str">
        <f t="shared" si="23"/>
        <v>BKN</v>
      </c>
      <c r="X38" s="34">
        <f t="shared" si="24"/>
        <v>1</v>
      </c>
      <c r="Y38" s="34">
        <f t="shared" si="25"/>
        <v>900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30"/>
      <c r="E39" s="29">
        <v>280</v>
      </c>
      <c r="F39" s="29">
        <v>3</v>
      </c>
      <c r="G39" s="29">
        <v>0</v>
      </c>
      <c r="H39" s="29">
        <v>8000</v>
      </c>
      <c r="I39" s="29">
        <v>0</v>
      </c>
      <c r="J39" s="30" t="s">
        <v>58</v>
      </c>
      <c r="K39" s="29">
        <v>900</v>
      </c>
      <c r="L39" s="1" t="s">
        <v>142</v>
      </c>
      <c r="M39" s="32">
        <f t="shared" si="14"/>
        <v>0</v>
      </c>
      <c r="N39" s="33">
        <f t="shared" si="15"/>
        <v>1</v>
      </c>
      <c r="O39" s="33">
        <f t="shared" si="16"/>
        <v>0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8000</v>
      </c>
      <c r="T39" s="34">
        <f t="shared" si="20"/>
        <v>1</v>
      </c>
      <c r="U39" s="34">
        <f t="shared" si="21"/>
        <v>0</v>
      </c>
      <c r="V39" s="34">
        <f t="shared" si="22"/>
        <v>1</v>
      </c>
      <c r="W39" s="34" t="str">
        <f t="shared" si="23"/>
        <v>BKN</v>
      </c>
      <c r="X39" s="34">
        <f t="shared" si="24"/>
        <v>1</v>
      </c>
      <c r="Y39" s="34">
        <f t="shared" si="25"/>
        <v>900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30"/>
      <c r="E40" s="29">
        <v>280</v>
      </c>
      <c r="F40" s="29">
        <v>3</v>
      </c>
      <c r="G40" s="29">
        <v>0</v>
      </c>
      <c r="H40" s="29">
        <v>8000</v>
      </c>
      <c r="I40" s="29">
        <v>0</v>
      </c>
      <c r="J40" s="30" t="s">
        <v>58</v>
      </c>
      <c r="K40" s="29">
        <v>900</v>
      </c>
      <c r="L40" s="1" t="s">
        <v>143</v>
      </c>
      <c r="M40" s="32">
        <f t="shared" si="14"/>
        <v>0</v>
      </c>
      <c r="N40" s="33">
        <f t="shared" si="15"/>
        <v>1</v>
      </c>
      <c r="O40" s="33">
        <f t="shared" si="16"/>
        <v>0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8000</v>
      </c>
      <c r="T40" s="34">
        <f t="shared" si="20"/>
        <v>1</v>
      </c>
      <c r="U40" s="34">
        <f t="shared" si="21"/>
        <v>0</v>
      </c>
      <c r="V40" s="34">
        <f t="shared" si="22"/>
        <v>1</v>
      </c>
      <c r="W40" s="34" t="str">
        <f t="shared" si="23"/>
        <v>BKN</v>
      </c>
      <c r="X40" s="34">
        <f t="shared" si="24"/>
        <v>1</v>
      </c>
      <c r="Y40" s="34">
        <f t="shared" si="25"/>
        <v>900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30"/>
      <c r="E41" s="29">
        <v>280</v>
      </c>
      <c r="F41" s="29">
        <v>3</v>
      </c>
      <c r="G41" s="29">
        <v>0</v>
      </c>
      <c r="H41" s="29">
        <v>5000</v>
      </c>
      <c r="I41" s="29" t="s">
        <v>52</v>
      </c>
      <c r="J41" s="30" t="s">
        <v>58</v>
      </c>
      <c r="K41" s="29">
        <v>900</v>
      </c>
      <c r="L41" s="1" t="s">
        <v>144</v>
      </c>
      <c r="M41" s="32">
        <f t="shared" si="14"/>
        <v>0</v>
      </c>
      <c r="N41" s="33">
        <f t="shared" si="15"/>
        <v>1</v>
      </c>
      <c r="O41" s="33">
        <f t="shared" si="16"/>
        <v>0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8000</v>
      </c>
      <c r="T41" s="34">
        <f t="shared" si="20"/>
        <v>1</v>
      </c>
      <c r="U41" s="34">
        <f t="shared" si="21"/>
        <v>0</v>
      </c>
      <c r="V41" s="34">
        <f t="shared" si="22"/>
        <v>0</v>
      </c>
      <c r="W41" s="34" t="str">
        <f t="shared" si="23"/>
        <v>BKN</v>
      </c>
      <c r="X41" s="34">
        <f t="shared" si="24"/>
        <v>1</v>
      </c>
      <c r="Y41" s="34">
        <f t="shared" si="25"/>
        <v>900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280</v>
      </c>
      <c r="F42" s="29">
        <v>3</v>
      </c>
      <c r="G42" s="29">
        <v>0</v>
      </c>
      <c r="H42" s="29">
        <v>5000</v>
      </c>
      <c r="I42" s="29" t="s">
        <v>52</v>
      </c>
      <c r="J42" s="30" t="s">
        <v>58</v>
      </c>
      <c r="K42" s="29">
        <v>900</v>
      </c>
      <c r="L42" s="1" t="s">
        <v>145</v>
      </c>
      <c r="M42" s="32">
        <f t="shared" ref="M42:M47" si="28">IF(ISNUMBER(VALUE(FIND("VRB",L42))),999,VALUE(MID(L42,20,3)))</f>
        <v>0</v>
      </c>
      <c r="N42" s="33">
        <f t="shared" ref="N42:N47" si="29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30">VALUE(MID(L42,23,2))</f>
        <v>0</v>
      </c>
      <c r="P42" s="33">
        <f t="shared" ref="P42:P47" si="31">IF(ABS(O42-F42)&lt;11,1,0)</f>
        <v>1</v>
      </c>
      <c r="Q42" s="34">
        <f t="shared" ref="Q42:Q47" si="32">IF(MID(L42,25,1)="G","GUST",0)</f>
        <v>0</v>
      </c>
      <c r="R42" s="33">
        <f t="shared" ref="R42:R47" si="33">IF(G42=Q42,1,0)</f>
        <v>1</v>
      </c>
      <c r="S42" s="34">
        <f t="shared" si="27"/>
        <v>8000</v>
      </c>
      <c r="T42" s="34">
        <f t="shared" si="20"/>
        <v>1</v>
      </c>
      <c r="U42" s="34">
        <f t="shared" ref="U42:U47" si="34">IF(AND(IFERROR(FIND("RA",L42),0)&gt;0, IFERROR(FIND("RA",L42),0)&lt;38),"RA",0)</f>
        <v>0</v>
      </c>
      <c r="V42" s="34">
        <f t="shared" ref="V42:V47" si="35">IF(U42=I42,1,0)</f>
        <v>0</v>
      </c>
      <c r="W42" s="34" t="str">
        <f t="shared" ref="W42:W47" si="36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BKN</v>
      </c>
      <c r="X42" s="34">
        <f t="shared" ref="X42:X47" si="37">IF(OR(AND(OR(J42="SKC",J42="FEW",J42="SCT"),OR(W42="SKC",W42="FEW",W42="SCT")),(AND(OR(J42="BKN",J42="OVC"),OR(W42="BKN",W42="OVC")))),1,0)</f>
        <v>1</v>
      </c>
      <c r="Y42" s="34">
        <f t="shared" ref="Y42:Y47" si="38">IF(ISNUMBER(VALUE(FIND("CAVOK",L42))),9999,IF(ISNUMBER(VALUE(FIND("NSC",L42))),9999,(MID(L42,(FIND(W42,L42)+4),2))*100))</f>
        <v>900</v>
      </c>
      <c r="Z42" s="34">
        <f t="shared" ref="Z42:Z47" si="39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280</v>
      </c>
      <c r="F43" s="29">
        <v>3</v>
      </c>
      <c r="G43" s="29">
        <v>0</v>
      </c>
      <c r="H43" s="29">
        <v>5000</v>
      </c>
      <c r="I43" s="29" t="s">
        <v>52</v>
      </c>
      <c r="J43" s="30" t="s">
        <v>58</v>
      </c>
      <c r="K43" s="29">
        <v>900</v>
      </c>
      <c r="L43" s="1" t="s">
        <v>146</v>
      </c>
      <c r="M43" s="32">
        <f t="shared" si="28"/>
        <v>0</v>
      </c>
      <c r="N43" s="33">
        <f t="shared" si="29"/>
        <v>1</v>
      </c>
      <c r="O43" s="33">
        <f t="shared" si="30"/>
        <v>0</v>
      </c>
      <c r="P43" s="33">
        <f t="shared" si="31"/>
        <v>1</v>
      </c>
      <c r="Q43" s="34">
        <f t="shared" si="32"/>
        <v>0</v>
      </c>
      <c r="R43" s="33">
        <f t="shared" si="33"/>
        <v>1</v>
      </c>
      <c r="S43" s="34">
        <f t="shared" si="27"/>
        <v>8000</v>
      </c>
      <c r="T43" s="34">
        <f t="shared" si="20"/>
        <v>1</v>
      </c>
      <c r="U43" s="34">
        <f t="shared" si="34"/>
        <v>0</v>
      </c>
      <c r="V43" s="34">
        <f t="shared" si="35"/>
        <v>0</v>
      </c>
      <c r="W43" s="34" t="str">
        <f t="shared" si="36"/>
        <v>BKN</v>
      </c>
      <c r="X43" s="34">
        <f t="shared" si="37"/>
        <v>1</v>
      </c>
      <c r="Y43" s="34">
        <f t="shared" si="38"/>
        <v>900</v>
      </c>
      <c r="Z43" s="34">
        <f t="shared" si="39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280</v>
      </c>
      <c r="F44" s="29">
        <v>3</v>
      </c>
      <c r="G44" s="29">
        <v>0</v>
      </c>
      <c r="H44" s="29">
        <v>8000</v>
      </c>
      <c r="I44" s="29">
        <v>0</v>
      </c>
      <c r="J44" s="30" t="s">
        <v>58</v>
      </c>
      <c r="K44" s="29">
        <v>900</v>
      </c>
      <c r="L44" s="1" t="s">
        <v>147</v>
      </c>
      <c r="M44" s="32">
        <f t="shared" si="28"/>
        <v>0</v>
      </c>
      <c r="N44" s="33">
        <f t="shared" si="29"/>
        <v>1</v>
      </c>
      <c r="O44" s="33">
        <f t="shared" si="30"/>
        <v>0</v>
      </c>
      <c r="P44" s="33">
        <f t="shared" si="31"/>
        <v>1</v>
      </c>
      <c r="Q44" s="34">
        <f t="shared" si="32"/>
        <v>0</v>
      </c>
      <c r="R44" s="33">
        <f t="shared" si="33"/>
        <v>1</v>
      </c>
      <c r="S44" s="34">
        <f t="shared" si="27"/>
        <v>8000</v>
      </c>
      <c r="T44" s="34">
        <f t="shared" si="20"/>
        <v>1</v>
      </c>
      <c r="U44" s="34">
        <f t="shared" si="34"/>
        <v>0</v>
      </c>
      <c r="V44" s="34">
        <f t="shared" si="35"/>
        <v>1</v>
      </c>
      <c r="W44" s="34" t="str">
        <f t="shared" si="36"/>
        <v>BKN</v>
      </c>
      <c r="X44" s="34">
        <f t="shared" si="37"/>
        <v>1</v>
      </c>
      <c r="Y44" s="34">
        <f t="shared" si="38"/>
        <v>900</v>
      </c>
      <c r="Z44" s="34">
        <f t="shared" si="39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280</v>
      </c>
      <c r="F45" s="29">
        <v>3</v>
      </c>
      <c r="G45" s="29">
        <v>0</v>
      </c>
      <c r="H45" s="29">
        <v>8000</v>
      </c>
      <c r="I45" s="29">
        <v>0</v>
      </c>
      <c r="J45" s="30" t="s">
        <v>58</v>
      </c>
      <c r="K45" s="29">
        <v>900</v>
      </c>
      <c r="L45" s="1" t="s">
        <v>148</v>
      </c>
      <c r="M45" s="32">
        <f t="shared" si="28"/>
        <v>210</v>
      </c>
      <c r="N45" s="33">
        <f t="shared" si="29"/>
        <v>1</v>
      </c>
      <c r="O45" s="33">
        <f t="shared" si="30"/>
        <v>2</v>
      </c>
      <c r="P45" s="33">
        <f t="shared" si="31"/>
        <v>1</v>
      </c>
      <c r="Q45" s="34">
        <f t="shared" si="32"/>
        <v>0</v>
      </c>
      <c r="R45" s="33">
        <f t="shared" si="33"/>
        <v>1</v>
      </c>
      <c r="S45" s="34">
        <f t="shared" si="27"/>
        <v>7000</v>
      </c>
      <c r="T45" s="34">
        <f t="shared" si="20"/>
        <v>1</v>
      </c>
      <c r="U45" s="34">
        <f t="shared" si="34"/>
        <v>0</v>
      </c>
      <c r="V45" s="34">
        <f t="shared" si="35"/>
        <v>1</v>
      </c>
      <c r="W45" s="34" t="str">
        <f t="shared" si="36"/>
        <v>BKN</v>
      </c>
      <c r="X45" s="34">
        <f t="shared" si="37"/>
        <v>1</v>
      </c>
      <c r="Y45" s="34">
        <f t="shared" si="38"/>
        <v>900</v>
      </c>
      <c r="Z45" s="34">
        <f t="shared" si="39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280</v>
      </c>
      <c r="F46" s="29">
        <v>3</v>
      </c>
      <c r="G46" s="29">
        <v>0</v>
      </c>
      <c r="H46" s="29">
        <v>8000</v>
      </c>
      <c r="I46" s="29">
        <v>0</v>
      </c>
      <c r="J46" s="30" t="s">
        <v>58</v>
      </c>
      <c r="K46" s="29">
        <v>900</v>
      </c>
      <c r="L46" s="1" t="s">
        <v>149</v>
      </c>
      <c r="M46" s="32">
        <f t="shared" si="28"/>
        <v>0</v>
      </c>
      <c r="N46" s="33">
        <f t="shared" si="29"/>
        <v>1</v>
      </c>
      <c r="O46" s="33">
        <f t="shared" si="30"/>
        <v>0</v>
      </c>
      <c r="P46" s="33">
        <f t="shared" si="31"/>
        <v>1</v>
      </c>
      <c r="Q46" s="34">
        <f t="shared" si="32"/>
        <v>0</v>
      </c>
      <c r="R46" s="33">
        <f t="shared" si="33"/>
        <v>1</v>
      </c>
      <c r="S46" s="34">
        <f t="shared" si="27"/>
        <v>5000</v>
      </c>
      <c r="T46" s="34">
        <f t="shared" si="20"/>
        <v>1</v>
      </c>
      <c r="U46" s="34">
        <f t="shared" si="34"/>
        <v>0</v>
      </c>
      <c r="V46" s="34">
        <f t="shared" si="35"/>
        <v>1</v>
      </c>
      <c r="W46" s="34" t="str">
        <f t="shared" si="36"/>
        <v>BKN</v>
      </c>
      <c r="X46" s="34">
        <f t="shared" si="37"/>
        <v>1</v>
      </c>
      <c r="Y46" s="34">
        <f t="shared" si="38"/>
        <v>900</v>
      </c>
      <c r="Z46" s="34">
        <f t="shared" si="39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280</v>
      </c>
      <c r="F47" s="29">
        <v>3</v>
      </c>
      <c r="G47" s="29">
        <v>0</v>
      </c>
      <c r="H47" s="29">
        <v>8000</v>
      </c>
      <c r="I47" s="29">
        <v>0</v>
      </c>
      <c r="J47" s="30" t="s">
        <v>58</v>
      </c>
      <c r="K47" s="29">
        <v>900</v>
      </c>
      <c r="L47" s="1" t="s">
        <v>150</v>
      </c>
      <c r="M47" s="32">
        <f t="shared" si="28"/>
        <v>0</v>
      </c>
      <c r="N47" s="33">
        <f t="shared" si="29"/>
        <v>1</v>
      </c>
      <c r="O47" s="33">
        <f t="shared" si="30"/>
        <v>0</v>
      </c>
      <c r="P47" s="33">
        <f t="shared" si="31"/>
        <v>1</v>
      </c>
      <c r="Q47" s="34">
        <f t="shared" si="32"/>
        <v>0</v>
      </c>
      <c r="R47" s="33">
        <f t="shared" si="33"/>
        <v>1</v>
      </c>
      <c r="S47" s="34">
        <f t="shared" si="27"/>
        <v>6000</v>
      </c>
      <c r="T47" s="34">
        <f t="shared" si="20"/>
        <v>1</v>
      </c>
      <c r="U47" s="34">
        <f t="shared" si="34"/>
        <v>0</v>
      </c>
      <c r="V47" s="34">
        <f t="shared" si="35"/>
        <v>1</v>
      </c>
      <c r="W47" s="34" t="str">
        <f t="shared" si="36"/>
        <v>BKN</v>
      </c>
      <c r="X47" s="34">
        <f t="shared" si="37"/>
        <v>1</v>
      </c>
      <c r="Y47" s="34">
        <f t="shared" si="38"/>
        <v>900</v>
      </c>
      <c r="Z47" s="34">
        <f t="shared" si="39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9</v>
      </c>
      <c r="W52" s="25"/>
      <c r="X52" s="25">
        <f>SUM(X36:X47)</f>
        <v>12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9</v>
      </c>
      <c r="U53" s="25"/>
      <c r="V53" s="25">
        <f>SUMIF($C36:$C47,"GENERAL",V36:V47)</f>
        <v>7</v>
      </c>
      <c r="W53" s="25"/>
      <c r="X53" s="25">
        <f>SUMIF($C36:$C47,"GENERAL",X36:X47)</f>
        <v>9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3</v>
      </c>
      <c r="T56" s="42">
        <f>S56</f>
        <v>3</v>
      </c>
      <c r="U56" s="42">
        <f>SUMIF($C36:$C47,"TEMPO",V36:V47)</f>
        <v>2</v>
      </c>
      <c r="V56" s="42">
        <f>U56</f>
        <v>2</v>
      </c>
      <c r="W56" s="42">
        <f>SUMIF($C36:$C47,"TEMPO",X36:X47)</f>
        <v>3</v>
      </c>
      <c r="X56" s="42">
        <f>W56</f>
        <v>3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75</v>
      </c>
      <c r="W57" s="38"/>
      <c r="X57" s="38">
        <f>(SUM(X53:X56)/COUNTA(X36:X47))*100</f>
        <v>100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137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5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2" t="s">
        <v>58</v>
      </c>
      <c r="K65" s="51">
        <v>900</v>
      </c>
      <c r="L65" s="1" t="s">
        <v>145</v>
      </c>
      <c r="M65" s="32">
        <f t="shared" ref="M65:M70" si="40">IF(ISNUMBER(VALUE(FIND("VRB",L65))),999,VALUE(MID(L65,20,3)))</f>
        <v>0</v>
      </c>
      <c r="N65" s="33">
        <f t="shared" ref="N65:N70" si="41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42">VALUE(MID(L65,23,2))</f>
        <v>0</v>
      </c>
      <c r="P65" s="33">
        <f t="shared" ref="P65:P70" si="43">IF(ABS(O65-F65)&lt;11,1,0)</f>
        <v>1</v>
      </c>
      <c r="Q65" s="34">
        <f t="shared" ref="Q65:Q70" si="44">IF(MID(L65,25,1)="G","GUST",0)</f>
        <v>0</v>
      </c>
      <c r="R65" s="33">
        <f t="shared" ref="R65:R70" si="45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46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47">IF(AND(IFERROR(FIND("RA",L65),0)&gt;0, IFERROR(FIND("RA",L65),0)&lt;38),"RA",0)</f>
        <v>0</v>
      </c>
      <c r="V65" s="34">
        <f t="shared" ref="V65:V70" si="48">IF(U65=I65,1,0)</f>
        <v>1</v>
      </c>
      <c r="W65" s="34" t="str">
        <f t="shared" ref="W65:W70" si="49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0" si="50">IF(OR(AND(OR(J65="SKC",J65="FEW",J65="SCT"),OR(W65="SKC",W65="FEW",W65="SCT")),(AND(OR(J65="BKN",J65="OVC"),OR(W65="BKN",W65="OVC")))),1,0)</f>
        <v>1</v>
      </c>
      <c r="Y65" s="34">
        <f t="shared" ref="Y65:Y70" si="51">IF(ISNUMBER(VALUE(FIND("CAVOK",L65))),9999,IF(ISNUMBER(VALUE(FIND("NSC",L65))),9999,(MID(L65,(FIND(W65,L65)+4),2))*100))</f>
        <v>900</v>
      </c>
      <c r="Z65" s="34">
        <f t="shared" ref="Z65:Z70" si="52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2" t="s">
        <v>58</v>
      </c>
      <c r="K66" s="51">
        <v>900</v>
      </c>
      <c r="L66" s="1" t="s">
        <v>146</v>
      </c>
      <c r="M66" s="32">
        <f t="shared" si="40"/>
        <v>0</v>
      </c>
      <c r="N66" s="33">
        <f t="shared" si="41"/>
        <v>1</v>
      </c>
      <c r="O66" s="33">
        <f t="shared" si="42"/>
        <v>0</v>
      </c>
      <c r="P66" s="33">
        <f t="shared" si="43"/>
        <v>1</v>
      </c>
      <c r="Q66" s="34">
        <f t="shared" si="44"/>
        <v>0</v>
      </c>
      <c r="R66" s="33">
        <f t="shared" si="45"/>
        <v>1</v>
      </c>
      <c r="S66" s="34">
        <f t="shared" ref="S66:S76" si="53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46"/>
        <v>1</v>
      </c>
      <c r="U66" s="34">
        <f t="shared" si="47"/>
        <v>0</v>
      </c>
      <c r="V66" s="34">
        <f t="shared" si="48"/>
        <v>1</v>
      </c>
      <c r="W66" s="34" t="str">
        <f t="shared" si="49"/>
        <v>BKN</v>
      </c>
      <c r="X66" s="34">
        <f t="shared" si="50"/>
        <v>1</v>
      </c>
      <c r="Y66" s="34">
        <f t="shared" si="51"/>
        <v>900</v>
      </c>
      <c r="Z66" s="34">
        <f t="shared" si="52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2" t="s">
        <v>58</v>
      </c>
      <c r="K67" s="51">
        <v>900</v>
      </c>
      <c r="L67" s="1" t="s">
        <v>147</v>
      </c>
      <c r="M67" s="32">
        <f t="shared" si="40"/>
        <v>0</v>
      </c>
      <c r="N67" s="33">
        <f t="shared" si="41"/>
        <v>1</v>
      </c>
      <c r="O67" s="33">
        <f t="shared" si="42"/>
        <v>0</v>
      </c>
      <c r="P67" s="33">
        <f t="shared" si="43"/>
        <v>1</v>
      </c>
      <c r="Q67" s="34">
        <f t="shared" si="44"/>
        <v>0</v>
      </c>
      <c r="R67" s="33">
        <f t="shared" si="45"/>
        <v>1</v>
      </c>
      <c r="S67" s="34">
        <f t="shared" si="53"/>
        <v>8000</v>
      </c>
      <c r="T67" s="34">
        <f t="shared" si="46"/>
        <v>1</v>
      </c>
      <c r="U67" s="34">
        <f t="shared" si="47"/>
        <v>0</v>
      </c>
      <c r="V67" s="34">
        <f t="shared" si="48"/>
        <v>1</v>
      </c>
      <c r="W67" s="34" t="str">
        <f t="shared" si="49"/>
        <v>BKN</v>
      </c>
      <c r="X67" s="34">
        <f t="shared" si="50"/>
        <v>1</v>
      </c>
      <c r="Y67" s="34">
        <f t="shared" si="51"/>
        <v>900</v>
      </c>
      <c r="Z67" s="34">
        <f t="shared" si="52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2" t="s">
        <v>58</v>
      </c>
      <c r="K68" s="51">
        <v>900</v>
      </c>
      <c r="L68" s="1" t="s">
        <v>148</v>
      </c>
      <c r="M68" s="32">
        <f t="shared" si="40"/>
        <v>210</v>
      </c>
      <c r="N68" s="33">
        <f t="shared" si="41"/>
        <v>1</v>
      </c>
      <c r="O68" s="33">
        <f t="shared" si="42"/>
        <v>2</v>
      </c>
      <c r="P68" s="33">
        <f t="shared" si="43"/>
        <v>1</v>
      </c>
      <c r="Q68" s="34">
        <f t="shared" si="44"/>
        <v>0</v>
      </c>
      <c r="R68" s="33">
        <f t="shared" si="45"/>
        <v>1</v>
      </c>
      <c r="S68" s="34">
        <f t="shared" si="53"/>
        <v>7000</v>
      </c>
      <c r="T68" s="34">
        <f t="shared" si="46"/>
        <v>1</v>
      </c>
      <c r="U68" s="34">
        <f t="shared" si="47"/>
        <v>0</v>
      </c>
      <c r="V68" s="34">
        <f t="shared" si="48"/>
        <v>1</v>
      </c>
      <c r="W68" s="34" t="str">
        <f t="shared" si="49"/>
        <v>BKN</v>
      </c>
      <c r="X68" s="34">
        <f t="shared" si="50"/>
        <v>1</v>
      </c>
      <c r="Y68" s="34">
        <f t="shared" si="51"/>
        <v>900</v>
      </c>
      <c r="Z68" s="34">
        <f t="shared" si="52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2" t="s">
        <v>58</v>
      </c>
      <c r="K69" s="51">
        <v>900</v>
      </c>
      <c r="L69" s="1" t="s">
        <v>149</v>
      </c>
      <c r="M69" s="32">
        <f t="shared" si="40"/>
        <v>0</v>
      </c>
      <c r="N69" s="33">
        <f t="shared" si="41"/>
        <v>1</v>
      </c>
      <c r="O69" s="33">
        <f t="shared" si="42"/>
        <v>0</v>
      </c>
      <c r="P69" s="33">
        <f t="shared" si="43"/>
        <v>1</v>
      </c>
      <c r="Q69" s="34">
        <f t="shared" si="44"/>
        <v>0</v>
      </c>
      <c r="R69" s="33">
        <f t="shared" si="45"/>
        <v>1</v>
      </c>
      <c r="S69" s="34">
        <f t="shared" si="53"/>
        <v>5000</v>
      </c>
      <c r="T69" s="34">
        <f t="shared" si="46"/>
        <v>1</v>
      </c>
      <c r="U69" s="34">
        <f t="shared" si="47"/>
        <v>0</v>
      </c>
      <c r="V69" s="34">
        <f t="shared" si="48"/>
        <v>1</v>
      </c>
      <c r="W69" s="34" t="str">
        <f t="shared" si="49"/>
        <v>BKN</v>
      </c>
      <c r="X69" s="34">
        <f t="shared" si="50"/>
        <v>1</v>
      </c>
      <c r="Y69" s="34">
        <f t="shared" si="51"/>
        <v>900</v>
      </c>
      <c r="Z69" s="34">
        <f t="shared" si="52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0</v>
      </c>
      <c r="F70" s="51">
        <v>0</v>
      </c>
      <c r="G70" s="51">
        <v>0</v>
      </c>
      <c r="H70" s="51">
        <v>4000</v>
      </c>
      <c r="I70" s="51" t="s">
        <v>52</v>
      </c>
      <c r="J70" s="52" t="s">
        <v>58</v>
      </c>
      <c r="K70" s="51">
        <v>900</v>
      </c>
      <c r="L70" s="1" t="s">
        <v>150</v>
      </c>
      <c r="M70" s="32">
        <f t="shared" si="40"/>
        <v>0</v>
      </c>
      <c r="N70" s="33">
        <f t="shared" si="41"/>
        <v>1</v>
      </c>
      <c r="O70" s="33">
        <f t="shared" si="42"/>
        <v>0</v>
      </c>
      <c r="P70" s="33">
        <f t="shared" si="43"/>
        <v>1</v>
      </c>
      <c r="Q70" s="34">
        <f t="shared" si="44"/>
        <v>0</v>
      </c>
      <c r="R70" s="33">
        <f t="shared" si="45"/>
        <v>1</v>
      </c>
      <c r="S70" s="34">
        <f t="shared" si="53"/>
        <v>6000</v>
      </c>
      <c r="T70" s="34">
        <f t="shared" si="46"/>
        <v>0</v>
      </c>
      <c r="U70" s="34">
        <f t="shared" si="47"/>
        <v>0</v>
      </c>
      <c r="V70" s="34">
        <f t="shared" si="48"/>
        <v>0</v>
      </c>
      <c r="W70" s="34" t="str">
        <f t="shared" si="49"/>
        <v>BKN</v>
      </c>
      <c r="X70" s="34">
        <f t="shared" si="50"/>
        <v>1</v>
      </c>
      <c r="Y70" s="34">
        <f t="shared" si="51"/>
        <v>900</v>
      </c>
      <c r="Z70" s="34">
        <f t="shared" si="52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40</v>
      </c>
      <c r="D71" s="52"/>
      <c r="E71" s="51">
        <v>0</v>
      </c>
      <c r="F71" s="51">
        <v>0</v>
      </c>
      <c r="G71" s="51">
        <v>0</v>
      </c>
      <c r="H71" s="51">
        <v>4000</v>
      </c>
      <c r="I71" s="51" t="s">
        <v>52</v>
      </c>
      <c r="J71" s="52" t="s">
        <v>58</v>
      </c>
      <c r="K71" s="51">
        <v>900</v>
      </c>
      <c r="L71" s="1" t="s">
        <v>151</v>
      </c>
      <c r="M71" s="32">
        <f t="shared" ref="M71:M76" si="54">IF(ISNUMBER(VALUE(FIND("VRB",L71))),999,VALUE(MID(L71,20,3)))</f>
        <v>0</v>
      </c>
      <c r="N71" s="33">
        <f t="shared" ref="N71:N76" si="55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56">VALUE(MID(L71,23,2))</f>
        <v>0</v>
      </c>
      <c r="P71" s="33">
        <f t="shared" ref="P71:P76" si="57">IF(ABS(O71-F71)&lt;11,1,0)</f>
        <v>1</v>
      </c>
      <c r="Q71" s="34">
        <f t="shared" ref="Q71:Q76" si="58">IF(MID(L71,25,1)="G","GUST",0)</f>
        <v>0</v>
      </c>
      <c r="R71" s="33">
        <f t="shared" ref="R71:R76" si="59">IF(G71=Q71,1,0)</f>
        <v>1</v>
      </c>
      <c r="S71" s="34">
        <f t="shared" si="53"/>
        <v>7000</v>
      </c>
      <c r="T71" s="34">
        <f t="shared" ref="T71:T76" si="60">IF(OR(AND(H71&lt;801,S71&lt;801),AND(H71&gt;799,H71&lt;1501,S71&gt;799,S71&lt;1502),AND(H71&gt;1499,H71&lt;3001,S71&gt;1499,S71&lt;3001),AND(H71&gt;2999,H71&lt;5001,S71&gt;2999,S71&lt;5001),AND(H71&gt;4999,S71&gt;4999)),1,0)</f>
        <v>0</v>
      </c>
      <c r="U71" s="34">
        <f t="shared" ref="U71:U76" si="61">IF(AND(IFERROR(FIND("RA",L71),0)&gt;0, IFERROR(FIND("RA",L71),0)&lt;38),"RA",0)</f>
        <v>0</v>
      </c>
      <c r="V71" s="34">
        <f t="shared" ref="V71:V76" si="62">IF(U71=I71,1,0)</f>
        <v>0</v>
      </c>
      <c r="W71" s="34" t="str">
        <f t="shared" ref="W71:W76" si="63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64">IF(OR(AND(OR(J71="SKC",J71="FEW",J71="SCT"),OR(W71="SKC",W71="FEW",W71="SCT")),(AND(OR(J71="BKN",J71="OVC"),OR(W71="BKN",W71="OVC")))),1,0)</f>
        <v>1</v>
      </c>
      <c r="Y71" s="34">
        <f t="shared" ref="Y71:Y76" si="65">IF(ISNUMBER(VALUE(FIND("CAVOK",L71))),9999,IF(ISNUMBER(VALUE(FIND("NSC",L71))),9999,(MID(L71,(FIND(W71,L71)+4),2))*100))</f>
        <v>900</v>
      </c>
      <c r="Z71" s="34">
        <f t="shared" ref="Z71:Z76" si="66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40</v>
      </c>
      <c r="D72" s="52"/>
      <c r="E72" s="51">
        <v>0</v>
      </c>
      <c r="F72" s="51">
        <v>0</v>
      </c>
      <c r="G72" s="51">
        <v>0</v>
      </c>
      <c r="H72" s="51">
        <v>4000</v>
      </c>
      <c r="I72" s="51" t="s">
        <v>52</v>
      </c>
      <c r="J72" s="52" t="s">
        <v>58</v>
      </c>
      <c r="K72" s="51">
        <v>900</v>
      </c>
      <c r="L72" s="1" t="s">
        <v>152</v>
      </c>
      <c r="M72" s="32">
        <f t="shared" si="54"/>
        <v>0</v>
      </c>
      <c r="N72" s="33">
        <f t="shared" si="55"/>
        <v>1</v>
      </c>
      <c r="O72" s="33">
        <f t="shared" si="56"/>
        <v>0</v>
      </c>
      <c r="P72" s="33">
        <f t="shared" si="57"/>
        <v>1</v>
      </c>
      <c r="Q72" s="34">
        <f t="shared" si="58"/>
        <v>0</v>
      </c>
      <c r="R72" s="33">
        <f t="shared" si="59"/>
        <v>1</v>
      </c>
      <c r="S72" s="34">
        <f t="shared" si="53"/>
        <v>7000</v>
      </c>
      <c r="T72" s="34">
        <f t="shared" si="60"/>
        <v>0</v>
      </c>
      <c r="U72" s="34">
        <f t="shared" si="61"/>
        <v>0</v>
      </c>
      <c r="V72" s="34">
        <f t="shared" si="62"/>
        <v>0</v>
      </c>
      <c r="W72" s="34" t="str">
        <f t="shared" si="63"/>
        <v>BKN</v>
      </c>
      <c r="X72" s="34">
        <f t="shared" si="64"/>
        <v>1</v>
      </c>
      <c r="Y72" s="34">
        <f t="shared" si="65"/>
        <v>900</v>
      </c>
      <c r="Z72" s="34">
        <f t="shared" si="66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40</v>
      </c>
      <c r="D73" s="52"/>
      <c r="E73" s="51">
        <v>0</v>
      </c>
      <c r="F73" s="51">
        <v>0</v>
      </c>
      <c r="G73" s="51">
        <v>0</v>
      </c>
      <c r="H73" s="51">
        <v>4000</v>
      </c>
      <c r="I73" s="51" t="s">
        <v>52</v>
      </c>
      <c r="J73" s="52" t="s">
        <v>58</v>
      </c>
      <c r="K73" s="51">
        <v>900</v>
      </c>
      <c r="L73" s="1" t="s">
        <v>153</v>
      </c>
      <c r="M73" s="32">
        <f t="shared" si="54"/>
        <v>0</v>
      </c>
      <c r="N73" s="33">
        <f t="shared" si="55"/>
        <v>1</v>
      </c>
      <c r="O73" s="33">
        <f t="shared" si="56"/>
        <v>0</v>
      </c>
      <c r="P73" s="33">
        <f t="shared" si="57"/>
        <v>1</v>
      </c>
      <c r="Q73" s="34">
        <f t="shared" si="58"/>
        <v>0</v>
      </c>
      <c r="R73" s="33">
        <f t="shared" si="59"/>
        <v>1</v>
      </c>
      <c r="S73" s="34">
        <f t="shared" si="53"/>
        <v>7000</v>
      </c>
      <c r="T73" s="34">
        <f t="shared" si="60"/>
        <v>0</v>
      </c>
      <c r="U73" s="34">
        <f t="shared" si="61"/>
        <v>0</v>
      </c>
      <c r="V73" s="34">
        <f t="shared" si="62"/>
        <v>0</v>
      </c>
      <c r="W73" s="34" t="str">
        <f t="shared" si="63"/>
        <v>BKN</v>
      </c>
      <c r="X73" s="34">
        <f t="shared" si="64"/>
        <v>1</v>
      </c>
      <c r="Y73" s="34">
        <f t="shared" si="65"/>
        <v>900</v>
      </c>
      <c r="Z73" s="34">
        <f t="shared" si="66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2" t="s">
        <v>58</v>
      </c>
      <c r="K74" s="51">
        <v>900</v>
      </c>
      <c r="L74" s="1" t="s">
        <v>154</v>
      </c>
      <c r="M74" s="32">
        <f t="shared" si="54"/>
        <v>140</v>
      </c>
      <c r="N74" s="33">
        <f t="shared" si="55"/>
        <v>1</v>
      </c>
      <c r="O74" s="33">
        <f t="shared" si="56"/>
        <v>2</v>
      </c>
      <c r="P74" s="33">
        <f t="shared" si="57"/>
        <v>1</v>
      </c>
      <c r="Q74" s="34">
        <f t="shared" si="58"/>
        <v>0</v>
      </c>
      <c r="R74" s="33">
        <f t="shared" si="59"/>
        <v>1</v>
      </c>
      <c r="S74" s="34">
        <f t="shared" si="53"/>
        <v>8000</v>
      </c>
      <c r="T74" s="34">
        <f t="shared" si="60"/>
        <v>1</v>
      </c>
      <c r="U74" s="34">
        <f t="shared" si="61"/>
        <v>0</v>
      </c>
      <c r="V74" s="34">
        <f t="shared" si="62"/>
        <v>1</v>
      </c>
      <c r="W74" s="34" t="str">
        <f t="shared" si="63"/>
        <v>BKN</v>
      </c>
      <c r="X74" s="34">
        <f t="shared" si="64"/>
        <v>1</v>
      </c>
      <c r="Y74" s="34">
        <f t="shared" si="65"/>
        <v>900</v>
      </c>
      <c r="Z74" s="34">
        <f t="shared" si="66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2" t="s">
        <v>58</v>
      </c>
      <c r="K75" s="51">
        <v>900</v>
      </c>
      <c r="L75" s="1" t="s">
        <v>155</v>
      </c>
      <c r="M75" s="32">
        <f t="shared" si="54"/>
        <v>160</v>
      </c>
      <c r="N75" s="33">
        <f t="shared" si="55"/>
        <v>1</v>
      </c>
      <c r="O75" s="33">
        <f t="shared" si="56"/>
        <v>2</v>
      </c>
      <c r="P75" s="33">
        <f t="shared" si="57"/>
        <v>1</v>
      </c>
      <c r="Q75" s="34">
        <f t="shared" si="58"/>
        <v>0</v>
      </c>
      <c r="R75" s="33">
        <f t="shared" si="59"/>
        <v>1</v>
      </c>
      <c r="S75" s="34">
        <f t="shared" si="53"/>
        <v>8000</v>
      </c>
      <c r="T75" s="34">
        <f t="shared" si="60"/>
        <v>1</v>
      </c>
      <c r="U75" s="34">
        <f t="shared" si="61"/>
        <v>0</v>
      </c>
      <c r="V75" s="34">
        <f t="shared" si="62"/>
        <v>1</v>
      </c>
      <c r="W75" s="34" t="str">
        <f t="shared" si="63"/>
        <v>BKN</v>
      </c>
      <c r="X75" s="34">
        <f t="shared" si="64"/>
        <v>1</v>
      </c>
      <c r="Y75" s="34">
        <f t="shared" si="65"/>
        <v>900</v>
      </c>
      <c r="Z75" s="34">
        <f t="shared" si="66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2" t="s">
        <v>58</v>
      </c>
      <c r="K76" s="51">
        <v>900</v>
      </c>
      <c r="L76" s="1" t="s">
        <v>156</v>
      </c>
      <c r="M76" s="32">
        <f t="shared" si="54"/>
        <v>40</v>
      </c>
      <c r="N76" s="33">
        <f t="shared" si="55"/>
        <v>1</v>
      </c>
      <c r="O76" s="33">
        <f t="shared" si="56"/>
        <v>2</v>
      </c>
      <c r="P76" s="33">
        <f t="shared" si="57"/>
        <v>1</v>
      </c>
      <c r="Q76" s="34">
        <f t="shared" si="58"/>
        <v>0</v>
      </c>
      <c r="R76" s="33">
        <f t="shared" si="59"/>
        <v>1</v>
      </c>
      <c r="S76" s="34">
        <f t="shared" si="53"/>
        <v>8000</v>
      </c>
      <c r="T76" s="34">
        <f t="shared" si="60"/>
        <v>1</v>
      </c>
      <c r="U76" s="34">
        <f t="shared" si="61"/>
        <v>0</v>
      </c>
      <c r="V76" s="34">
        <f t="shared" si="62"/>
        <v>1</v>
      </c>
      <c r="W76" s="34" t="str">
        <f t="shared" si="63"/>
        <v>BKN</v>
      </c>
      <c r="X76" s="34">
        <f t="shared" si="64"/>
        <v>1</v>
      </c>
      <c r="Y76" s="34">
        <f t="shared" si="65"/>
        <v>900</v>
      </c>
      <c r="Z76" s="34">
        <f t="shared" si="66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8</v>
      </c>
      <c r="U80" s="25"/>
      <c r="V80" s="25">
        <f>SUM(V64:V76)</f>
        <v>8</v>
      </c>
      <c r="W80" s="25"/>
      <c r="X80" s="25">
        <f>SUM(X64:X76)</f>
        <v>12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8</v>
      </c>
      <c r="O81" s="25"/>
      <c r="P81" s="25">
        <f>SUMIF($C64:$C76,"GENERAL",P64:P76)</f>
        <v>8</v>
      </c>
      <c r="Q81" s="25"/>
      <c r="R81" s="25">
        <f>SUMIF($C64:$C76,"GENERAL",R64:R76)</f>
        <v>8</v>
      </c>
      <c r="S81" s="25"/>
      <c r="T81" s="25">
        <f>SUMIF($C64:$C76,"GENERAL",T64:T76)</f>
        <v>8</v>
      </c>
      <c r="U81" s="25"/>
      <c r="V81" s="25">
        <f>SUMIF($C64:$C76,"GENERAL",V64:V76)</f>
        <v>8</v>
      </c>
      <c r="W81" s="25"/>
      <c r="X81" s="25">
        <f>SUMIF($C64:$C76,"GENERAL",X64:X76)</f>
        <v>8</v>
      </c>
      <c r="Y81" s="25"/>
      <c r="Z81" s="25">
        <f>SUMIF($C64:$C76,"GENERAL",Z64:Z76)</f>
        <v>8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4</v>
      </c>
      <c r="M84" s="42">
        <f>SUMIF($C64:$C76,"TEMPO",N64:N76)</f>
        <v>4</v>
      </c>
      <c r="N84" s="42">
        <f>M84</f>
        <v>4</v>
      </c>
      <c r="O84" s="42">
        <f>SUMIF($C64:$C76,"TEMPO",P64:P76)</f>
        <v>4</v>
      </c>
      <c r="P84" s="42">
        <f>O84</f>
        <v>4</v>
      </c>
      <c r="Q84" s="42">
        <f>SUMIF($C64:$C76,"TEMPO",R64:R76)</f>
        <v>4</v>
      </c>
      <c r="R84" s="42">
        <f>Q84</f>
        <v>4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4</v>
      </c>
      <c r="X84" s="42">
        <f>W84</f>
        <v>4</v>
      </c>
      <c r="Y84" s="42">
        <f>SUMIF($C64:$C76,"TEMPO",Z64:Z76)</f>
        <v>4</v>
      </c>
      <c r="Z84" s="42">
        <f>Y84</f>
        <v>4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66.666666666666657</v>
      </c>
      <c r="U85" s="38"/>
      <c r="V85" s="38">
        <f>(SUM(V81:V84)/COUNTA(V64:V76))*100</f>
        <v>66.666666666666657</v>
      </c>
      <c r="W85" s="38"/>
      <c r="X85" s="38">
        <f>(SUM(X81:X84)/COUNTA(X64:X76))*100</f>
        <v>100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138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5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3000</v>
      </c>
      <c r="I93" s="51" t="s">
        <v>52</v>
      </c>
      <c r="J93" s="52" t="s">
        <v>51</v>
      </c>
      <c r="K93" s="51">
        <v>800</v>
      </c>
      <c r="L93" s="1" t="s">
        <v>151</v>
      </c>
      <c r="M93" s="32">
        <f t="shared" ref="M93:M98" si="67">IF(ISNUMBER(VALUE(FIND("VRB",L93))),999,VALUE(MID(L93,20,3)))</f>
        <v>0</v>
      </c>
      <c r="N93" s="33">
        <f t="shared" ref="N93:N98" si="68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69">VALUE(MID(L93,23,2))</f>
        <v>0</v>
      </c>
      <c r="P93" s="33">
        <f t="shared" ref="P93:P98" si="70">IF(ABS(O93-F93)&lt;11,1,0)</f>
        <v>1</v>
      </c>
      <c r="Q93" s="34">
        <f t="shared" ref="Q93:Q98" si="71">IF(MID(L93,25,1)="G","GUST",0)</f>
        <v>0</v>
      </c>
      <c r="R93" s="33">
        <f t="shared" ref="R93:R98" si="72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7000</v>
      </c>
      <c r="T93" s="34">
        <f t="shared" ref="T93:T104" si="73">IF(OR(AND(H93&lt;801,S93&lt;801),AND(H93&gt;799,H93&lt;1501,S93&gt;799,S93&lt;1502),AND(H93&gt;1499,H93&lt;3001,S93&gt;1499,S93&lt;3001),AND(H93&gt;2999,H93&lt;5001,S93&gt;2999,S93&lt;5001),AND(H93&gt;4999,S93&gt;4999)),1,0)</f>
        <v>0</v>
      </c>
      <c r="U93" s="34">
        <f t="shared" ref="U93:U98" si="74">IF(AND(IFERROR(FIND("RA",L93),0)&gt;0, IFERROR(FIND("RA",L93),0)&lt;38),"RA",0)</f>
        <v>0</v>
      </c>
      <c r="V93" s="34">
        <f t="shared" ref="V93:V104" si="75">IF(U93=I93,1,0)</f>
        <v>0</v>
      </c>
      <c r="W93" s="34" t="str">
        <f t="shared" ref="W93:W98" si="76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77">IF(OR(AND(OR(J93="SKC",J93="FEW",J93="SCT"),OR(W93="SKC",W93="FEW",W93="SCT")),(AND(OR(J93="BKN",J93="OVC"),OR(W93="BKN",W93="OVC")))),1,0)</f>
        <v>0</v>
      </c>
      <c r="Y93" s="34">
        <f t="shared" ref="Y93:Y98" si="78">IF(ISNUMBER(VALUE(FIND("CAVOK",L93))),9999,IF(ISNUMBER(VALUE(FIND("NSC",L93))),9999,(MID(L93,(FIND(W93,L93)+4),2))*100))</f>
        <v>900</v>
      </c>
      <c r="Z93" s="34">
        <f t="shared" ref="Z93:Z98" si="79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3000</v>
      </c>
      <c r="I94" s="51" t="s">
        <v>52</v>
      </c>
      <c r="J94" s="52" t="s">
        <v>51</v>
      </c>
      <c r="K94" s="51">
        <v>800</v>
      </c>
      <c r="L94" s="1" t="s">
        <v>152</v>
      </c>
      <c r="M94" s="32">
        <f t="shared" si="67"/>
        <v>0</v>
      </c>
      <c r="N94" s="33">
        <f t="shared" si="68"/>
        <v>1</v>
      </c>
      <c r="O94" s="33">
        <f t="shared" si="69"/>
        <v>0</v>
      </c>
      <c r="P94" s="33">
        <f t="shared" si="70"/>
        <v>1</v>
      </c>
      <c r="Q94" s="34">
        <f t="shared" si="71"/>
        <v>0</v>
      </c>
      <c r="R94" s="33">
        <f t="shared" si="72"/>
        <v>1</v>
      </c>
      <c r="S94" s="34">
        <f t="shared" ref="S94:S104" si="80">IF(ISNUMBER(VALUE(MID(L94,(FIND("KT",L94,FIND("Z",L94))+3),4))),VALUE(MID(L94,(FIND("KT",L94,FIND("Z",L94))+3),4)),IF(ISNUMBER(VALUE(MID(L94,(FIND("0V",L94)+6),4))),VALUE(MID(L94,(FIND("0V",L94)+6),4)),9999))</f>
        <v>7000</v>
      </c>
      <c r="T94" s="34">
        <f t="shared" si="73"/>
        <v>0</v>
      </c>
      <c r="U94" s="34">
        <f t="shared" si="74"/>
        <v>0</v>
      </c>
      <c r="V94" s="34">
        <f t="shared" si="75"/>
        <v>0</v>
      </c>
      <c r="W94" s="34" t="str">
        <f t="shared" si="76"/>
        <v>BKN</v>
      </c>
      <c r="X94" s="34">
        <f t="shared" si="77"/>
        <v>0</v>
      </c>
      <c r="Y94" s="34">
        <f t="shared" si="78"/>
        <v>900</v>
      </c>
      <c r="Z94" s="34">
        <f t="shared" si="79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3000</v>
      </c>
      <c r="I95" s="51" t="s">
        <v>52</v>
      </c>
      <c r="J95" s="52" t="s">
        <v>51</v>
      </c>
      <c r="K95" s="51">
        <v>800</v>
      </c>
      <c r="L95" s="1" t="s">
        <v>153</v>
      </c>
      <c r="M95" s="32">
        <f t="shared" si="67"/>
        <v>0</v>
      </c>
      <c r="N95" s="33">
        <f t="shared" si="68"/>
        <v>1</v>
      </c>
      <c r="O95" s="33">
        <f t="shared" si="69"/>
        <v>0</v>
      </c>
      <c r="P95" s="33">
        <f t="shared" si="70"/>
        <v>1</v>
      </c>
      <c r="Q95" s="34">
        <f t="shared" si="71"/>
        <v>0</v>
      </c>
      <c r="R95" s="33">
        <f t="shared" si="72"/>
        <v>1</v>
      </c>
      <c r="S95" s="34">
        <f t="shared" si="80"/>
        <v>7000</v>
      </c>
      <c r="T95" s="34">
        <f t="shared" si="73"/>
        <v>0</v>
      </c>
      <c r="U95" s="34">
        <f t="shared" si="74"/>
        <v>0</v>
      </c>
      <c r="V95" s="34">
        <f t="shared" si="75"/>
        <v>0</v>
      </c>
      <c r="W95" s="34" t="str">
        <f t="shared" si="76"/>
        <v>BKN</v>
      </c>
      <c r="X95" s="34">
        <f t="shared" si="77"/>
        <v>0</v>
      </c>
      <c r="Y95" s="34">
        <f t="shared" si="78"/>
        <v>900</v>
      </c>
      <c r="Z95" s="34">
        <f t="shared" si="79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3000</v>
      </c>
      <c r="I96" s="51" t="s">
        <v>52</v>
      </c>
      <c r="J96" s="52" t="s">
        <v>51</v>
      </c>
      <c r="K96" s="51">
        <v>800</v>
      </c>
      <c r="L96" s="1" t="s">
        <v>154</v>
      </c>
      <c r="M96" s="32">
        <f t="shared" si="67"/>
        <v>140</v>
      </c>
      <c r="N96" s="33">
        <f t="shared" si="68"/>
        <v>1</v>
      </c>
      <c r="O96" s="33">
        <f t="shared" si="69"/>
        <v>2</v>
      </c>
      <c r="P96" s="33">
        <f t="shared" si="70"/>
        <v>1</v>
      </c>
      <c r="Q96" s="34">
        <f t="shared" si="71"/>
        <v>0</v>
      </c>
      <c r="R96" s="33">
        <f t="shared" si="72"/>
        <v>1</v>
      </c>
      <c r="S96" s="34">
        <f t="shared" si="80"/>
        <v>8000</v>
      </c>
      <c r="T96" s="34">
        <f t="shared" si="73"/>
        <v>0</v>
      </c>
      <c r="U96" s="34">
        <f t="shared" si="74"/>
        <v>0</v>
      </c>
      <c r="V96" s="34">
        <f t="shared" si="75"/>
        <v>0</v>
      </c>
      <c r="W96" s="34" t="str">
        <f t="shared" si="76"/>
        <v>BKN</v>
      </c>
      <c r="X96" s="34">
        <f t="shared" si="77"/>
        <v>0</v>
      </c>
      <c r="Y96" s="34">
        <f t="shared" si="78"/>
        <v>900</v>
      </c>
      <c r="Z96" s="34">
        <f t="shared" si="79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3000</v>
      </c>
      <c r="I97" s="51" t="s">
        <v>52</v>
      </c>
      <c r="J97" s="52" t="s">
        <v>51</v>
      </c>
      <c r="K97" s="51">
        <v>800</v>
      </c>
      <c r="L97" s="1" t="s">
        <v>155</v>
      </c>
      <c r="M97" s="32">
        <f t="shared" si="67"/>
        <v>160</v>
      </c>
      <c r="N97" s="33">
        <f t="shared" si="68"/>
        <v>1</v>
      </c>
      <c r="O97" s="33">
        <f t="shared" si="69"/>
        <v>2</v>
      </c>
      <c r="P97" s="33">
        <f t="shared" si="70"/>
        <v>1</v>
      </c>
      <c r="Q97" s="34">
        <f t="shared" si="71"/>
        <v>0</v>
      </c>
      <c r="R97" s="33">
        <f t="shared" si="72"/>
        <v>1</v>
      </c>
      <c r="S97" s="34">
        <f t="shared" si="80"/>
        <v>8000</v>
      </c>
      <c r="T97" s="34">
        <f t="shared" si="73"/>
        <v>0</v>
      </c>
      <c r="U97" s="34">
        <f t="shared" si="74"/>
        <v>0</v>
      </c>
      <c r="V97" s="34">
        <f t="shared" si="75"/>
        <v>0</v>
      </c>
      <c r="W97" s="34" t="str">
        <f t="shared" si="76"/>
        <v>BKN</v>
      </c>
      <c r="X97" s="34">
        <f t="shared" si="77"/>
        <v>0</v>
      </c>
      <c r="Y97" s="34">
        <f t="shared" si="78"/>
        <v>900</v>
      </c>
      <c r="Z97" s="34">
        <f t="shared" si="79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34</v>
      </c>
      <c r="D98" s="52"/>
      <c r="E98" s="51">
        <v>320</v>
      </c>
      <c r="F98" s="51">
        <v>3</v>
      </c>
      <c r="G98" s="51">
        <v>0</v>
      </c>
      <c r="H98" s="51">
        <v>8000</v>
      </c>
      <c r="I98" s="51">
        <v>0</v>
      </c>
      <c r="J98" s="52" t="s">
        <v>53</v>
      </c>
      <c r="K98" s="51">
        <v>900</v>
      </c>
      <c r="L98" s="1" t="s">
        <v>156</v>
      </c>
      <c r="M98" s="32">
        <f t="shared" si="67"/>
        <v>40</v>
      </c>
      <c r="N98" s="33">
        <f t="shared" si="68"/>
        <v>1</v>
      </c>
      <c r="O98" s="33">
        <f t="shared" si="69"/>
        <v>2</v>
      </c>
      <c r="P98" s="33">
        <f t="shared" si="70"/>
        <v>1</v>
      </c>
      <c r="Q98" s="34">
        <f t="shared" si="71"/>
        <v>0</v>
      </c>
      <c r="R98" s="33">
        <f t="shared" si="72"/>
        <v>1</v>
      </c>
      <c r="S98" s="34">
        <f t="shared" si="80"/>
        <v>8000</v>
      </c>
      <c r="T98" s="34">
        <f t="shared" si="73"/>
        <v>1</v>
      </c>
      <c r="U98" s="34">
        <f t="shared" si="74"/>
        <v>0</v>
      </c>
      <c r="V98" s="34">
        <f t="shared" si="75"/>
        <v>1</v>
      </c>
      <c r="W98" s="34" t="str">
        <f t="shared" si="76"/>
        <v>BKN</v>
      </c>
      <c r="X98" s="34">
        <f t="shared" si="77"/>
        <v>0</v>
      </c>
      <c r="Y98" s="34">
        <f t="shared" si="78"/>
        <v>900</v>
      </c>
      <c r="Z98" s="34">
        <f t="shared" si="79"/>
        <v>1</v>
      </c>
      <c r="AA98" s="25"/>
      <c r="AB98" s="25"/>
      <c r="AC98" s="25"/>
      <c r="AD98" s="25"/>
      <c r="AE98" s="25"/>
    </row>
    <row r="99" spans="1:31" ht="16.5">
      <c r="A99" s="55">
        <v>6</v>
      </c>
      <c r="B99" s="54">
        <v>0</v>
      </c>
      <c r="C99" s="51" t="s">
        <v>34</v>
      </c>
      <c r="D99" s="52"/>
      <c r="E99" s="51">
        <v>320</v>
      </c>
      <c r="F99" s="51">
        <v>3</v>
      </c>
      <c r="G99" s="51">
        <v>0</v>
      </c>
      <c r="H99" s="51">
        <v>8000</v>
      </c>
      <c r="I99" s="51">
        <v>0</v>
      </c>
      <c r="J99" s="52" t="s">
        <v>53</v>
      </c>
      <c r="K99" s="51">
        <v>900</v>
      </c>
      <c r="L99" s="1" t="s">
        <v>157</v>
      </c>
      <c r="M99" s="32">
        <f t="shared" ref="M99:M104" si="81">IF(ISNUMBER(VALUE(FIND("VRB",L99))),999,VALUE(MID(L99,20,3)))</f>
        <v>170</v>
      </c>
      <c r="N99" s="33">
        <f t="shared" ref="N99:N104" si="82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83">VALUE(MID(L99,23,2))</f>
        <v>3</v>
      </c>
      <c r="P99" s="33">
        <f t="shared" ref="P99:P104" si="84">IF(ABS(O99-F99)&lt;11,1,0)</f>
        <v>1</v>
      </c>
      <c r="Q99" s="34">
        <f t="shared" ref="Q99:Q104" si="85">IF(MID(L99,25,1)="G","GUST",0)</f>
        <v>0</v>
      </c>
      <c r="R99" s="33">
        <f t="shared" ref="R99:R104" si="86">IF(G99=Q99,1,0)</f>
        <v>1</v>
      </c>
      <c r="S99" s="34">
        <f t="shared" si="80"/>
        <v>8000</v>
      </c>
      <c r="T99" s="34">
        <f t="shared" si="73"/>
        <v>1</v>
      </c>
      <c r="U99" s="34">
        <f>IF(AND(IFERROR(FIND("RA",#REF!),0)&gt;0, IFERROR(FIND("RA",#REF!),0)&lt;38),"RA",0)</f>
        <v>0</v>
      </c>
      <c r="V99" s="34">
        <f t="shared" si="75"/>
        <v>1</v>
      </c>
      <c r="W99" s="34" t="str">
        <f t="shared" ref="W99:W104" si="87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88">IF(OR(AND(OR(J99="SKC",J99="FEW",J99="SCT"),OR(W99="SKC",W99="FEW",W99="SCT")),(AND(OR(J99="BKN",J99="OVC"),OR(W99="BKN",W99="OVC")))),1,0)</f>
        <v>0</v>
      </c>
      <c r="Y99" s="34">
        <f t="shared" ref="Y99:Y104" si="89">IF(ISNUMBER(VALUE(FIND("CAVOK",L99))),9999,IF(ISNUMBER(VALUE(FIND("NSC",L99))),9999,(MID(L99,(FIND(W99,L99)+4),2))*100))</f>
        <v>900</v>
      </c>
      <c r="Z99" s="34">
        <f t="shared" ref="Z99:Z104" si="90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34</v>
      </c>
      <c r="D100" s="52"/>
      <c r="E100" s="51">
        <v>320</v>
      </c>
      <c r="F100" s="51">
        <v>3</v>
      </c>
      <c r="G100" s="51">
        <v>0</v>
      </c>
      <c r="H100" s="51">
        <v>8000</v>
      </c>
      <c r="I100" s="51">
        <v>0</v>
      </c>
      <c r="J100" s="52" t="s">
        <v>53</v>
      </c>
      <c r="K100" s="51">
        <v>900</v>
      </c>
      <c r="L100" s="1" t="s">
        <v>158</v>
      </c>
      <c r="M100" s="32">
        <f t="shared" si="81"/>
        <v>140</v>
      </c>
      <c r="N100" s="33">
        <f t="shared" si="82"/>
        <v>1</v>
      </c>
      <c r="O100" s="33">
        <f t="shared" si="83"/>
        <v>3</v>
      </c>
      <c r="P100" s="33">
        <f t="shared" si="84"/>
        <v>1</v>
      </c>
      <c r="Q100" s="34">
        <f t="shared" si="85"/>
        <v>0</v>
      </c>
      <c r="R100" s="33">
        <f t="shared" si="86"/>
        <v>1</v>
      </c>
      <c r="S100" s="34">
        <f t="shared" si="80"/>
        <v>7000</v>
      </c>
      <c r="T100" s="34">
        <f t="shared" si="73"/>
        <v>1</v>
      </c>
      <c r="U100" s="34">
        <f>IF(AND(IFERROR(FIND("RA",#REF!),0)&gt;0, IFERROR(FIND("RA",#REF!),0)&lt;38),"RA",0)</f>
        <v>0</v>
      </c>
      <c r="V100" s="34">
        <f t="shared" si="75"/>
        <v>1</v>
      </c>
      <c r="W100" s="34" t="str">
        <f t="shared" si="87"/>
        <v>BKN</v>
      </c>
      <c r="X100" s="34">
        <f t="shared" si="88"/>
        <v>0</v>
      </c>
      <c r="Y100" s="34">
        <f t="shared" si="89"/>
        <v>900</v>
      </c>
      <c r="Z100" s="34">
        <f t="shared" si="90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34</v>
      </c>
      <c r="D101" s="52"/>
      <c r="E101" s="51">
        <v>320</v>
      </c>
      <c r="F101" s="51">
        <v>3</v>
      </c>
      <c r="G101" s="51">
        <v>0</v>
      </c>
      <c r="H101" s="51">
        <v>8000</v>
      </c>
      <c r="I101" s="51">
        <v>0</v>
      </c>
      <c r="J101" s="52" t="s">
        <v>53</v>
      </c>
      <c r="K101" s="51">
        <v>900</v>
      </c>
      <c r="L101" s="1" t="s">
        <v>159</v>
      </c>
      <c r="M101" s="32">
        <f t="shared" si="81"/>
        <v>70</v>
      </c>
      <c r="N101" s="33">
        <f t="shared" si="82"/>
        <v>1</v>
      </c>
      <c r="O101" s="33">
        <f t="shared" si="83"/>
        <v>2</v>
      </c>
      <c r="P101" s="33">
        <f t="shared" si="84"/>
        <v>1</v>
      </c>
      <c r="Q101" s="34">
        <f t="shared" si="85"/>
        <v>0</v>
      </c>
      <c r="R101" s="33">
        <f t="shared" si="86"/>
        <v>1</v>
      </c>
      <c r="S101" s="34">
        <f t="shared" si="80"/>
        <v>5000</v>
      </c>
      <c r="T101" s="34">
        <f t="shared" si="73"/>
        <v>1</v>
      </c>
      <c r="U101" s="34">
        <f>IF(AND(IFERROR(FIND("RA",#REF!),0)&gt;0, IFERROR(FIND("RA",#REF!),0)&lt;38),"RA",0)</f>
        <v>0</v>
      </c>
      <c r="V101" s="34">
        <f t="shared" si="75"/>
        <v>1</v>
      </c>
      <c r="W101" s="34" t="str">
        <f t="shared" si="87"/>
        <v>FEW</v>
      </c>
      <c r="X101" s="34">
        <f t="shared" si="88"/>
        <v>1</v>
      </c>
      <c r="Y101" s="34">
        <f t="shared" si="89"/>
        <v>900</v>
      </c>
      <c r="Z101" s="34">
        <f t="shared" si="90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34</v>
      </c>
      <c r="D102" s="52"/>
      <c r="E102" s="51">
        <v>320</v>
      </c>
      <c r="F102" s="51">
        <v>3</v>
      </c>
      <c r="G102" s="51">
        <v>0</v>
      </c>
      <c r="H102" s="51">
        <v>8000</v>
      </c>
      <c r="I102" s="51">
        <v>0</v>
      </c>
      <c r="J102" s="52" t="s">
        <v>53</v>
      </c>
      <c r="K102" s="51">
        <v>900</v>
      </c>
      <c r="L102" s="1" t="s">
        <v>160</v>
      </c>
      <c r="M102" s="32">
        <f t="shared" si="81"/>
        <v>180</v>
      </c>
      <c r="N102" s="33">
        <f t="shared" si="82"/>
        <v>1</v>
      </c>
      <c r="O102" s="33">
        <f t="shared" si="83"/>
        <v>3</v>
      </c>
      <c r="P102" s="33">
        <f t="shared" si="84"/>
        <v>1</v>
      </c>
      <c r="Q102" s="34">
        <f t="shared" si="85"/>
        <v>0</v>
      </c>
      <c r="R102" s="33">
        <f t="shared" si="86"/>
        <v>1</v>
      </c>
      <c r="S102" s="34">
        <f t="shared" si="80"/>
        <v>4000</v>
      </c>
      <c r="T102" s="34">
        <f t="shared" si="73"/>
        <v>0</v>
      </c>
      <c r="U102" s="34">
        <f>IF(AND(IFERROR(FIND("RA",#REF!),0)&gt;0, IFERROR(FIND("RA",#REF!),0)&lt;38),"RA",0)</f>
        <v>0</v>
      </c>
      <c r="V102" s="34">
        <f t="shared" si="75"/>
        <v>1</v>
      </c>
      <c r="W102" s="34" t="str">
        <f t="shared" si="87"/>
        <v>FEW</v>
      </c>
      <c r="X102" s="34">
        <f t="shared" si="88"/>
        <v>1</v>
      </c>
      <c r="Y102" s="34">
        <f t="shared" si="89"/>
        <v>900</v>
      </c>
      <c r="Z102" s="34">
        <f t="shared" si="90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34</v>
      </c>
      <c r="D103" s="52"/>
      <c r="E103" s="51">
        <v>320</v>
      </c>
      <c r="F103" s="51">
        <v>3</v>
      </c>
      <c r="G103" s="51">
        <v>0</v>
      </c>
      <c r="H103" s="51">
        <v>8000</v>
      </c>
      <c r="I103" s="51">
        <v>0</v>
      </c>
      <c r="J103" s="52" t="s">
        <v>53</v>
      </c>
      <c r="K103" s="51">
        <v>900</v>
      </c>
      <c r="L103" s="1" t="s">
        <v>161</v>
      </c>
      <c r="M103" s="32">
        <f t="shared" si="81"/>
        <v>70</v>
      </c>
      <c r="N103" s="33">
        <f t="shared" si="82"/>
        <v>1</v>
      </c>
      <c r="O103" s="33">
        <f t="shared" si="83"/>
        <v>4</v>
      </c>
      <c r="P103" s="33">
        <f t="shared" si="84"/>
        <v>1</v>
      </c>
      <c r="Q103" s="34">
        <f t="shared" si="85"/>
        <v>0</v>
      </c>
      <c r="R103" s="33">
        <f t="shared" si="86"/>
        <v>1</v>
      </c>
      <c r="S103" s="34">
        <f t="shared" si="80"/>
        <v>4000</v>
      </c>
      <c r="T103" s="34">
        <f t="shared" si="73"/>
        <v>0</v>
      </c>
      <c r="U103" s="34">
        <f>IF(AND(IFERROR(FIND("RA",#REF!),0)&gt;0, IFERROR(FIND("RA",#REF!),0)&lt;38),"RA",0)</f>
        <v>0</v>
      </c>
      <c r="V103" s="34">
        <f t="shared" si="75"/>
        <v>1</v>
      </c>
      <c r="W103" s="34" t="str">
        <f t="shared" si="87"/>
        <v>FEW</v>
      </c>
      <c r="X103" s="34">
        <f t="shared" si="88"/>
        <v>1</v>
      </c>
      <c r="Y103" s="34">
        <f t="shared" si="89"/>
        <v>900</v>
      </c>
      <c r="Z103" s="34">
        <f t="shared" si="90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34</v>
      </c>
      <c r="D104" s="52"/>
      <c r="E104" s="51">
        <v>320</v>
      </c>
      <c r="F104" s="51">
        <v>3</v>
      </c>
      <c r="G104" s="51">
        <v>0</v>
      </c>
      <c r="H104" s="51">
        <v>8000</v>
      </c>
      <c r="I104" s="51">
        <v>0</v>
      </c>
      <c r="J104" s="52" t="s">
        <v>53</v>
      </c>
      <c r="K104" s="51">
        <v>900</v>
      </c>
      <c r="L104" s="1" t="s">
        <v>162</v>
      </c>
      <c r="M104" s="32">
        <f t="shared" si="81"/>
        <v>300</v>
      </c>
      <c r="N104" s="33">
        <f t="shared" si="82"/>
        <v>1</v>
      </c>
      <c r="O104" s="33">
        <f t="shared" si="83"/>
        <v>10</v>
      </c>
      <c r="P104" s="33">
        <f t="shared" si="84"/>
        <v>1</v>
      </c>
      <c r="Q104" s="34">
        <f t="shared" si="85"/>
        <v>0</v>
      </c>
      <c r="R104" s="33">
        <f t="shared" si="86"/>
        <v>1</v>
      </c>
      <c r="S104" s="34">
        <f t="shared" si="80"/>
        <v>4000</v>
      </c>
      <c r="T104" s="34">
        <f t="shared" si="73"/>
        <v>0</v>
      </c>
      <c r="U104" s="34">
        <f>IF(AND(IFERROR(FIND("RA",#REF!),0)&gt;0, IFERROR(FIND("RA",#REF!),0)&lt;38),"RA",0)</f>
        <v>0</v>
      </c>
      <c r="V104" s="34">
        <f t="shared" si="75"/>
        <v>1</v>
      </c>
      <c r="W104" s="34" t="str">
        <f t="shared" si="87"/>
        <v>FEW</v>
      </c>
      <c r="X104" s="34">
        <f t="shared" si="88"/>
        <v>1</v>
      </c>
      <c r="Y104" s="34">
        <f t="shared" si="89"/>
        <v>900</v>
      </c>
      <c r="Z104" s="34">
        <f t="shared" si="90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4</v>
      </c>
      <c r="U109" s="25"/>
      <c r="V109" s="25">
        <f>SUM(V93:V104)</f>
        <v>7</v>
      </c>
      <c r="W109" s="25"/>
      <c r="X109" s="25">
        <f>SUM(X93:X104)</f>
        <v>4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5</v>
      </c>
      <c r="O110" s="25"/>
      <c r="P110" s="25">
        <f>SUMIF($C93:$C104,"GENERAL",P93:P104)</f>
        <v>5</v>
      </c>
      <c r="Q110" s="25"/>
      <c r="R110" s="25">
        <f>SUMIF($C93:$C104,"GENERAL",R93:R104)</f>
        <v>5</v>
      </c>
      <c r="S110" s="25"/>
      <c r="T110" s="25">
        <f>SUMIF($C93:$C104,"GENERAL",T93:T104)</f>
        <v>0</v>
      </c>
      <c r="U110" s="25"/>
      <c r="V110" s="25">
        <f>SUMIF($C93:$C104,"GENERAL",V93:V104)</f>
        <v>0</v>
      </c>
      <c r="W110" s="25"/>
      <c r="X110" s="25">
        <f>SUMIF($C93:$C104,"GENERAL",X93:X104)</f>
        <v>0</v>
      </c>
      <c r="Y110" s="25"/>
      <c r="Z110" s="25">
        <f>SUMIF($C93:$C104,"GENERAL",Z93:Z104)</f>
        <v>5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7</v>
      </c>
      <c r="O111" s="25"/>
      <c r="P111" s="25">
        <f>SUMIF($C93:$C104,"BECMG",P93:P104)</f>
        <v>7</v>
      </c>
      <c r="Q111" s="25"/>
      <c r="R111" s="25">
        <f>SUMIF($C93:$C104,"BECMG",R93:R104)</f>
        <v>7</v>
      </c>
      <c r="S111" s="25"/>
      <c r="T111" s="25">
        <f>SUMIF($C93:$C104,"BECMG",T93:T104)</f>
        <v>4</v>
      </c>
      <c r="U111" s="25"/>
      <c r="V111" s="25">
        <f>SUMIF($C93:$C104,"BECMG",V93:V104)</f>
        <v>7</v>
      </c>
      <c r="W111" s="25"/>
      <c r="X111" s="25">
        <f>SUMIF($C93:$C104,"BECMG",X93:X104)</f>
        <v>4</v>
      </c>
      <c r="Y111" s="25"/>
      <c r="Z111" s="25">
        <f>SUMIF($C93:$C104,"BECMG",Z93:Z104)</f>
        <v>7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33.333333333333329</v>
      </c>
      <c r="U114" s="38"/>
      <c r="V114" s="38">
        <f>(SUM(V110:V113)/COUNTA(V93:V104))*100</f>
        <v>58.333333333333336</v>
      </c>
      <c r="W114" s="38"/>
      <c r="X114" s="38">
        <f>(SUM(X110:X113)/COUNTA(X93:X104))*100</f>
        <v>33.333333333333329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78204-CA4F-A44D-B35F-D2B2A43A8481}">
  <sheetPr>
    <tabColor theme="0"/>
  </sheetPr>
  <dimension ref="A1:AE115"/>
  <sheetViews>
    <sheetView topLeftCell="A97" zoomScale="80" zoomScaleNormal="80" workbookViewId="0">
      <selection activeCell="K76" sqref="K76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139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6</v>
      </c>
      <c r="B7" s="28">
        <v>0</v>
      </c>
      <c r="C7" s="29" t="s">
        <v>39</v>
      </c>
      <c r="D7" s="29"/>
      <c r="E7" s="29">
        <v>330</v>
      </c>
      <c r="F7" s="29">
        <v>2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1" t="s">
        <v>157</v>
      </c>
      <c r="M7" s="32">
        <f t="shared" ref="M7:M18" si="0">IF(ISNUMBER(VALUE(FIND("VRB",L7))),999,VALUE(MID(L7,20,3)))</f>
        <v>170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3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8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0">IF(OR(AND(OR(J7="SKC",J7="FEW",J7="SCT"),OR(W7="SKC",W7="FEW",W7="SCT")),(AND(OR(J7="BKN",J7="OVC"),OR(W7="BKN",W7="OVC")))),1,0)</f>
        <v>1</v>
      </c>
      <c r="Y7" s="34">
        <f t="shared" ref="Y7:Y18" si="11">IF(ISNUMBER(VALUE(FIND("CAVOK",L7))),9999,IF(ISNUMBER(VALUE(FIND("NSC",L7))),9999,(MID(L7,(FIND(W7,L7)+4),2))*100))</f>
        <v>900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330</v>
      </c>
      <c r="F8" s="29">
        <v>2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1" t="s">
        <v>158</v>
      </c>
      <c r="M8" s="32">
        <f t="shared" si="0"/>
        <v>140</v>
      </c>
      <c r="N8" s="33">
        <f t="shared" si="1"/>
        <v>1</v>
      </c>
      <c r="O8" s="33">
        <f t="shared" si="2"/>
        <v>3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7000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330</v>
      </c>
      <c r="F9" s="29">
        <v>2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1" t="s">
        <v>159</v>
      </c>
      <c r="M9" s="32">
        <f t="shared" si="0"/>
        <v>70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5000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FEW</v>
      </c>
      <c r="X9" s="34">
        <f t="shared" si="10"/>
        <v>0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330</v>
      </c>
      <c r="F10" s="29">
        <v>2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1" t="s">
        <v>160</v>
      </c>
      <c r="M10" s="32">
        <f t="shared" si="0"/>
        <v>180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4000</v>
      </c>
      <c r="T10" s="34">
        <f t="shared" si="6"/>
        <v>0</v>
      </c>
      <c r="U10" s="34" t="str">
        <f t="shared" si="7"/>
        <v>RA</v>
      </c>
      <c r="V10" s="34">
        <f t="shared" si="8"/>
        <v>0</v>
      </c>
      <c r="W10" s="34" t="str">
        <f t="shared" si="9"/>
        <v>FEW</v>
      </c>
      <c r="X10" s="34">
        <f t="shared" si="10"/>
        <v>0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330</v>
      </c>
      <c r="F11" s="29">
        <v>2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1" t="s">
        <v>161</v>
      </c>
      <c r="M11" s="32">
        <f t="shared" si="0"/>
        <v>70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4000</v>
      </c>
      <c r="T11" s="34">
        <f t="shared" si="6"/>
        <v>0</v>
      </c>
      <c r="U11" s="34" t="str">
        <f t="shared" si="7"/>
        <v>RA</v>
      </c>
      <c r="V11" s="34">
        <f t="shared" si="8"/>
        <v>0</v>
      </c>
      <c r="W11" s="34" t="str">
        <f t="shared" si="9"/>
        <v>FEW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330</v>
      </c>
      <c r="F12" s="29">
        <v>2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1" t="s">
        <v>162</v>
      </c>
      <c r="M12" s="32">
        <f t="shared" si="0"/>
        <v>300</v>
      </c>
      <c r="N12" s="33">
        <f t="shared" si="1"/>
        <v>1</v>
      </c>
      <c r="O12" s="33">
        <f t="shared" si="2"/>
        <v>10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4000</v>
      </c>
      <c r="T12" s="34">
        <f t="shared" si="6"/>
        <v>0</v>
      </c>
      <c r="U12" s="34" t="str">
        <f t="shared" si="7"/>
        <v>RA</v>
      </c>
      <c r="V12" s="34">
        <f t="shared" si="8"/>
        <v>0</v>
      </c>
      <c r="W12" s="34" t="str">
        <f t="shared" si="9"/>
        <v>FEW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330</v>
      </c>
      <c r="F13" s="29">
        <v>2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1" t="s">
        <v>193</v>
      </c>
      <c r="M13" s="32">
        <f t="shared" si="0"/>
        <v>290</v>
      </c>
      <c r="N13" s="33">
        <f t="shared" si="1"/>
        <v>1</v>
      </c>
      <c r="O13" s="33">
        <f t="shared" si="2"/>
        <v>4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4000</v>
      </c>
      <c r="T13" s="34">
        <f t="shared" si="6"/>
        <v>0</v>
      </c>
      <c r="U13" s="34" t="str">
        <f t="shared" si="7"/>
        <v>RA</v>
      </c>
      <c r="V13" s="34">
        <f t="shared" si="8"/>
        <v>0</v>
      </c>
      <c r="W13" s="34" t="str">
        <f t="shared" si="9"/>
        <v>FEW</v>
      </c>
      <c r="X13" s="34">
        <f t="shared" si="10"/>
        <v>0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330</v>
      </c>
      <c r="F14" s="29">
        <v>2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t="s">
        <v>194</v>
      </c>
      <c r="M14" s="32">
        <f t="shared" si="0"/>
        <v>0</v>
      </c>
      <c r="N14" s="33">
        <f t="shared" si="1"/>
        <v>1</v>
      </c>
      <c r="O14" s="33">
        <f t="shared" si="2"/>
        <v>0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4000</v>
      </c>
      <c r="T14" s="34">
        <f t="shared" si="6"/>
        <v>0</v>
      </c>
      <c r="U14" s="34" t="str">
        <f t="shared" si="7"/>
        <v>RA</v>
      </c>
      <c r="V14" s="34">
        <f t="shared" si="8"/>
        <v>0</v>
      </c>
      <c r="W14" s="34" t="str">
        <f t="shared" si="9"/>
        <v>FEW</v>
      </c>
      <c r="X14" s="34">
        <f t="shared" si="10"/>
        <v>0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330</v>
      </c>
      <c r="F15" s="29">
        <v>2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s="29" t="s">
        <v>217</v>
      </c>
      <c r="M15" s="32">
        <f t="shared" si="0"/>
        <v>0</v>
      </c>
      <c r="N15" s="33">
        <f t="shared" si="1"/>
        <v>1</v>
      </c>
      <c r="O15" s="33">
        <f t="shared" si="2"/>
        <v>0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3"/>
        <v>4000</v>
      </c>
      <c r="T15" s="34">
        <f t="shared" si="6"/>
        <v>0</v>
      </c>
      <c r="U15" s="34" t="str">
        <f t="shared" si="7"/>
        <v>RA</v>
      </c>
      <c r="V15" s="34">
        <f t="shared" si="8"/>
        <v>0</v>
      </c>
      <c r="W15" s="34" t="str">
        <f t="shared" si="9"/>
        <v>FEW</v>
      </c>
      <c r="X15" s="34">
        <f t="shared" si="10"/>
        <v>0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330</v>
      </c>
      <c r="F16" s="29">
        <v>2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29" t="s">
        <v>216</v>
      </c>
      <c r="M16" s="32">
        <f t="shared" si="0"/>
        <v>0</v>
      </c>
      <c r="N16" s="33">
        <f t="shared" si="1"/>
        <v>1</v>
      </c>
      <c r="O16" s="33">
        <f t="shared" si="2"/>
        <v>0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3"/>
        <v>6000</v>
      </c>
      <c r="T16" s="34">
        <f t="shared" si="6"/>
        <v>1</v>
      </c>
      <c r="U16" s="34">
        <f t="shared" si="7"/>
        <v>0</v>
      </c>
      <c r="V16" s="34">
        <f t="shared" si="8"/>
        <v>1</v>
      </c>
      <c r="W16" s="34" t="str">
        <f t="shared" si="9"/>
        <v>BKN</v>
      </c>
      <c r="X16" s="34">
        <f t="shared" si="10"/>
        <v>1</v>
      </c>
      <c r="Y16" s="34">
        <f t="shared" si="11"/>
        <v>900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330</v>
      </c>
      <c r="F17" s="29">
        <v>2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29" t="s">
        <v>215</v>
      </c>
      <c r="M17" s="32">
        <f t="shared" si="0"/>
        <v>0</v>
      </c>
      <c r="N17" s="33">
        <f t="shared" si="1"/>
        <v>1</v>
      </c>
      <c r="O17" s="33">
        <f t="shared" si="2"/>
        <v>0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3"/>
        <v>7000</v>
      </c>
      <c r="T17" s="34">
        <f t="shared" si="6"/>
        <v>1</v>
      </c>
      <c r="U17" s="34">
        <f t="shared" si="7"/>
        <v>0</v>
      </c>
      <c r="V17" s="34">
        <f t="shared" si="8"/>
        <v>1</v>
      </c>
      <c r="W17" s="34" t="str">
        <f t="shared" si="9"/>
        <v>BKN</v>
      </c>
      <c r="X17" s="34">
        <f t="shared" si="10"/>
        <v>1</v>
      </c>
      <c r="Y17" s="34">
        <f t="shared" si="11"/>
        <v>900</v>
      </c>
      <c r="Z17" s="34">
        <f t="shared" si="12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330</v>
      </c>
      <c r="F18" s="29">
        <v>2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29" t="s">
        <v>214</v>
      </c>
      <c r="M18" s="32">
        <f t="shared" si="0"/>
        <v>50</v>
      </c>
      <c r="N18" s="33">
        <f t="shared" si="1"/>
        <v>1</v>
      </c>
      <c r="O18" s="33">
        <f t="shared" si="2"/>
        <v>2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3"/>
        <v>8000</v>
      </c>
      <c r="T18" s="34">
        <f t="shared" si="6"/>
        <v>1</v>
      </c>
      <c r="U18" s="34">
        <f t="shared" si="7"/>
        <v>0</v>
      </c>
      <c r="V18" s="34">
        <f t="shared" si="8"/>
        <v>1</v>
      </c>
      <c r="W18" s="34" t="str">
        <f t="shared" si="9"/>
        <v>SCT</v>
      </c>
      <c r="X18" s="34">
        <f t="shared" si="10"/>
        <v>0</v>
      </c>
      <c r="Y18" s="34">
        <f t="shared" si="11"/>
        <v>900</v>
      </c>
      <c r="Z18" s="34">
        <f t="shared" si="12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6</v>
      </c>
      <c r="U23" s="25"/>
      <c r="V23" s="25">
        <f>SUM(V7:V18)</f>
        <v>6</v>
      </c>
      <c r="W23" s="25"/>
      <c r="X23" s="25">
        <f>SUM(X7:X18)</f>
        <v>4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6</v>
      </c>
      <c r="U24" s="25"/>
      <c r="V24" s="25">
        <f>SUMIF($C7:$C18,"GENERAL",V7:V18)</f>
        <v>6</v>
      </c>
      <c r="W24" s="25"/>
      <c r="X24" s="25">
        <f>SUMIF($C7:$C18,"GENERAL",X7:X18)</f>
        <v>4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50</v>
      </c>
      <c r="U28" s="38"/>
      <c r="V28" s="38">
        <f>(SUM(V24:V27)/COUNTA(V7:V18))*100</f>
        <v>50</v>
      </c>
      <c r="W28" s="38"/>
      <c r="X28" s="38">
        <f>(SUM(X24:X27)/COUNTA(X7:X18))*100</f>
        <v>33.333333333333329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140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6</v>
      </c>
      <c r="B36" s="28">
        <v>0.25</v>
      </c>
      <c r="C36" s="29" t="s">
        <v>39</v>
      </c>
      <c r="D36" s="30"/>
      <c r="E36" s="29">
        <v>160</v>
      </c>
      <c r="F36" s="29">
        <v>3</v>
      </c>
      <c r="G36" s="29">
        <v>0</v>
      </c>
      <c r="H36" s="29">
        <v>4000</v>
      </c>
      <c r="I36" s="29" t="s">
        <v>52</v>
      </c>
      <c r="J36" s="29" t="s">
        <v>51</v>
      </c>
      <c r="K36" s="29">
        <v>900</v>
      </c>
      <c r="L36" s="1" t="s">
        <v>193</v>
      </c>
      <c r="M36" s="32">
        <f t="shared" ref="M36:M47" si="14">IF(ISNUMBER(VALUE(FIND("VRB",L36))),999,VALUE(MID(L36,20,3)))</f>
        <v>290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4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4000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 t="str">
        <f t="shared" ref="U36:U47" si="21">IF(AND(IFERROR(FIND("RA",L36),0)&gt;0, IFERROR(FIND("RA",L36),0)&lt;38),"RA",0)</f>
        <v>RA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FEW</v>
      </c>
      <c r="X36" s="34">
        <f t="shared" ref="X36:X47" si="24">IF(OR(AND(OR(J36="SKC",J36="FEW",J36="SCT"),OR(W36="SKC",W36="FEW",W36="SCT")),(AND(OR(J36="BKN",J36="OVC"),OR(W36="BKN",W36="OVC")))),1,0)</f>
        <v>1</v>
      </c>
      <c r="Y36" s="34">
        <f t="shared" ref="Y36:Y47" si="25">IF(ISNUMBER(VALUE(FIND("CAVOK",L36))),9999,IF(ISNUMBER(VALUE(FIND("NSC",L36))),9999,(MID(L36,(FIND(W36,L36)+4),2))*100))</f>
        <v>900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160</v>
      </c>
      <c r="F37" s="29">
        <v>3</v>
      </c>
      <c r="G37" s="29">
        <v>0</v>
      </c>
      <c r="H37" s="29">
        <v>4000</v>
      </c>
      <c r="I37" s="29" t="s">
        <v>52</v>
      </c>
      <c r="J37" s="29" t="s">
        <v>51</v>
      </c>
      <c r="K37" s="29">
        <v>900</v>
      </c>
      <c r="L37" t="s">
        <v>194</v>
      </c>
      <c r="M37" s="32">
        <f t="shared" si="14"/>
        <v>0</v>
      </c>
      <c r="N37" s="33">
        <f t="shared" si="15"/>
        <v>1</v>
      </c>
      <c r="O37" s="33">
        <f t="shared" si="16"/>
        <v>0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4000</v>
      </c>
      <c r="T37" s="34">
        <f t="shared" si="20"/>
        <v>1</v>
      </c>
      <c r="U37" s="34" t="str">
        <f t="shared" si="21"/>
        <v>RA</v>
      </c>
      <c r="V37" s="34">
        <f t="shared" si="22"/>
        <v>1</v>
      </c>
      <c r="W37" s="34" t="str">
        <f t="shared" si="23"/>
        <v>FEW</v>
      </c>
      <c r="X37" s="34">
        <f t="shared" si="24"/>
        <v>1</v>
      </c>
      <c r="Y37" s="34">
        <f t="shared" si="25"/>
        <v>900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160</v>
      </c>
      <c r="F38" s="29">
        <v>3</v>
      </c>
      <c r="G38" s="29">
        <v>0</v>
      </c>
      <c r="H38" s="29">
        <v>4000</v>
      </c>
      <c r="I38" s="29" t="s">
        <v>52</v>
      </c>
      <c r="J38" s="29" t="s">
        <v>51</v>
      </c>
      <c r="K38" s="29">
        <v>900</v>
      </c>
      <c r="L38" s="29" t="s">
        <v>217</v>
      </c>
      <c r="M38" s="32">
        <f t="shared" ref="M38:M46" si="28">IF(ISNUMBER(VALUE(FIND("VRB",L38))),999,VALUE(MID(L38,20,3)))</f>
        <v>0</v>
      </c>
      <c r="N38" s="33">
        <f t="shared" ref="N38:N46" si="29">IF(OR(ABS(E38-M38)&lt;61,AND(ABS(E38-M38)&gt;60,O38&lt;10),E38=M38,AND(E38=999,ISNUMBER(VALUE(FIND("TS",L38)))),AND(E38=999,ISNUMBER(VALUE(FIND("CB",L38)))),AND(E38=999,O38&lt;10),AND(F38&lt;10,M38=999,O38&lt;10)),1,0)</f>
        <v>1</v>
      </c>
      <c r="O38" s="33">
        <f t="shared" ref="O38:O46" si="30">VALUE(MID(L38,23,2))</f>
        <v>0</v>
      </c>
      <c r="P38" s="33">
        <f t="shared" si="17"/>
        <v>1</v>
      </c>
      <c r="Q38" s="34">
        <f t="shared" ref="Q38:Q46" si="31">IF(MID(L38,25,1)="G","GUST",0)</f>
        <v>0</v>
      </c>
      <c r="R38" s="33">
        <f t="shared" si="19"/>
        <v>1</v>
      </c>
      <c r="S38" s="34">
        <f t="shared" ref="S38:S46" si="32">IF(ISNUMBER(VALUE(MID(L38,(FIND("KT",L38,FIND("Z",L38))+3),4))),VALUE(MID(L38,(FIND("KT",L38,FIND("Z",L38))+3),4)),IF(ISNUMBER(VALUE(MID(L38,(FIND("0V",L38)+6),4))),VALUE(MID(L38,(FIND("0V",L38)+6),4)),9999))</f>
        <v>4000</v>
      </c>
      <c r="T38" s="34">
        <f t="shared" si="20"/>
        <v>1</v>
      </c>
      <c r="U38" s="34" t="str">
        <f t="shared" ref="U38:U46" si="33">IF(AND(IFERROR(FIND("RA",L38),0)&gt;0, IFERROR(FIND("RA",L38),0)&lt;38),"RA",0)</f>
        <v>RA</v>
      </c>
      <c r="V38" s="34">
        <f t="shared" si="22"/>
        <v>1</v>
      </c>
      <c r="W38" s="34" t="str">
        <f t="shared" ref="W38:W46" si="34">IF(ISNUMBER(VALUE(FIND("FEW",L38))),"FEW",IF(ISNUMBER(VALUE(FIND("SCT",L38))),"SCT",IF(ISNUMBER(VALUE(FIND("BKN",L38))),"BKN",IF(ISNUMBER(VALUE(FIND("OVC",L38))),"OVC",IF(ISNUMBER(VALUE(FIND("SKC",L38))),"SKC",IF(ISNUMBER(VALUE(FIND("CAVOK",L38))),"SKC",IF(ISNUMBER(VALUE(FIND("NSC",L38))),"SKC","EROR")))))))</f>
        <v>FEW</v>
      </c>
      <c r="X38" s="34">
        <f t="shared" si="24"/>
        <v>1</v>
      </c>
      <c r="Y38" s="34">
        <f t="shared" ref="Y38:Y46" si="35">IF(ISNUMBER(VALUE(FIND("CAVOK",L38))),9999,IF(ISNUMBER(VALUE(FIND("NSC",L38))),9999,(MID(L38,(FIND(W38,L38)+4),2))*100))</f>
        <v>900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160</v>
      </c>
      <c r="F39" s="29">
        <v>3</v>
      </c>
      <c r="G39" s="29">
        <v>0</v>
      </c>
      <c r="H39" s="29">
        <v>4000</v>
      </c>
      <c r="I39" s="29" t="s">
        <v>52</v>
      </c>
      <c r="J39" s="29" t="s">
        <v>51</v>
      </c>
      <c r="K39" s="29">
        <v>900</v>
      </c>
      <c r="L39" s="29" t="s">
        <v>216</v>
      </c>
      <c r="M39" s="32">
        <f t="shared" si="28"/>
        <v>0</v>
      </c>
      <c r="N39" s="33">
        <f t="shared" si="29"/>
        <v>1</v>
      </c>
      <c r="O39" s="33">
        <f t="shared" si="30"/>
        <v>0</v>
      </c>
      <c r="P39" s="33">
        <f t="shared" si="17"/>
        <v>1</v>
      </c>
      <c r="Q39" s="34">
        <f t="shared" si="31"/>
        <v>0</v>
      </c>
      <c r="R39" s="33">
        <f t="shared" si="19"/>
        <v>1</v>
      </c>
      <c r="S39" s="34">
        <f t="shared" si="32"/>
        <v>6000</v>
      </c>
      <c r="T39" s="34">
        <f t="shared" si="20"/>
        <v>0</v>
      </c>
      <c r="U39" s="34">
        <f t="shared" si="33"/>
        <v>0</v>
      </c>
      <c r="V39" s="34">
        <f t="shared" si="22"/>
        <v>0</v>
      </c>
      <c r="W39" s="34" t="str">
        <f t="shared" si="34"/>
        <v>BKN</v>
      </c>
      <c r="X39" s="34">
        <f t="shared" si="24"/>
        <v>0</v>
      </c>
      <c r="Y39" s="34">
        <f t="shared" si="35"/>
        <v>900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160</v>
      </c>
      <c r="F40" s="29">
        <v>3</v>
      </c>
      <c r="G40" s="29">
        <v>0</v>
      </c>
      <c r="H40" s="29">
        <v>4000</v>
      </c>
      <c r="I40" s="29" t="s">
        <v>52</v>
      </c>
      <c r="J40" s="29" t="s">
        <v>51</v>
      </c>
      <c r="K40" s="29">
        <v>900</v>
      </c>
      <c r="L40" s="29" t="s">
        <v>215</v>
      </c>
      <c r="M40" s="32">
        <f t="shared" si="28"/>
        <v>0</v>
      </c>
      <c r="N40" s="33">
        <f t="shared" si="29"/>
        <v>1</v>
      </c>
      <c r="O40" s="33">
        <f t="shared" si="30"/>
        <v>0</v>
      </c>
      <c r="P40" s="33">
        <f t="shared" si="17"/>
        <v>1</v>
      </c>
      <c r="Q40" s="34">
        <f t="shared" si="31"/>
        <v>0</v>
      </c>
      <c r="R40" s="33">
        <f t="shared" si="19"/>
        <v>1</v>
      </c>
      <c r="S40" s="34">
        <f t="shared" si="32"/>
        <v>7000</v>
      </c>
      <c r="T40" s="34">
        <f t="shared" si="20"/>
        <v>0</v>
      </c>
      <c r="U40" s="34">
        <f t="shared" si="33"/>
        <v>0</v>
      </c>
      <c r="V40" s="34">
        <f t="shared" si="22"/>
        <v>0</v>
      </c>
      <c r="W40" s="34" t="str">
        <f t="shared" si="34"/>
        <v>BKN</v>
      </c>
      <c r="X40" s="34">
        <f t="shared" si="24"/>
        <v>0</v>
      </c>
      <c r="Y40" s="34">
        <f t="shared" si="35"/>
        <v>900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160</v>
      </c>
      <c r="F41" s="29">
        <v>3</v>
      </c>
      <c r="G41" s="29">
        <v>0</v>
      </c>
      <c r="H41" s="29">
        <v>4000</v>
      </c>
      <c r="I41" s="29" t="s">
        <v>52</v>
      </c>
      <c r="J41" s="29" t="s">
        <v>51</v>
      </c>
      <c r="K41" s="29">
        <v>900</v>
      </c>
      <c r="L41" s="29" t="s">
        <v>214</v>
      </c>
      <c r="M41" s="32">
        <f t="shared" si="28"/>
        <v>50</v>
      </c>
      <c r="N41" s="33">
        <f t="shared" si="29"/>
        <v>1</v>
      </c>
      <c r="O41" s="33">
        <f t="shared" si="30"/>
        <v>2</v>
      </c>
      <c r="P41" s="33">
        <f t="shared" si="17"/>
        <v>1</v>
      </c>
      <c r="Q41" s="34">
        <f t="shared" si="31"/>
        <v>0</v>
      </c>
      <c r="R41" s="33">
        <f t="shared" si="19"/>
        <v>1</v>
      </c>
      <c r="S41" s="34">
        <f t="shared" si="32"/>
        <v>8000</v>
      </c>
      <c r="T41" s="34">
        <f t="shared" si="20"/>
        <v>0</v>
      </c>
      <c r="U41" s="34">
        <f t="shared" si="33"/>
        <v>0</v>
      </c>
      <c r="V41" s="34">
        <f t="shared" si="22"/>
        <v>0</v>
      </c>
      <c r="W41" s="34" t="str">
        <f t="shared" si="34"/>
        <v>SCT</v>
      </c>
      <c r="X41" s="34">
        <f t="shared" si="24"/>
        <v>1</v>
      </c>
      <c r="Y41" s="34">
        <f t="shared" si="35"/>
        <v>900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34</v>
      </c>
      <c r="D42" s="30"/>
      <c r="E42" s="29">
        <v>0</v>
      </c>
      <c r="F42" s="29">
        <v>0</v>
      </c>
      <c r="G42" s="29">
        <v>0</v>
      </c>
      <c r="H42" s="29">
        <v>8000</v>
      </c>
      <c r="I42" s="29">
        <v>0</v>
      </c>
      <c r="J42" s="29" t="s">
        <v>58</v>
      </c>
      <c r="K42" s="29">
        <v>800</v>
      </c>
      <c r="L42" s="29" t="s">
        <v>213</v>
      </c>
      <c r="M42" s="32">
        <f t="shared" si="28"/>
        <v>0</v>
      </c>
      <c r="N42" s="33">
        <f t="shared" si="29"/>
        <v>1</v>
      </c>
      <c r="O42" s="33">
        <f t="shared" si="30"/>
        <v>0</v>
      </c>
      <c r="P42" s="33">
        <f t="shared" si="17"/>
        <v>1</v>
      </c>
      <c r="Q42" s="34">
        <f t="shared" si="31"/>
        <v>0</v>
      </c>
      <c r="R42" s="33">
        <f t="shared" si="19"/>
        <v>1</v>
      </c>
      <c r="S42" s="34">
        <f t="shared" si="32"/>
        <v>8000</v>
      </c>
      <c r="T42" s="34">
        <f t="shared" si="20"/>
        <v>1</v>
      </c>
      <c r="U42" s="34">
        <f t="shared" si="33"/>
        <v>0</v>
      </c>
      <c r="V42" s="34">
        <f t="shared" si="22"/>
        <v>1</v>
      </c>
      <c r="W42" s="34" t="str">
        <f t="shared" si="34"/>
        <v>SCT</v>
      </c>
      <c r="X42" s="34">
        <f t="shared" si="24"/>
        <v>0</v>
      </c>
      <c r="Y42" s="34">
        <f t="shared" si="35"/>
        <v>900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34</v>
      </c>
      <c r="D43" s="30"/>
      <c r="E43" s="29">
        <v>0</v>
      </c>
      <c r="F43" s="29">
        <v>0</v>
      </c>
      <c r="G43" s="29">
        <v>0</v>
      </c>
      <c r="H43" s="29">
        <v>8000</v>
      </c>
      <c r="I43" s="29">
        <v>0</v>
      </c>
      <c r="J43" s="29" t="s">
        <v>58</v>
      </c>
      <c r="K43" s="29">
        <v>800</v>
      </c>
      <c r="L43" s="62" t="s">
        <v>379</v>
      </c>
      <c r="M43" s="32">
        <f t="shared" si="28"/>
        <v>50</v>
      </c>
      <c r="N43" s="33">
        <f t="shared" si="29"/>
        <v>1</v>
      </c>
      <c r="O43" s="33">
        <f t="shared" si="30"/>
        <v>2</v>
      </c>
      <c r="P43" s="33">
        <f t="shared" si="17"/>
        <v>1</v>
      </c>
      <c r="Q43" s="34">
        <f t="shared" si="31"/>
        <v>0</v>
      </c>
      <c r="R43" s="33">
        <f t="shared" si="19"/>
        <v>1</v>
      </c>
      <c r="S43" s="34">
        <f t="shared" si="32"/>
        <v>8000</v>
      </c>
      <c r="T43" s="34">
        <f t="shared" si="20"/>
        <v>1</v>
      </c>
      <c r="U43" s="34">
        <f t="shared" si="33"/>
        <v>0</v>
      </c>
      <c r="V43" s="34">
        <f t="shared" si="22"/>
        <v>1</v>
      </c>
      <c r="W43" s="34" t="str">
        <f t="shared" si="34"/>
        <v>SCT</v>
      </c>
      <c r="X43" s="34">
        <f t="shared" si="24"/>
        <v>0</v>
      </c>
      <c r="Y43" s="34">
        <f t="shared" si="35"/>
        <v>900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34</v>
      </c>
      <c r="D44" s="30"/>
      <c r="E44" s="29">
        <v>0</v>
      </c>
      <c r="F44" s="29">
        <v>0</v>
      </c>
      <c r="G44" s="29">
        <v>0</v>
      </c>
      <c r="H44" s="29">
        <v>8000</v>
      </c>
      <c r="I44" s="29">
        <v>0</v>
      </c>
      <c r="J44" s="29" t="s">
        <v>58</v>
      </c>
      <c r="K44" s="29">
        <v>800</v>
      </c>
      <c r="L44" s="29" t="s">
        <v>212</v>
      </c>
      <c r="M44" s="32">
        <f t="shared" si="28"/>
        <v>0</v>
      </c>
      <c r="N44" s="33">
        <f t="shared" si="29"/>
        <v>1</v>
      </c>
      <c r="O44" s="33">
        <f t="shared" si="30"/>
        <v>0</v>
      </c>
      <c r="P44" s="33">
        <f t="shared" si="17"/>
        <v>1</v>
      </c>
      <c r="Q44" s="34">
        <f t="shared" si="31"/>
        <v>0</v>
      </c>
      <c r="R44" s="33">
        <f t="shared" si="19"/>
        <v>1</v>
      </c>
      <c r="S44" s="34">
        <f t="shared" si="32"/>
        <v>8000</v>
      </c>
      <c r="T44" s="34">
        <f t="shared" si="20"/>
        <v>1</v>
      </c>
      <c r="U44" s="34">
        <f t="shared" si="33"/>
        <v>0</v>
      </c>
      <c r="V44" s="34">
        <f t="shared" si="22"/>
        <v>1</v>
      </c>
      <c r="W44" s="34" t="str">
        <f t="shared" si="34"/>
        <v>SCT</v>
      </c>
      <c r="X44" s="34">
        <f t="shared" si="24"/>
        <v>0</v>
      </c>
      <c r="Y44" s="34">
        <f t="shared" si="35"/>
        <v>1000</v>
      </c>
      <c r="Z44" s="34">
        <f t="shared" si="26"/>
        <v>0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34</v>
      </c>
      <c r="D45" s="30"/>
      <c r="E45" s="29">
        <v>0</v>
      </c>
      <c r="F45" s="29">
        <v>0</v>
      </c>
      <c r="G45" s="29">
        <v>0</v>
      </c>
      <c r="H45" s="29">
        <v>8000</v>
      </c>
      <c r="I45" s="29">
        <v>0</v>
      </c>
      <c r="J45" s="29" t="s">
        <v>58</v>
      </c>
      <c r="K45" s="29">
        <v>800</v>
      </c>
      <c r="L45" s="29" t="s">
        <v>211</v>
      </c>
      <c r="M45" s="32">
        <f t="shared" si="28"/>
        <v>0</v>
      </c>
      <c r="N45" s="33">
        <f t="shared" si="29"/>
        <v>1</v>
      </c>
      <c r="O45" s="33">
        <f t="shared" si="30"/>
        <v>0</v>
      </c>
      <c r="P45" s="33">
        <f t="shared" si="17"/>
        <v>1</v>
      </c>
      <c r="Q45" s="34">
        <f t="shared" si="31"/>
        <v>0</v>
      </c>
      <c r="R45" s="33">
        <f t="shared" si="19"/>
        <v>1</v>
      </c>
      <c r="S45" s="34">
        <f t="shared" si="32"/>
        <v>8000</v>
      </c>
      <c r="T45" s="34">
        <f t="shared" si="20"/>
        <v>1</v>
      </c>
      <c r="U45" s="34">
        <f t="shared" si="33"/>
        <v>0</v>
      </c>
      <c r="V45" s="34">
        <f t="shared" si="22"/>
        <v>1</v>
      </c>
      <c r="W45" s="34" t="str">
        <f t="shared" si="34"/>
        <v>SCT</v>
      </c>
      <c r="X45" s="34">
        <f t="shared" si="24"/>
        <v>0</v>
      </c>
      <c r="Y45" s="34">
        <f t="shared" si="35"/>
        <v>1000</v>
      </c>
      <c r="Z45" s="34">
        <f t="shared" si="26"/>
        <v>0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34</v>
      </c>
      <c r="D46" s="30"/>
      <c r="E46" s="29">
        <v>0</v>
      </c>
      <c r="F46" s="29">
        <v>0</v>
      </c>
      <c r="G46" s="29">
        <v>0</v>
      </c>
      <c r="H46" s="29">
        <v>8000</v>
      </c>
      <c r="I46" s="29">
        <v>0</v>
      </c>
      <c r="J46" s="29" t="s">
        <v>58</v>
      </c>
      <c r="K46" s="29">
        <v>800</v>
      </c>
      <c r="L46" s="29" t="s">
        <v>210</v>
      </c>
      <c r="M46" s="32">
        <f t="shared" si="28"/>
        <v>0</v>
      </c>
      <c r="N46" s="33">
        <f t="shared" si="29"/>
        <v>1</v>
      </c>
      <c r="O46" s="33">
        <f t="shared" si="30"/>
        <v>0</v>
      </c>
      <c r="P46" s="33">
        <f t="shared" si="17"/>
        <v>1</v>
      </c>
      <c r="Q46" s="34">
        <f t="shared" si="31"/>
        <v>0</v>
      </c>
      <c r="R46" s="33">
        <f t="shared" si="19"/>
        <v>1</v>
      </c>
      <c r="S46" s="34">
        <f t="shared" si="32"/>
        <v>8000</v>
      </c>
      <c r="T46" s="34">
        <f t="shared" si="20"/>
        <v>1</v>
      </c>
      <c r="U46" s="34">
        <f t="shared" si="33"/>
        <v>0</v>
      </c>
      <c r="V46" s="34">
        <f t="shared" si="22"/>
        <v>1</v>
      </c>
      <c r="W46" s="34" t="str">
        <f t="shared" si="34"/>
        <v>BKN</v>
      </c>
      <c r="X46" s="34">
        <f t="shared" si="24"/>
        <v>1</v>
      </c>
      <c r="Y46" s="34">
        <f t="shared" si="35"/>
        <v>900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34</v>
      </c>
      <c r="D47" s="30"/>
      <c r="E47" s="29">
        <v>0</v>
      </c>
      <c r="F47" s="29">
        <v>0</v>
      </c>
      <c r="G47" s="29">
        <v>0</v>
      </c>
      <c r="H47" s="29">
        <v>8000</v>
      </c>
      <c r="I47" s="29">
        <v>0</v>
      </c>
      <c r="J47" s="29" t="s">
        <v>58</v>
      </c>
      <c r="K47" s="29">
        <v>800</v>
      </c>
      <c r="L47" s="29" t="s">
        <v>209</v>
      </c>
      <c r="M47" s="32">
        <f t="shared" si="14"/>
        <v>330</v>
      </c>
      <c r="N47" s="33">
        <f t="shared" si="15"/>
        <v>1</v>
      </c>
      <c r="O47" s="33">
        <f t="shared" si="16"/>
        <v>2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8000</v>
      </c>
      <c r="T47" s="34">
        <f t="shared" si="20"/>
        <v>1</v>
      </c>
      <c r="U47" s="34">
        <f t="shared" si="21"/>
        <v>0</v>
      </c>
      <c r="V47" s="34">
        <f t="shared" si="22"/>
        <v>1</v>
      </c>
      <c r="W47" s="34" t="str">
        <f t="shared" si="23"/>
        <v>BKN</v>
      </c>
      <c r="X47" s="34">
        <f t="shared" si="24"/>
        <v>1</v>
      </c>
      <c r="Y47" s="34">
        <f t="shared" si="25"/>
        <v>900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9</v>
      </c>
      <c r="W52" s="25"/>
      <c r="X52" s="25">
        <f>SUM(X36:X47)</f>
        <v>6</v>
      </c>
      <c r="Y52" s="25"/>
      <c r="Z52" s="25">
        <f>SUM(Z36:Z47)</f>
        <v>10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6</v>
      </c>
      <c r="O53" s="25"/>
      <c r="P53" s="25">
        <f>SUMIF($C36:$C47,"GENERAL",P36:P47)</f>
        <v>6</v>
      </c>
      <c r="Q53" s="25"/>
      <c r="R53" s="25">
        <f>SUMIF($C36:$C47,"GENERAL",R36:R47)</f>
        <v>6</v>
      </c>
      <c r="S53" s="25"/>
      <c r="T53" s="25">
        <f>SUMIF($C36:$C47,"GENERAL",T36:T47)</f>
        <v>3</v>
      </c>
      <c r="U53" s="25"/>
      <c r="V53" s="25">
        <f>SUMIF($C36:$C47,"GENERAL",V36:V47)</f>
        <v>3</v>
      </c>
      <c r="W53" s="25"/>
      <c r="X53" s="25">
        <f>SUMIF($C36:$C47,"GENERAL",X36:X47)</f>
        <v>4</v>
      </c>
      <c r="Y53" s="25"/>
      <c r="Z53" s="25">
        <f>SUMIF($C36:$C47,"GENERAL",Z36:Z47)</f>
        <v>6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6</v>
      </c>
      <c r="O54" s="25"/>
      <c r="P54" s="25">
        <f>SUMIF($C36:$C47,"BECMG",P36:P47)</f>
        <v>6</v>
      </c>
      <c r="Q54" s="25"/>
      <c r="R54" s="25">
        <f>SUMIF($C36:$C47,"BECMG",R36:R47)</f>
        <v>6</v>
      </c>
      <c r="S54" s="25"/>
      <c r="T54" s="25">
        <f>SUMIF($C36:$C47,"BECMG",T36:T47)</f>
        <v>6</v>
      </c>
      <c r="U54" s="25"/>
      <c r="V54" s="25">
        <f>SUMIF($C36:$C47,"BECMG",V36:V47)</f>
        <v>6</v>
      </c>
      <c r="W54" s="25"/>
      <c r="X54" s="25">
        <f>SUMIF($C36:$C47,"BECMG",X36:X47)</f>
        <v>2</v>
      </c>
      <c r="Y54" s="25"/>
      <c r="Z54" s="25">
        <f>SUMIF($C36:$C47,"BECMG",Z36:Z47)</f>
        <v>4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75</v>
      </c>
      <c r="W57" s="38"/>
      <c r="X57" s="38">
        <f>(SUM(X53:X56)/COUNTA(X36:X47))*100</f>
        <v>50</v>
      </c>
      <c r="Y57" s="38"/>
      <c r="Z57" s="38">
        <f>(SUM(Z53:Z56)/COUNTA(Z36:Z47))*100</f>
        <v>83.333333333333343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223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6</v>
      </c>
      <c r="B65" s="50">
        <v>0.5</v>
      </c>
      <c r="C65" s="29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58</v>
      </c>
      <c r="K65" s="51">
        <v>800</v>
      </c>
      <c r="L65" s="51" t="s">
        <v>213</v>
      </c>
      <c r="M65" s="32">
        <f t="shared" ref="M65:M76" si="36">IF(ISNUMBER(VALUE(FIND("VRB",L65))),999,VALUE(MID(L65,20,3)))</f>
        <v>0</v>
      </c>
      <c r="N65" s="33">
        <f t="shared" ref="N65:N76" si="37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8">VALUE(MID(L65,23,2))</f>
        <v>0</v>
      </c>
      <c r="P65" s="33">
        <f t="shared" ref="P65:P76" si="39">IF(ABS(O65-F65)&lt;11,1,0)</f>
        <v>1</v>
      </c>
      <c r="Q65" s="34">
        <f t="shared" ref="Q65:Q76" si="40">IF(MID(L65,25,1)="G","GUST",0)</f>
        <v>0</v>
      </c>
      <c r="R65" s="33">
        <f t="shared" ref="R65:R76" si="41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42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43">IF(AND(IFERROR(FIND("RA",L65),0)&gt;0, IFERROR(FIND("RA",L65),0)&lt;38),"RA",0)</f>
        <v>0</v>
      </c>
      <c r="V65" s="34">
        <f t="shared" ref="V65:V76" si="44">IF(U65=I65,1,0)</f>
        <v>1</v>
      </c>
      <c r="W65" s="34" t="str">
        <f t="shared" ref="W65:W76" si="45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SCT</v>
      </c>
      <c r="X65" s="34">
        <f t="shared" ref="X65:X76" si="46">IF(OR(AND(OR(J65="SKC",J65="FEW",J65="SCT"),OR(W65="SKC",W65="FEW",W65="SCT")),(AND(OR(J65="BKN",J65="OVC"),OR(W65="BKN",W65="OVC")))),1,0)</f>
        <v>0</v>
      </c>
      <c r="Y65" s="34">
        <f t="shared" ref="Y65:Y76" si="47">IF(ISNUMBER(VALUE(FIND("CAVOK",L65))),9999,IF(ISNUMBER(VALUE(FIND("NSC",L65))),9999,(MID(L65,(FIND(W65,L65)+4),2))*100))</f>
        <v>900</v>
      </c>
      <c r="Z65" s="34">
        <f t="shared" ref="Z65:Z76" si="48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58</v>
      </c>
      <c r="K66" s="51">
        <v>800</v>
      </c>
      <c r="L66" s="62" t="s">
        <v>379</v>
      </c>
      <c r="M66" s="32">
        <f t="shared" si="36"/>
        <v>50</v>
      </c>
      <c r="N66" s="33">
        <f t="shared" si="37"/>
        <v>1</v>
      </c>
      <c r="O66" s="33">
        <f t="shared" si="38"/>
        <v>2</v>
      </c>
      <c r="P66" s="33">
        <f t="shared" si="39"/>
        <v>1</v>
      </c>
      <c r="Q66" s="34">
        <f t="shared" si="40"/>
        <v>0</v>
      </c>
      <c r="R66" s="33">
        <f t="shared" si="41"/>
        <v>1</v>
      </c>
      <c r="S66" s="34">
        <f t="shared" ref="S66:S76" si="49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42"/>
        <v>1</v>
      </c>
      <c r="U66" s="34">
        <f t="shared" si="43"/>
        <v>0</v>
      </c>
      <c r="V66" s="34">
        <f t="shared" si="44"/>
        <v>1</v>
      </c>
      <c r="W66" s="34" t="str">
        <f t="shared" si="45"/>
        <v>SCT</v>
      </c>
      <c r="X66" s="34">
        <f t="shared" si="46"/>
        <v>0</v>
      </c>
      <c r="Y66" s="34">
        <f t="shared" si="47"/>
        <v>900</v>
      </c>
      <c r="Z66" s="34">
        <f t="shared" si="48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40</v>
      </c>
      <c r="D67" s="52"/>
      <c r="E67" s="51">
        <v>0</v>
      </c>
      <c r="F67" s="51">
        <v>0</v>
      </c>
      <c r="G67" s="51">
        <v>0</v>
      </c>
      <c r="H67" s="51">
        <v>4000</v>
      </c>
      <c r="I67" s="51" t="s">
        <v>52</v>
      </c>
      <c r="J67" s="51" t="s">
        <v>51</v>
      </c>
      <c r="K67" s="51">
        <v>900</v>
      </c>
      <c r="L67" s="51" t="s">
        <v>212</v>
      </c>
      <c r="M67" s="32">
        <f t="shared" si="36"/>
        <v>0</v>
      </c>
      <c r="N67" s="33">
        <f t="shared" si="37"/>
        <v>1</v>
      </c>
      <c r="O67" s="33">
        <f t="shared" si="38"/>
        <v>0</v>
      </c>
      <c r="P67" s="33">
        <f t="shared" si="39"/>
        <v>1</v>
      </c>
      <c r="Q67" s="34">
        <f t="shared" si="40"/>
        <v>0</v>
      </c>
      <c r="R67" s="33">
        <f t="shared" si="41"/>
        <v>1</v>
      </c>
      <c r="S67" s="34">
        <f t="shared" si="49"/>
        <v>8000</v>
      </c>
      <c r="T67" s="34">
        <f t="shared" si="42"/>
        <v>0</v>
      </c>
      <c r="U67" s="34">
        <f t="shared" si="43"/>
        <v>0</v>
      </c>
      <c r="V67" s="34">
        <f t="shared" si="44"/>
        <v>0</v>
      </c>
      <c r="W67" s="34" t="str">
        <f t="shared" si="45"/>
        <v>SCT</v>
      </c>
      <c r="X67" s="34">
        <f t="shared" si="46"/>
        <v>1</v>
      </c>
      <c r="Y67" s="34">
        <f t="shared" si="47"/>
        <v>1000</v>
      </c>
      <c r="Z67" s="34">
        <f t="shared" si="48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40</v>
      </c>
      <c r="D68" s="52"/>
      <c r="E68" s="51">
        <v>0</v>
      </c>
      <c r="F68" s="51">
        <v>0</v>
      </c>
      <c r="G68" s="51">
        <v>0</v>
      </c>
      <c r="H68" s="51">
        <v>4000</v>
      </c>
      <c r="I68" s="51" t="s">
        <v>52</v>
      </c>
      <c r="J68" s="51" t="s">
        <v>51</v>
      </c>
      <c r="K68" s="51">
        <v>900</v>
      </c>
      <c r="L68" s="51" t="s">
        <v>211</v>
      </c>
      <c r="M68" s="32">
        <f t="shared" si="36"/>
        <v>0</v>
      </c>
      <c r="N68" s="33">
        <f t="shared" si="37"/>
        <v>1</v>
      </c>
      <c r="O68" s="33">
        <f t="shared" si="38"/>
        <v>0</v>
      </c>
      <c r="P68" s="33">
        <f t="shared" si="39"/>
        <v>1</v>
      </c>
      <c r="Q68" s="34">
        <f t="shared" si="40"/>
        <v>0</v>
      </c>
      <c r="R68" s="33">
        <f t="shared" si="41"/>
        <v>1</v>
      </c>
      <c r="S68" s="34">
        <f t="shared" si="49"/>
        <v>8000</v>
      </c>
      <c r="T68" s="34">
        <f t="shared" si="42"/>
        <v>0</v>
      </c>
      <c r="U68" s="34">
        <f t="shared" si="43"/>
        <v>0</v>
      </c>
      <c r="V68" s="34">
        <f t="shared" si="44"/>
        <v>0</v>
      </c>
      <c r="W68" s="34" t="str">
        <f t="shared" si="45"/>
        <v>SCT</v>
      </c>
      <c r="X68" s="34">
        <f t="shared" si="46"/>
        <v>1</v>
      </c>
      <c r="Y68" s="34">
        <f t="shared" si="47"/>
        <v>1000</v>
      </c>
      <c r="Z68" s="34">
        <f t="shared" si="48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40</v>
      </c>
      <c r="D69" s="52"/>
      <c r="E69" s="51">
        <v>0</v>
      </c>
      <c r="F69" s="51">
        <v>0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900</v>
      </c>
      <c r="L69" s="51" t="s">
        <v>210</v>
      </c>
      <c r="M69" s="32">
        <f t="shared" si="36"/>
        <v>0</v>
      </c>
      <c r="N69" s="33">
        <f t="shared" si="37"/>
        <v>1</v>
      </c>
      <c r="O69" s="33">
        <f t="shared" si="38"/>
        <v>0</v>
      </c>
      <c r="P69" s="33">
        <f t="shared" si="39"/>
        <v>1</v>
      </c>
      <c r="Q69" s="34">
        <f t="shared" si="40"/>
        <v>0</v>
      </c>
      <c r="R69" s="33">
        <f t="shared" si="41"/>
        <v>1</v>
      </c>
      <c r="S69" s="34">
        <f t="shared" si="49"/>
        <v>8000</v>
      </c>
      <c r="T69" s="34">
        <f t="shared" si="42"/>
        <v>0</v>
      </c>
      <c r="U69" s="34">
        <f t="shared" si="43"/>
        <v>0</v>
      </c>
      <c r="V69" s="34">
        <f t="shared" si="44"/>
        <v>0</v>
      </c>
      <c r="W69" s="34" t="str">
        <f t="shared" si="45"/>
        <v>BKN</v>
      </c>
      <c r="X69" s="34">
        <f t="shared" si="46"/>
        <v>0</v>
      </c>
      <c r="Y69" s="34">
        <f t="shared" si="47"/>
        <v>900</v>
      </c>
      <c r="Z69" s="34">
        <f t="shared" si="48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40</v>
      </c>
      <c r="D70" s="52"/>
      <c r="E70" s="51">
        <v>0</v>
      </c>
      <c r="F70" s="51">
        <v>0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900</v>
      </c>
      <c r="L70" s="51" t="s">
        <v>209</v>
      </c>
      <c r="M70" s="32">
        <f t="shared" si="36"/>
        <v>330</v>
      </c>
      <c r="N70" s="33">
        <f t="shared" si="37"/>
        <v>1</v>
      </c>
      <c r="O70" s="33">
        <f t="shared" si="38"/>
        <v>2</v>
      </c>
      <c r="P70" s="33">
        <f t="shared" si="39"/>
        <v>1</v>
      </c>
      <c r="Q70" s="34">
        <f t="shared" si="40"/>
        <v>0</v>
      </c>
      <c r="R70" s="33">
        <f t="shared" si="41"/>
        <v>1</v>
      </c>
      <c r="S70" s="34">
        <f t="shared" si="49"/>
        <v>8000</v>
      </c>
      <c r="T70" s="34">
        <f t="shared" si="42"/>
        <v>0</v>
      </c>
      <c r="U70" s="34">
        <f t="shared" si="43"/>
        <v>0</v>
      </c>
      <c r="V70" s="34">
        <f t="shared" si="44"/>
        <v>0</v>
      </c>
      <c r="W70" s="34" t="str">
        <f t="shared" si="45"/>
        <v>BKN</v>
      </c>
      <c r="X70" s="34">
        <f t="shared" si="46"/>
        <v>0</v>
      </c>
      <c r="Y70" s="34">
        <f t="shared" si="47"/>
        <v>900</v>
      </c>
      <c r="Z70" s="34">
        <f t="shared" si="48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58</v>
      </c>
      <c r="K71" s="51">
        <v>800</v>
      </c>
      <c r="L71" s="51" t="s">
        <v>218</v>
      </c>
      <c r="M71" s="32">
        <f t="shared" si="36"/>
        <v>0</v>
      </c>
      <c r="N71" s="33">
        <f t="shared" si="37"/>
        <v>1</v>
      </c>
      <c r="O71" s="33">
        <f t="shared" si="38"/>
        <v>0</v>
      </c>
      <c r="P71" s="33">
        <f t="shared" si="39"/>
        <v>1</v>
      </c>
      <c r="Q71" s="34">
        <f t="shared" si="40"/>
        <v>0</v>
      </c>
      <c r="R71" s="33">
        <f t="shared" si="41"/>
        <v>1</v>
      </c>
      <c r="S71" s="34">
        <f t="shared" si="49"/>
        <v>8000</v>
      </c>
      <c r="T71" s="34">
        <f t="shared" si="42"/>
        <v>1</v>
      </c>
      <c r="U71" s="34">
        <f t="shared" si="43"/>
        <v>0</v>
      </c>
      <c r="V71" s="34">
        <f t="shared" si="44"/>
        <v>1</v>
      </c>
      <c r="W71" s="34" t="str">
        <f t="shared" si="45"/>
        <v>BKN</v>
      </c>
      <c r="X71" s="34">
        <f t="shared" si="46"/>
        <v>1</v>
      </c>
      <c r="Y71" s="34">
        <f t="shared" si="47"/>
        <v>900</v>
      </c>
      <c r="Z71" s="34">
        <f t="shared" si="48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58</v>
      </c>
      <c r="K72" s="51">
        <v>800</v>
      </c>
      <c r="L72" s="51" t="s">
        <v>219</v>
      </c>
      <c r="M72" s="32">
        <f t="shared" si="36"/>
        <v>0</v>
      </c>
      <c r="N72" s="33">
        <f t="shared" si="37"/>
        <v>1</v>
      </c>
      <c r="O72" s="33">
        <f t="shared" si="38"/>
        <v>0</v>
      </c>
      <c r="P72" s="33">
        <f t="shared" si="39"/>
        <v>1</v>
      </c>
      <c r="Q72" s="34">
        <f t="shared" si="40"/>
        <v>0</v>
      </c>
      <c r="R72" s="33">
        <f t="shared" si="41"/>
        <v>1</v>
      </c>
      <c r="S72" s="34">
        <f t="shared" si="49"/>
        <v>8000</v>
      </c>
      <c r="T72" s="34">
        <f t="shared" si="42"/>
        <v>1</v>
      </c>
      <c r="U72" s="34">
        <f t="shared" si="43"/>
        <v>0</v>
      </c>
      <c r="V72" s="34">
        <f t="shared" si="44"/>
        <v>1</v>
      </c>
      <c r="W72" s="34" t="str">
        <f t="shared" si="45"/>
        <v>BKN</v>
      </c>
      <c r="X72" s="34">
        <f t="shared" si="46"/>
        <v>1</v>
      </c>
      <c r="Y72" s="34">
        <f t="shared" si="47"/>
        <v>900</v>
      </c>
      <c r="Z72" s="34">
        <f t="shared" si="48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58</v>
      </c>
      <c r="K73" s="51">
        <v>800</v>
      </c>
      <c r="L73" s="51" t="s">
        <v>220</v>
      </c>
      <c r="M73" s="32">
        <f t="shared" si="36"/>
        <v>0</v>
      </c>
      <c r="N73" s="33">
        <f t="shared" si="37"/>
        <v>1</v>
      </c>
      <c r="O73" s="33">
        <f t="shared" si="38"/>
        <v>0</v>
      </c>
      <c r="P73" s="33">
        <f t="shared" si="39"/>
        <v>1</v>
      </c>
      <c r="Q73" s="34">
        <f t="shared" si="40"/>
        <v>0</v>
      </c>
      <c r="R73" s="33">
        <f t="shared" si="41"/>
        <v>1</v>
      </c>
      <c r="S73" s="34">
        <f t="shared" si="49"/>
        <v>8000</v>
      </c>
      <c r="T73" s="34">
        <f t="shared" si="42"/>
        <v>1</v>
      </c>
      <c r="U73" s="34">
        <f t="shared" si="43"/>
        <v>0</v>
      </c>
      <c r="V73" s="34">
        <f t="shared" si="44"/>
        <v>1</v>
      </c>
      <c r="W73" s="34" t="str">
        <f t="shared" si="45"/>
        <v>BKN</v>
      </c>
      <c r="X73" s="34">
        <f t="shared" si="46"/>
        <v>1</v>
      </c>
      <c r="Y73" s="34">
        <f t="shared" si="47"/>
        <v>900</v>
      </c>
      <c r="Z73" s="34">
        <f t="shared" si="48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58</v>
      </c>
      <c r="K74" s="51">
        <v>800</v>
      </c>
      <c r="L74" s="51" t="s">
        <v>221</v>
      </c>
      <c r="M74" s="32">
        <f t="shared" si="36"/>
        <v>0</v>
      </c>
      <c r="N74" s="33">
        <f t="shared" si="37"/>
        <v>1</v>
      </c>
      <c r="O74" s="33">
        <f t="shared" si="38"/>
        <v>0</v>
      </c>
      <c r="P74" s="33">
        <f t="shared" si="39"/>
        <v>1</v>
      </c>
      <c r="Q74" s="34">
        <f t="shared" si="40"/>
        <v>0</v>
      </c>
      <c r="R74" s="33">
        <f t="shared" si="41"/>
        <v>1</v>
      </c>
      <c r="S74" s="34">
        <f t="shared" si="49"/>
        <v>9000</v>
      </c>
      <c r="T74" s="34">
        <f t="shared" si="42"/>
        <v>1</v>
      </c>
      <c r="U74" s="34">
        <f t="shared" si="43"/>
        <v>0</v>
      </c>
      <c r="V74" s="34">
        <f t="shared" si="44"/>
        <v>1</v>
      </c>
      <c r="W74" s="34" t="str">
        <f t="shared" si="45"/>
        <v>BKN</v>
      </c>
      <c r="X74" s="34">
        <f t="shared" si="46"/>
        <v>1</v>
      </c>
      <c r="Y74" s="34">
        <f t="shared" si="47"/>
        <v>900</v>
      </c>
      <c r="Z74" s="34">
        <f t="shared" si="48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58</v>
      </c>
      <c r="K75" s="51">
        <v>800</v>
      </c>
      <c r="L75" s="51" t="s">
        <v>222</v>
      </c>
      <c r="M75" s="32">
        <f t="shared" si="36"/>
        <v>0</v>
      </c>
      <c r="N75" s="33">
        <f t="shared" si="37"/>
        <v>1</v>
      </c>
      <c r="O75" s="33">
        <f t="shared" si="38"/>
        <v>0</v>
      </c>
      <c r="P75" s="33">
        <f t="shared" si="39"/>
        <v>1</v>
      </c>
      <c r="Q75" s="34">
        <f t="shared" si="40"/>
        <v>0</v>
      </c>
      <c r="R75" s="33">
        <f t="shared" si="41"/>
        <v>1</v>
      </c>
      <c r="S75" s="34">
        <f t="shared" si="49"/>
        <v>8000</v>
      </c>
      <c r="T75" s="34">
        <f t="shared" si="42"/>
        <v>1</v>
      </c>
      <c r="U75" s="34">
        <f t="shared" si="43"/>
        <v>0</v>
      </c>
      <c r="V75" s="34">
        <f t="shared" si="44"/>
        <v>1</v>
      </c>
      <c r="W75" s="34" t="str">
        <f t="shared" si="45"/>
        <v>BKN</v>
      </c>
      <c r="X75" s="34">
        <f t="shared" si="46"/>
        <v>1</v>
      </c>
      <c r="Y75" s="34">
        <f t="shared" si="47"/>
        <v>900</v>
      </c>
      <c r="Z75" s="34">
        <f t="shared" si="48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34</v>
      </c>
      <c r="D76" s="52"/>
      <c r="E76" s="51">
        <v>130</v>
      </c>
      <c r="F76" s="51">
        <v>2</v>
      </c>
      <c r="G76" s="51">
        <v>0</v>
      </c>
      <c r="H76" s="51">
        <v>8000</v>
      </c>
      <c r="I76" s="51">
        <v>0</v>
      </c>
      <c r="J76" s="51" t="s">
        <v>58</v>
      </c>
      <c r="K76" s="51">
        <v>800</v>
      </c>
      <c r="L76" s="51" t="s">
        <v>225</v>
      </c>
      <c r="M76" s="32">
        <f t="shared" si="36"/>
        <v>110</v>
      </c>
      <c r="N76" s="33">
        <f t="shared" si="37"/>
        <v>1</v>
      </c>
      <c r="O76" s="33">
        <f t="shared" si="38"/>
        <v>2</v>
      </c>
      <c r="P76" s="33">
        <f t="shared" si="39"/>
        <v>1</v>
      </c>
      <c r="Q76" s="34">
        <f t="shared" si="40"/>
        <v>0</v>
      </c>
      <c r="R76" s="33">
        <f t="shared" si="41"/>
        <v>1</v>
      </c>
      <c r="S76" s="34">
        <f t="shared" si="49"/>
        <v>8000</v>
      </c>
      <c r="T76" s="34">
        <f t="shared" si="42"/>
        <v>1</v>
      </c>
      <c r="U76" s="34">
        <f t="shared" si="43"/>
        <v>0</v>
      </c>
      <c r="V76" s="34">
        <f t="shared" si="44"/>
        <v>1</v>
      </c>
      <c r="W76" s="34" t="str">
        <f t="shared" si="45"/>
        <v>BKN</v>
      </c>
      <c r="X76" s="34">
        <f t="shared" si="46"/>
        <v>1</v>
      </c>
      <c r="Y76" s="34">
        <f t="shared" si="47"/>
        <v>800</v>
      </c>
      <c r="Z76" s="34">
        <f t="shared" si="48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8</v>
      </c>
      <c r="U80" s="25"/>
      <c r="V80" s="25">
        <f>SUM(V64:V76)</f>
        <v>8</v>
      </c>
      <c r="W80" s="25"/>
      <c r="X80" s="25">
        <f>SUM(X64:X76)</f>
        <v>8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7</v>
      </c>
      <c r="O81" s="25"/>
      <c r="P81" s="25">
        <f>SUMIF($C64:$C76,"GENERAL",P64:P76)</f>
        <v>7</v>
      </c>
      <c r="Q81" s="25"/>
      <c r="R81" s="25">
        <f>SUMIF($C64:$C76,"GENERAL",R64:R76)</f>
        <v>7</v>
      </c>
      <c r="S81" s="25"/>
      <c r="T81" s="25">
        <f>SUMIF($C64:$C76,"GENERAL",T64:T76)</f>
        <v>7</v>
      </c>
      <c r="U81" s="25"/>
      <c r="V81" s="25">
        <f>SUMIF($C64:$C76,"GENERAL",V64:V76)</f>
        <v>7</v>
      </c>
      <c r="W81" s="25"/>
      <c r="X81" s="25">
        <f>SUMIF($C64:$C76,"GENERAL",X64:X76)</f>
        <v>5</v>
      </c>
      <c r="Y81" s="25"/>
      <c r="Z81" s="25">
        <f>SUMIF($C64:$C76,"GENERAL",Z64:Z76)</f>
        <v>7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1</v>
      </c>
      <c r="O82" s="25"/>
      <c r="P82" s="25">
        <f>SUMIF($C64:$C76,"BECMG",P64:P76)</f>
        <v>1</v>
      </c>
      <c r="Q82" s="25"/>
      <c r="R82" s="25">
        <f>SUMIF($C64:$C76,"BECMG",R64:R76)</f>
        <v>1</v>
      </c>
      <c r="S82" s="25"/>
      <c r="T82" s="25">
        <f>SUMIF($C64:$C76,"BECMG",T64:T76)</f>
        <v>1</v>
      </c>
      <c r="U82" s="25"/>
      <c r="V82" s="25">
        <f>SUMIF($C64:$C76,"BECMG",V64:V76)</f>
        <v>1</v>
      </c>
      <c r="W82" s="25"/>
      <c r="X82" s="25">
        <f>SUMIF($C64:$C76,"BECMG",X64:X76)</f>
        <v>1</v>
      </c>
      <c r="Y82" s="25"/>
      <c r="Z82" s="25">
        <f>SUMIF($C64:$C76,"BECMG",Z64:Z76)</f>
        <v>1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4</v>
      </c>
      <c r="M84" s="42">
        <f>SUMIF($C64:$C76,"TEMPO",N64:N76)</f>
        <v>4</v>
      </c>
      <c r="N84" s="42">
        <f>M84</f>
        <v>4</v>
      </c>
      <c r="O84" s="42">
        <f>SUMIF($C64:$C76,"TEMPO",P64:P76)</f>
        <v>4</v>
      </c>
      <c r="P84" s="42">
        <f>O84</f>
        <v>4</v>
      </c>
      <c r="Q84" s="42">
        <f>SUMIF($C64:$C76,"TEMPO",R64:R76)</f>
        <v>4</v>
      </c>
      <c r="R84" s="42">
        <f>Q84</f>
        <v>4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2</v>
      </c>
      <c r="X84" s="42">
        <f>W84</f>
        <v>2</v>
      </c>
      <c r="Y84" s="42">
        <f>SUMIF($C64:$C76,"TEMPO",Z64:Z76)</f>
        <v>4</v>
      </c>
      <c r="Z84" s="42">
        <f>Y84</f>
        <v>4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66.666666666666657</v>
      </c>
      <c r="U85" s="38"/>
      <c r="V85" s="38">
        <f>(SUM(V81:V84)/COUNTA(V64:V76))*100</f>
        <v>66.666666666666657</v>
      </c>
      <c r="W85" s="38"/>
      <c r="X85" s="38">
        <f>(SUM(X81:X84)/COUNTA(X64:X76))*100</f>
        <v>66.666666666666657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224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6</v>
      </c>
      <c r="B93" s="50">
        <v>0.75</v>
      </c>
      <c r="C93" s="29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s="51" t="s">
        <v>218</v>
      </c>
      <c r="M93" s="32">
        <f t="shared" ref="M93:M104" si="50">IF(ISNUMBER(VALUE(FIND("VRB",L93))),999,VALUE(MID(L93,20,3)))</f>
        <v>0</v>
      </c>
      <c r="N93" s="33">
        <f t="shared" ref="N93:N104" si="51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52">VALUE(MID(L93,23,2))</f>
        <v>0</v>
      </c>
      <c r="P93" s="33">
        <f t="shared" ref="P93:P104" si="53">IF(ABS(O93-F93)&lt;11,1,0)</f>
        <v>1</v>
      </c>
      <c r="Q93" s="34">
        <f t="shared" ref="Q93:Q104" si="54">IF(MID(L93,25,1)="G","GUST",0)</f>
        <v>0</v>
      </c>
      <c r="R93" s="33">
        <f t="shared" ref="R93:R104" si="55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104" si="56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57">IF(AND(IFERROR(FIND("RA",L93),0)&gt;0, IFERROR(FIND("RA",L93),0)&lt;38),"RA",0)</f>
        <v>0</v>
      </c>
      <c r="V93" s="34">
        <f t="shared" ref="V93:V104" si="58">IF(U93=I93,1,0)</f>
        <v>1</v>
      </c>
      <c r="W93" s="34" t="str">
        <f t="shared" ref="W93:W104" si="59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104" si="60">IF(OR(AND(OR(J93="SKC",J93="FEW",J93="SCT"),OR(W93="SKC",W93="FEW",W93="SCT")),(AND(OR(J93="BKN",J93="OVC"),OR(W93="BKN",W93="OVC")))),1,0)</f>
        <v>1</v>
      </c>
      <c r="Y93" s="34">
        <f t="shared" ref="Y93:Y104" si="61">IF(ISNUMBER(VALUE(FIND("CAVOK",L93))),9999,IF(ISNUMBER(VALUE(FIND("NSC",L93))),9999,(MID(L93,(FIND(W93,L93)+4),2))*100))</f>
        <v>900</v>
      </c>
      <c r="Z93" s="34">
        <f t="shared" ref="Z93:Z104" si="62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29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s="51" t="s">
        <v>219</v>
      </c>
      <c r="M94" s="32">
        <f t="shared" si="50"/>
        <v>0</v>
      </c>
      <c r="N94" s="33">
        <f t="shared" si="51"/>
        <v>1</v>
      </c>
      <c r="O94" s="33">
        <f t="shared" si="52"/>
        <v>0</v>
      </c>
      <c r="P94" s="33">
        <f t="shared" si="53"/>
        <v>1</v>
      </c>
      <c r="Q94" s="34">
        <f t="shared" si="54"/>
        <v>0</v>
      </c>
      <c r="R94" s="33">
        <f t="shared" si="55"/>
        <v>1</v>
      </c>
      <c r="S94" s="34">
        <f t="shared" ref="S94:S104" si="63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56"/>
        <v>1</v>
      </c>
      <c r="U94" s="34">
        <f t="shared" si="57"/>
        <v>0</v>
      </c>
      <c r="V94" s="34">
        <f t="shared" si="58"/>
        <v>1</v>
      </c>
      <c r="W94" s="34" t="str">
        <f t="shared" si="59"/>
        <v>BKN</v>
      </c>
      <c r="X94" s="34">
        <f t="shared" si="60"/>
        <v>1</v>
      </c>
      <c r="Y94" s="34">
        <f t="shared" si="61"/>
        <v>900</v>
      </c>
      <c r="Z94" s="34">
        <f t="shared" si="62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29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s="51" t="s">
        <v>220</v>
      </c>
      <c r="M95" s="32">
        <f t="shared" si="50"/>
        <v>0</v>
      </c>
      <c r="N95" s="33">
        <f t="shared" si="51"/>
        <v>1</v>
      </c>
      <c r="O95" s="33">
        <f t="shared" si="52"/>
        <v>0</v>
      </c>
      <c r="P95" s="33">
        <f t="shared" si="53"/>
        <v>1</v>
      </c>
      <c r="Q95" s="34">
        <f t="shared" si="54"/>
        <v>0</v>
      </c>
      <c r="R95" s="33">
        <f t="shared" si="55"/>
        <v>1</v>
      </c>
      <c r="S95" s="34">
        <f t="shared" si="63"/>
        <v>8000</v>
      </c>
      <c r="T95" s="34">
        <f t="shared" si="56"/>
        <v>1</v>
      </c>
      <c r="U95" s="34">
        <f t="shared" si="57"/>
        <v>0</v>
      </c>
      <c r="V95" s="34">
        <f t="shared" si="58"/>
        <v>1</v>
      </c>
      <c r="W95" s="34" t="str">
        <f t="shared" si="59"/>
        <v>BKN</v>
      </c>
      <c r="X95" s="34">
        <f t="shared" si="60"/>
        <v>1</v>
      </c>
      <c r="Y95" s="34">
        <f t="shared" si="61"/>
        <v>900</v>
      </c>
      <c r="Z95" s="34">
        <f t="shared" si="62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29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s="51" t="s">
        <v>221</v>
      </c>
      <c r="M96" s="32">
        <f t="shared" si="50"/>
        <v>0</v>
      </c>
      <c r="N96" s="33">
        <f t="shared" si="51"/>
        <v>1</v>
      </c>
      <c r="O96" s="33">
        <f t="shared" si="52"/>
        <v>0</v>
      </c>
      <c r="P96" s="33">
        <f t="shared" si="53"/>
        <v>1</v>
      </c>
      <c r="Q96" s="34">
        <f t="shared" si="54"/>
        <v>0</v>
      </c>
      <c r="R96" s="33">
        <f t="shared" si="55"/>
        <v>1</v>
      </c>
      <c r="S96" s="34">
        <f t="shared" si="63"/>
        <v>9000</v>
      </c>
      <c r="T96" s="34">
        <f t="shared" si="56"/>
        <v>1</v>
      </c>
      <c r="U96" s="34">
        <f t="shared" si="57"/>
        <v>0</v>
      </c>
      <c r="V96" s="34">
        <f t="shared" si="58"/>
        <v>1</v>
      </c>
      <c r="W96" s="34" t="str">
        <f t="shared" si="59"/>
        <v>BKN</v>
      </c>
      <c r="X96" s="34">
        <f t="shared" si="60"/>
        <v>1</v>
      </c>
      <c r="Y96" s="34">
        <f t="shared" si="61"/>
        <v>900</v>
      </c>
      <c r="Z96" s="34">
        <f t="shared" si="62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29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s="51" t="s">
        <v>222</v>
      </c>
      <c r="M97" s="32">
        <f t="shared" si="50"/>
        <v>0</v>
      </c>
      <c r="N97" s="33">
        <f t="shared" si="51"/>
        <v>1</v>
      </c>
      <c r="O97" s="33">
        <f t="shared" si="52"/>
        <v>0</v>
      </c>
      <c r="P97" s="33">
        <f t="shared" si="53"/>
        <v>1</v>
      </c>
      <c r="Q97" s="34">
        <f t="shared" si="54"/>
        <v>0</v>
      </c>
      <c r="R97" s="33">
        <f t="shared" si="55"/>
        <v>1</v>
      </c>
      <c r="S97" s="34">
        <f t="shared" si="63"/>
        <v>8000</v>
      </c>
      <c r="T97" s="34">
        <f t="shared" si="56"/>
        <v>1</v>
      </c>
      <c r="U97" s="34">
        <f t="shared" si="57"/>
        <v>0</v>
      </c>
      <c r="V97" s="34">
        <f t="shared" si="58"/>
        <v>1</v>
      </c>
      <c r="W97" s="34" t="str">
        <f t="shared" si="59"/>
        <v>BKN</v>
      </c>
      <c r="X97" s="34">
        <f t="shared" si="60"/>
        <v>1</v>
      </c>
      <c r="Y97" s="34">
        <f t="shared" si="61"/>
        <v>900</v>
      </c>
      <c r="Z97" s="34">
        <f t="shared" si="62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29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s="51" t="s">
        <v>225</v>
      </c>
      <c r="M98" s="32">
        <f t="shared" si="50"/>
        <v>110</v>
      </c>
      <c r="N98" s="33">
        <f t="shared" si="51"/>
        <v>1</v>
      </c>
      <c r="O98" s="33">
        <f t="shared" si="52"/>
        <v>2</v>
      </c>
      <c r="P98" s="33">
        <f t="shared" si="53"/>
        <v>1</v>
      </c>
      <c r="Q98" s="34">
        <f t="shared" si="54"/>
        <v>0</v>
      </c>
      <c r="R98" s="33">
        <f t="shared" si="55"/>
        <v>1</v>
      </c>
      <c r="S98" s="34">
        <f t="shared" si="63"/>
        <v>8000</v>
      </c>
      <c r="T98" s="34">
        <f t="shared" si="56"/>
        <v>1</v>
      </c>
      <c r="U98" s="34">
        <f t="shared" si="57"/>
        <v>0</v>
      </c>
      <c r="V98" s="34">
        <f t="shared" si="58"/>
        <v>1</v>
      </c>
      <c r="W98" s="34" t="str">
        <f t="shared" si="59"/>
        <v>BKN</v>
      </c>
      <c r="X98" s="34">
        <f t="shared" si="60"/>
        <v>1</v>
      </c>
      <c r="Y98" s="34">
        <f t="shared" si="61"/>
        <v>800</v>
      </c>
      <c r="Z98" s="34">
        <f t="shared" si="62"/>
        <v>1</v>
      </c>
      <c r="AA98" s="25"/>
      <c r="AB98" s="25"/>
      <c r="AC98" s="25"/>
      <c r="AD98" s="25"/>
      <c r="AE98" s="25"/>
    </row>
    <row r="99" spans="1:31" ht="16.5">
      <c r="A99" s="55">
        <v>7</v>
      </c>
      <c r="B99" s="54">
        <v>0</v>
      </c>
      <c r="C99" s="29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s="51" t="s">
        <v>226</v>
      </c>
      <c r="M99" s="32">
        <f t="shared" si="50"/>
        <v>300</v>
      </c>
      <c r="N99" s="33">
        <f t="shared" si="51"/>
        <v>1</v>
      </c>
      <c r="O99" s="33">
        <f t="shared" si="52"/>
        <v>4</v>
      </c>
      <c r="P99" s="33">
        <f t="shared" si="53"/>
        <v>1</v>
      </c>
      <c r="Q99" s="34">
        <f t="shared" si="54"/>
        <v>0</v>
      </c>
      <c r="R99" s="33">
        <f t="shared" si="55"/>
        <v>1</v>
      </c>
      <c r="S99" s="34">
        <f t="shared" si="63"/>
        <v>8000</v>
      </c>
      <c r="T99" s="34">
        <f t="shared" si="56"/>
        <v>1</v>
      </c>
      <c r="U99" s="34">
        <f t="shared" si="57"/>
        <v>0</v>
      </c>
      <c r="V99" s="34">
        <f t="shared" si="58"/>
        <v>1</v>
      </c>
      <c r="W99" s="34" t="str">
        <f t="shared" si="59"/>
        <v>BKN</v>
      </c>
      <c r="X99" s="34">
        <f t="shared" si="60"/>
        <v>1</v>
      </c>
      <c r="Y99" s="34">
        <f t="shared" si="61"/>
        <v>800</v>
      </c>
      <c r="Z99" s="34">
        <f t="shared" si="62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29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s="51" t="s">
        <v>227</v>
      </c>
      <c r="M100" s="32">
        <f t="shared" si="50"/>
        <v>320</v>
      </c>
      <c r="N100" s="33">
        <f t="shared" si="51"/>
        <v>1</v>
      </c>
      <c r="O100" s="33">
        <f t="shared" si="52"/>
        <v>3</v>
      </c>
      <c r="P100" s="33">
        <f t="shared" si="53"/>
        <v>1</v>
      </c>
      <c r="Q100" s="34">
        <f t="shared" si="54"/>
        <v>0</v>
      </c>
      <c r="R100" s="33">
        <f t="shared" si="55"/>
        <v>1</v>
      </c>
      <c r="S100" s="34">
        <f t="shared" si="63"/>
        <v>8000</v>
      </c>
      <c r="T100" s="34">
        <f t="shared" si="56"/>
        <v>1</v>
      </c>
      <c r="U100" s="34">
        <f t="shared" si="57"/>
        <v>0</v>
      </c>
      <c r="V100" s="34">
        <f t="shared" si="58"/>
        <v>1</v>
      </c>
      <c r="W100" s="34" t="str">
        <f t="shared" si="59"/>
        <v>BKN</v>
      </c>
      <c r="X100" s="34">
        <f t="shared" si="60"/>
        <v>1</v>
      </c>
      <c r="Y100" s="34">
        <f t="shared" si="61"/>
        <v>800</v>
      </c>
      <c r="Z100" s="34">
        <f t="shared" si="62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29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s="51" t="s">
        <v>228</v>
      </c>
      <c r="M101" s="32">
        <f t="shared" si="50"/>
        <v>300</v>
      </c>
      <c r="N101" s="33">
        <f t="shared" si="51"/>
        <v>1</v>
      </c>
      <c r="O101" s="33">
        <f t="shared" si="52"/>
        <v>4</v>
      </c>
      <c r="P101" s="33">
        <f t="shared" si="53"/>
        <v>1</v>
      </c>
      <c r="Q101" s="34">
        <f t="shared" si="54"/>
        <v>0</v>
      </c>
      <c r="R101" s="33">
        <f t="shared" si="55"/>
        <v>1</v>
      </c>
      <c r="S101" s="34">
        <f t="shared" si="63"/>
        <v>8000</v>
      </c>
      <c r="T101" s="34">
        <f t="shared" si="56"/>
        <v>1</v>
      </c>
      <c r="U101" s="34">
        <f t="shared" si="57"/>
        <v>0</v>
      </c>
      <c r="V101" s="34">
        <f t="shared" si="58"/>
        <v>1</v>
      </c>
      <c r="W101" s="34" t="str">
        <f t="shared" si="59"/>
        <v>BKN</v>
      </c>
      <c r="X101" s="34">
        <f t="shared" si="60"/>
        <v>1</v>
      </c>
      <c r="Y101" s="34">
        <f t="shared" si="61"/>
        <v>800</v>
      </c>
      <c r="Z101" s="34">
        <f t="shared" si="62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29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s="51" t="s">
        <v>229</v>
      </c>
      <c r="M102" s="32">
        <f t="shared" si="50"/>
        <v>50</v>
      </c>
      <c r="N102" s="33">
        <f t="shared" si="51"/>
        <v>1</v>
      </c>
      <c r="O102" s="33">
        <f t="shared" si="52"/>
        <v>2</v>
      </c>
      <c r="P102" s="33">
        <f t="shared" si="53"/>
        <v>1</v>
      </c>
      <c r="Q102" s="34">
        <f t="shared" si="54"/>
        <v>0</v>
      </c>
      <c r="R102" s="33">
        <f t="shared" si="55"/>
        <v>1</v>
      </c>
      <c r="S102" s="34">
        <f t="shared" si="63"/>
        <v>5000</v>
      </c>
      <c r="T102" s="34">
        <f t="shared" si="56"/>
        <v>1</v>
      </c>
      <c r="U102" s="34" t="str">
        <f t="shared" si="57"/>
        <v>RA</v>
      </c>
      <c r="V102" s="34">
        <f t="shared" si="58"/>
        <v>0</v>
      </c>
      <c r="W102" s="34" t="str">
        <f t="shared" si="59"/>
        <v>BKN</v>
      </c>
      <c r="X102" s="34">
        <f t="shared" si="60"/>
        <v>1</v>
      </c>
      <c r="Y102" s="34">
        <f t="shared" si="61"/>
        <v>800</v>
      </c>
      <c r="Z102" s="34">
        <f t="shared" si="62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29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t="s">
        <v>234</v>
      </c>
      <c r="M103" s="32">
        <f t="shared" si="50"/>
        <v>10</v>
      </c>
      <c r="N103" s="33">
        <f t="shared" si="51"/>
        <v>1</v>
      </c>
      <c r="O103" s="33">
        <f t="shared" si="52"/>
        <v>2</v>
      </c>
      <c r="P103" s="33">
        <f t="shared" si="53"/>
        <v>1</v>
      </c>
      <c r="Q103" s="34">
        <f t="shared" si="54"/>
        <v>0</v>
      </c>
      <c r="R103" s="33">
        <f t="shared" si="55"/>
        <v>1</v>
      </c>
      <c r="S103" s="34">
        <f t="shared" si="63"/>
        <v>8000</v>
      </c>
      <c r="T103" s="34">
        <f t="shared" si="56"/>
        <v>1</v>
      </c>
      <c r="U103" s="34">
        <f t="shared" si="57"/>
        <v>0</v>
      </c>
      <c r="V103" s="34">
        <f t="shared" si="58"/>
        <v>1</v>
      </c>
      <c r="W103" s="34" t="str">
        <f t="shared" si="59"/>
        <v>FEW</v>
      </c>
      <c r="X103" s="34">
        <f t="shared" si="60"/>
        <v>0</v>
      </c>
      <c r="Y103" s="34">
        <f t="shared" si="61"/>
        <v>800</v>
      </c>
      <c r="Z103" s="34">
        <f t="shared" si="62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29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s="29" t="s">
        <v>233</v>
      </c>
      <c r="M104" s="32">
        <f t="shared" si="50"/>
        <v>110</v>
      </c>
      <c r="N104" s="33">
        <f t="shared" si="51"/>
        <v>1</v>
      </c>
      <c r="O104" s="33">
        <f t="shared" si="52"/>
        <v>4</v>
      </c>
      <c r="P104" s="33">
        <f t="shared" si="53"/>
        <v>1</v>
      </c>
      <c r="Q104" s="34">
        <f t="shared" si="54"/>
        <v>0</v>
      </c>
      <c r="R104" s="33">
        <f t="shared" si="55"/>
        <v>1</v>
      </c>
      <c r="S104" s="34">
        <f t="shared" si="63"/>
        <v>5000</v>
      </c>
      <c r="T104" s="34">
        <f t="shared" si="56"/>
        <v>1</v>
      </c>
      <c r="U104" s="34">
        <f t="shared" si="57"/>
        <v>0</v>
      </c>
      <c r="V104" s="34">
        <f t="shared" si="58"/>
        <v>1</v>
      </c>
      <c r="W104" s="34" t="str">
        <f t="shared" si="59"/>
        <v>FEW</v>
      </c>
      <c r="X104" s="34">
        <f t="shared" si="60"/>
        <v>0</v>
      </c>
      <c r="Y104" s="34">
        <f t="shared" si="61"/>
        <v>800</v>
      </c>
      <c r="Z104" s="34">
        <f t="shared" si="62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11</v>
      </c>
      <c r="W109" s="25"/>
      <c r="X109" s="25">
        <f>SUM(X93:X104)</f>
        <v>10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11</v>
      </c>
      <c r="W110" s="25"/>
      <c r="X110" s="25">
        <f>SUMIF($C93:$C104,"GENERAL",X93:X104)</f>
        <v>10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91.666666666666657</v>
      </c>
      <c r="W114" s="38"/>
      <c r="X114" s="38">
        <f>(SUM(X110:X113)/COUNTA(X93:X104))*100</f>
        <v>83.333333333333343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0D685-33FA-0C43-89F7-FDA843309906}">
  <sheetPr>
    <tabColor theme="0"/>
  </sheetPr>
  <dimension ref="A1:AE115"/>
  <sheetViews>
    <sheetView topLeftCell="A4" zoomScale="70" zoomScaleNormal="70" workbookViewId="0">
      <selection activeCell="L22" sqref="L22"/>
    </sheetView>
  </sheetViews>
  <sheetFormatPr defaultColWidth="11.5" defaultRowHeight="15.75"/>
  <cols>
    <col min="12" max="12" width="43.7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230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7</v>
      </c>
      <c r="B7" s="28">
        <v>0</v>
      </c>
      <c r="C7" s="29" t="s">
        <v>39</v>
      </c>
      <c r="D7" s="29"/>
      <c r="E7" s="29">
        <v>110</v>
      </c>
      <c r="F7" s="29">
        <v>2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29" t="s">
        <v>226</v>
      </c>
      <c r="M7" s="32">
        <f t="shared" ref="M7:M12" si="0">IF(ISNUMBER(VALUE(FIND("VRB",L7))),999,VALUE(MID(L7,20,3)))</f>
        <v>300</v>
      </c>
      <c r="N7" s="33">
        <f t="shared" ref="N7:N12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2" si="2">VALUE(MID(L7,23,2))</f>
        <v>4</v>
      </c>
      <c r="P7" s="33">
        <f t="shared" ref="P7:P12" si="3">IF(ABS(O7-F7)&lt;11,1,0)</f>
        <v>1</v>
      </c>
      <c r="Q7" s="34">
        <f t="shared" ref="Q7:Q12" si="4">IF(MID(L7,25,1)="G","GUST",0)</f>
        <v>0</v>
      </c>
      <c r="R7" s="33">
        <f t="shared" ref="R7:R12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2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2" si="7">IF(AND(IFERROR(FIND("RA",L7),0)&gt;0, IFERROR(FIND("RA",L7),0)&lt;38),"RA",0)</f>
        <v>0</v>
      </c>
      <c r="V7" s="34">
        <f t="shared" ref="V7:V12" si="8">IF(U7=I7,1,0)</f>
        <v>1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2" si="10">IF(OR(AND(OR(J7="SKC",J7="FEW",J7="SCT"),OR(W7="SKC",W7="FEW",W7="SCT")),(AND(OR(J7="BKN",J7="OVC"),OR(W7="BKN",W7="OVC")))),1,0)</f>
        <v>1</v>
      </c>
      <c r="Y7" s="34">
        <f t="shared" ref="Y7:Y12" si="11">IF(ISNUMBER(VALUE(FIND("CAVOK",L7))),9999,IF(ISNUMBER(VALUE(FIND("NSC",L7))),9999,(MID(L7,(FIND(W7,L7)+4),2))*100))</f>
        <v>800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110</v>
      </c>
      <c r="F8" s="29">
        <v>2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29" t="s">
        <v>227</v>
      </c>
      <c r="M8" s="32">
        <f t="shared" si="0"/>
        <v>320</v>
      </c>
      <c r="N8" s="33">
        <f t="shared" si="1"/>
        <v>1</v>
      </c>
      <c r="O8" s="33">
        <f t="shared" si="2"/>
        <v>3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2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110</v>
      </c>
      <c r="F9" s="29">
        <v>2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29" t="s">
        <v>228</v>
      </c>
      <c r="M9" s="32">
        <f t="shared" si="0"/>
        <v>300</v>
      </c>
      <c r="N9" s="33">
        <f t="shared" si="1"/>
        <v>1</v>
      </c>
      <c r="O9" s="33">
        <f t="shared" si="2"/>
        <v>4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800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110</v>
      </c>
      <c r="F10" s="29">
        <v>2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29" t="s">
        <v>229</v>
      </c>
      <c r="M10" s="32">
        <f t="shared" si="0"/>
        <v>50</v>
      </c>
      <c r="N10" s="33">
        <f t="shared" si="1"/>
        <v>1</v>
      </c>
      <c r="O10" s="33">
        <f t="shared" si="2"/>
        <v>2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5000</v>
      </c>
      <c r="T10" s="34">
        <f t="shared" si="6"/>
        <v>1</v>
      </c>
      <c r="U10" s="34" t="str">
        <f t="shared" si="7"/>
        <v>RA</v>
      </c>
      <c r="V10" s="34">
        <f t="shared" si="8"/>
        <v>0</v>
      </c>
      <c r="W10" s="34" t="str">
        <f t="shared" si="9"/>
        <v>BKN</v>
      </c>
      <c r="X10" s="34">
        <f t="shared" si="10"/>
        <v>1</v>
      </c>
      <c r="Y10" s="34">
        <f t="shared" si="11"/>
        <v>800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110</v>
      </c>
      <c r="F11" s="29">
        <v>2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t="s">
        <v>234</v>
      </c>
      <c r="M11" s="32">
        <f>IF(ISNUMBER(VALUE(FIND("VRB",L13))),999,VALUE(MID(L13,20,3)))</f>
        <v>340</v>
      </c>
      <c r="N11" s="33">
        <f>IF(OR(ABS(E11-M11)&lt;61,AND(ABS(E11-M11)&gt;60,O11&lt;10),E11=M11,AND(E11=999,ISNUMBER(VALUE(FIND("TS",L13)))),AND(E11=999,ISNUMBER(VALUE(FIND("CB",L13)))),AND(E11=999,O11&lt;10),AND(F11&lt;10,M11=999,O11&lt;10)),1,0)</f>
        <v>1</v>
      </c>
      <c r="O11" s="33">
        <f>VALUE(MID(L13,23,2))</f>
        <v>3</v>
      </c>
      <c r="P11" s="33">
        <f t="shared" si="3"/>
        <v>1</v>
      </c>
      <c r="Q11" s="34">
        <f>IF(MID(L13,25,1)="G","GUST",0)</f>
        <v>0</v>
      </c>
      <c r="R11" s="33">
        <f t="shared" si="5"/>
        <v>1</v>
      </c>
      <c r="S11" s="34">
        <f>IF(ISNUMBER(VALUE(MID(L13,(FIND("KT",L13,FIND("Z",L13))+3),4))),VALUE(MID(L13,(FIND("KT",L13,FIND("Z",L13))+3),4)),IF(ISNUMBER(VALUE(MID(L13,(FIND("0V",L13)+6),4))),VALUE(MID(L13,(FIND("0V",L13)+6),4)),9999))</f>
        <v>7000</v>
      </c>
      <c r="T11" s="34">
        <f t="shared" si="6"/>
        <v>1</v>
      </c>
      <c r="U11" s="34">
        <f>IF(AND(IFERROR(FIND("RA",L13),0)&gt;0, IFERROR(FIND("RA",L13),0)&lt;38),"RA",0)</f>
        <v>0</v>
      </c>
      <c r="V11" s="34">
        <f t="shared" si="8"/>
        <v>1</v>
      </c>
      <c r="W11" s="34" t="str">
        <f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FEW</v>
      </c>
      <c r="X11" s="34">
        <f t="shared" si="10"/>
        <v>0</v>
      </c>
      <c r="Y11" s="34">
        <f>IF(ISNUMBER(VALUE(FIND("CAVOK",L13))),9999,IF(ISNUMBER(VALUE(FIND("NSC",L13))),9999,(MID(L13,(FIND(W11,L13)+4),2))*100))</f>
        <v>800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110</v>
      </c>
      <c r="F12" s="29">
        <v>2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29" t="s">
        <v>233</v>
      </c>
      <c r="M12" s="32">
        <f t="shared" si="0"/>
        <v>110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5000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FEW</v>
      </c>
      <c r="X12" s="34">
        <f t="shared" si="10"/>
        <v>0</v>
      </c>
      <c r="Y12" s="34">
        <f t="shared" si="11"/>
        <v>800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110</v>
      </c>
      <c r="F13" s="29">
        <v>2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29" t="s">
        <v>232</v>
      </c>
      <c r="M13" s="32">
        <f t="shared" ref="M13" si="14">IF(ISNUMBER(VALUE(FIND("VRB",L15))),999,VALUE(MID(L15,20,3)))</f>
        <v>310</v>
      </c>
      <c r="N13" s="33">
        <f t="shared" ref="N13" si="15">IF(OR(ABS(E13-M13)&lt;61,AND(ABS(E13-M13)&gt;60,O13&lt;10),E13=M13,AND(E13=999,ISNUMBER(VALUE(FIND("TS",L15)))),AND(E13=999,ISNUMBER(VALUE(FIND("CB",L15)))),AND(E13=999,O13&lt;10),AND(F13&lt;10,M13=999,O13&lt;10)),1,0)</f>
        <v>1</v>
      </c>
      <c r="O13" s="33">
        <f t="shared" ref="O13" si="16">VALUE(MID(L15,23,2))</f>
        <v>3</v>
      </c>
      <c r="P13" s="33">
        <f t="shared" ref="P13:P16" si="17">IF(ABS(O13-F13)&lt;11,1,0)</f>
        <v>1</v>
      </c>
      <c r="Q13" s="34">
        <f t="shared" ref="Q13" si="18">IF(MID(L15,25,1)="G","GUST",0)</f>
        <v>0</v>
      </c>
      <c r="R13" s="33">
        <f t="shared" ref="R13:R16" si="19">IF(G13=Q13,1,0)</f>
        <v>1</v>
      </c>
      <c r="S13" s="34">
        <f t="shared" ref="S13" si="20">IF(ISNUMBER(VALUE(MID(L15,(FIND("KT",L15,FIND("Z",L15))+3),4))),VALUE(MID(L15,(FIND("KT",L15,FIND("Z",L15))+3),4)),IF(ISNUMBER(VALUE(MID(L15,(FIND("0V",L15)+6),4))),VALUE(MID(L15,(FIND("0V",L15)+6),4)),9999))</f>
        <v>5000</v>
      </c>
      <c r="T13" s="34">
        <f t="shared" ref="T13:T16" si="21">IF(OR(AND(H13&lt;801,S13&lt;801),AND(H13&gt;799,H13&lt;1501,S13&gt;799,S13&lt;1502),AND(H13&gt;1499,H13&lt;3001,S13&gt;1499,S13&lt;3001),AND(H13&gt;2999,H13&lt;5001,S13&gt;2999,S13&lt;5001),AND(H13&gt;4999,S13&gt;4999)),1,0)</f>
        <v>1</v>
      </c>
      <c r="U13" s="34">
        <f t="shared" ref="U13" si="22">IF(AND(IFERROR(FIND("RA",L15),0)&gt;0, IFERROR(FIND("RA",L15),0)&lt;38),"RA",0)</f>
        <v>0</v>
      </c>
      <c r="V13" s="34">
        <f t="shared" ref="V13:V16" si="23">IF(U13=I13,1,0)</f>
        <v>1</v>
      </c>
      <c r="W13" s="34" t="str">
        <f t="shared" ref="W13" si="24"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FEW</v>
      </c>
      <c r="X13" s="34">
        <f t="shared" ref="X13:X16" si="25">IF(OR(AND(OR(J13="SKC",J13="FEW",J13="SCT"),OR(W13="SKC",W13="FEW",W13="SCT")),(AND(OR(J13="BKN",J13="OVC"),OR(W13="BKN",W13="OVC")))),1,0)</f>
        <v>0</v>
      </c>
      <c r="Y13" s="34">
        <f t="shared" ref="Y13" si="26">IF(ISNUMBER(VALUE(FIND("CAVOK",L15))),9999,IF(ISNUMBER(VALUE(FIND("NSC",L15))),9999,(MID(L15,(FIND(W13,L15)+4),2))*100))</f>
        <v>800</v>
      </c>
      <c r="Z13" s="34">
        <f t="shared" ref="Z13:Z16" si="27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110</v>
      </c>
      <c r="F14" s="29">
        <v>2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29" t="s">
        <v>235</v>
      </c>
      <c r="M14" s="32">
        <f t="shared" ref="M14" si="28">IF(ISNUMBER(VALUE(FIND("VRB",L14))),999,VALUE(MID(L14,20,3)))</f>
        <v>310</v>
      </c>
      <c r="N14" s="33">
        <f t="shared" ref="N14" si="29">IF(OR(ABS(E14-M14)&lt;61,AND(ABS(E14-M14)&gt;60,O14&lt;10),E14=M14,AND(E14=999,ISNUMBER(VALUE(FIND("TS",L14)))),AND(E14=999,ISNUMBER(VALUE(FIND("CB",L14)))),AND(E14=999,O14&lt;10),AND(F14&lt;10,M14=999,O14&lt;10)),1,0)</f>
        <v>1</v>
      </c>
      <c r="O14" s="33">
        <f t="shared" ref="O14" si="30">VALUE(MID(L14,23,2))</f>
        <v>3</v>
      </c>
      <c r="P14" s="33">
        <f t="shared" si="17"/>
        <v>1</v>
      </c>
      <c r="Q14" s="34">
        <f t="shared" ref="Q14" si="31">IF(MID(L14,25,1)="G","GUST",0)</f>
        <v>0</v>
      </c>
      <c r="R14" s="33">
        <f t="shared" si="19"/>
        <v>1</v>
      </c>
      <c r="S14" s="34">
        <f t="shared" ref="S14" si="32">IF(ISNUMBER(VALUE(MID(L14,(FIND("KT",L14,FIND("Z",L14))+3),4))),VALUE(MID(L14,(FIND("KT",L14,FIND("Z",L14))+3),4)),IF(ISNUMBER(VALUE(MID(L14,(FIND("0V",L14)+6),4))),VALUE(MID(L14,(FIND("0V",L14)+6),4)),9999))</f>
        <v>8000</v>
      </c>
      <c r="T14" s="34">
        <f t="shared" si="21"/>
        <v>1</v>
      </c>
      <c r="U14" s="34">
        <f t="shared" ref="U14" si="33">IF(AND(IFERROR(FIND("RA",L14),0)&gt;0, IFERROR(FIND("RA",L14),0)&lt;38),"RA",0)</f>
        <v>0</v>
      </c>
      <c r="V14" s="34">
        <f t="shared" si="23"/>
        <v>1</v>
      </c>
      <c r="W14" s="34" t="str">
        <f t="shared" ref="W14" si="34">IF(ISNUMBER(VALUE(FIND("FEW",L14))),"FEW",IF(ISNUMBER(VALUE(FIND("SCT",L14))),"SCT",IF(ISNUMBER(VALUE(FIND("BKN",L14))),"BKN",IF(ISNUMBER(VALUE(FIND("OVC",L14))),"OVC",IF(ISNUMBER(VALUE(FIND("SKC",L14))),"SKC",IF(ISNUMBER(VALUE(FIND("CAVOK",L14))),"SKC",IF(ISNUMBER(VALUE(FIND("NSC",L14))),"SKC","EROR")))))))</f>
        <v>FEW</v>
      </c>
      <c r="X14" s="34">
        <f t="shared" si="25"/>
        <v>0</v>
      </c>
      <c r="Y14" s="34">
        <f t="shared" ref="Y14" si="35">IF(ISNUMBER(VALUE(FIND("CAVOK",L14))),9999,IF(ISNUMBER(VALUE(FIND("NSC",L14))),9999,(MID(L14,(FIND(W14,L14)+4),2))*100))</f>
        <v>800</v>
      </c>
      <c r="Z14" s="34">
        <f t="shared" si="27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110</v>
      </c>
      <c r="F15" s="29">
        <v>2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t="s">
        <v>239</v>
      </c>
      <c r="M15" s="32">
        <f t="shared" ref="M15" si="36">IF(ISNUMBER(VALUE(FIND("VRB",L17))),999,VALUE(MID(L17,20,3)))</f>
        <v>210</v>
      </c>
      <c r="N15" s="33">
        <f t="shared" ref="N15" si="37">IF(OR(ABS(E15-M15)&lt;61,AND(ABS(E15-M15)&gt;60,O15&lt;10),E15=M15,AND(E15=999,ISNUMBER(VALUE(FIND("TS",L17)))),AND(E15=999,ISNUMBER(VALUE(FIND("CB",L17)))),AND(E15=999,O15&lt;10),AND(F15&lt;10,M15=999,O15&lt;10)),1,0)</f>
        <v>1</v>
      </c>
      <c r="O15" s="33">
        <f t="shared" ref="O15" si="38">VALUE(MID(L17,23,2))</f>
        <v>2</v>
      </c>
      <c r="P15" s="33">
        <f t="shared" si="17"/>
        <v>1</v>
      </c>
      <c r="Q15" s="34">
        <f t="shared" ref="Q15" si="39">IF(MID(L17,25,1)="G","GUST",0)</f>
        <v>0</v>
      </c>
      <c r="R15" s="33">
        <f t="shared" si="19"/>
        <v>1</v>
      </c>
      <c r="S15" s="34">
        <f t="shared" ref="S15" si="40">IF(ISNUMBER(VALUE(MID(L17,(FIND("KT",L17,FIND("Z",L17))+3),4))),VALUE(MID(L17,(FIND("KT",L17,FIND("Z",L17))+3),4)),IF(ISNUMBER(VALUE(MID(L17,(FIND("0V",L17)+6),4))),VALUE(MID(L17,(FIND("0V",L17)+6),4)),9999))</f>
        <v>8000</v>
      </c>
      <c r="T15" s="34">
        <f t="shared" si="21"/>
        <v>1</v>
      </c>
      <c r="U15" s="34">
        <f t="shared" ref="U15" si="41">IF(AND(IFERROR(FIND("RA",L17),0)&gt;0, IFERROR(FIND("RA",L17),0)&lt;38),"RA",0)</f>
        <v>0</v>
      </c>
      <c r="V15" s="34">
        <f t="shared" si="23"/>
        <v>1</v>
      </c>
      <c r="W15" s="34" t="str">
        <f t="shared" ref="W15" si="42">IF(ISNUMBER(VALUE(FIND("FEW",L17))),"FEW",IF(ISNUMBER(VALUE(FIND("SCT",L17))),"SCT",IF(ISNUMBER(VALUE(FIND("BKN",L17))),"BKN",IF(ISNUMBER(VALUE(FIND("OVC",L17))),"OVC",IF(ISNUMBER(VALUE(FIND("SKC",L17))),"SKC",IF(ISNUMBER(VALUE(FIND("CAVOK",L17))),"SKC",IF(ISNUMBER(VALUE(FIND("NSC",L17))),"SKC","EROR")))))))</f>
        <v>FEW</v>
      </c>
      <c r="X15" s="34">
        <f t="shared" si="25"/>
        <v>0</v>
      </c>
      <c r="Y15" s="34">
        <f t="shared" ref="Y15" si="43">IF(ISNUMBER(VALUE(FIND("CAVOK",L17))),9999,IF(ISNUMBER(VALUE(FIND("NSC",L17))),9999,(MID(L17,(FIND(W15,L17)+4),2))*100))</f>
        <v>800</v>
      </c>
      <c r="Z15" s="34">
        <f t="shared" si="27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110</v>
      </c>
      <c r="F16" s="29">
        <v>2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t="s">
        <v>238</v>
      </c>
      <c r="M16" s="32">
        <f t="shared" ref="M16:M18" si="44">IF(ISNUMBER(VALUE(FIND("VRB",L16))),999,VALUE(MID(L16,20,3)))</f>
        <v>300</v>
      </c>
      <c r="N16" s="33">
        <f t="shared" ref="N16" si="45">IF(OR(ABS(E16-M16)&lt;61,AND(ABS(E16-M16)&gt;60,O16&lt;10),E16=M16,AND(E16=999,ISNUMBER(VALUE(FIND("TS",L16)))),AND(E16=999,ISNUMBER(VALUE(FIND("CB",L16)))),AND(E16=999,O16&lt;10),AND(F16&lt;10,M16=999,O16&lt;10)),1,0)</f>
        <v>1</v>
      </c>
      <c r="O16" s="33">
        <f t="shared" ref="O16" si="46">VALUE(MID(L16,23,2))</f>
        <v>2</v>
      </c>
      <c r="P16" s="33">
        <f t="shared" si="17"/>
        <v>1</v>
      </c>
      <c r="Q16" s="34">
        <f t="shared" ref="Q16" si="47">IF(MID(L16,25,1)="G","GUST",0)</f>
        <v>0</v>
      </c>
      <c r="R16" s="33">
        <f t="shared" si="19"/>
        <v>1</v>
      </c>
      <c r="S16" s="34">
        <f t="shared" ref="S16" si="48">IF(ISNUMBER(VALUE(MID(L16,(FIND("KT",L16,FIND("Z",L16))+3),4))),VALUE(MID(L16,(FIND("KT",L16,FIND("Z",L16))+3),4)),IF(ISNUMBER(VALUE(MID(L16,(FIND("0V",L16)+6),4))),VALUE(MID(L16,(FIND("0V",L16)+6),4)),9999))</f>
        <v>8000</v>
      </c>
      <c r="T16" s="34">
        <f t="shared" si="21"/>
        <v>1</v>
      </c>
      <c r="U16" s="34">
        <f t="shared" ref="U16" si="49">IF(AND(IFERROR(FIND("RA",L16),0)&gt;0, IFERROR(FIND("RA",L16),0)&lt;38),"RA",0)</f>
        <v>0</v>
      </c>
      <c r="V16" s="34">
        <f t="shared" si="23"/>
        <v>1</v>
      </c>
      <c r="W16" s="34" t="str">
        <f t="shared" ref="W16" si="50">IF(ISNUMBER(VALUE(FIND("FEW",L16))),"FEW",IF(ISNUMBER(VALUE(FIND("SCT",L16))),"SCT",IF(ISNUMBER(VALUE(FIND("BKN",L16))),"BKN",IF(ISNUMBER(VALUE(FIND("OVC",L16))),"OVC",IF(ISNUMBER(VALUE(FIND("SKC",L16))),"SKC",IF(ISNUMBER(VALUE(FIND("CAVOK",L16))),"SKC",IF(ISNUMBER(VALUE(FIND("NSC",L16))),"SKC","EROR")))))))</f>
        <v>FEW</v>
      </c>
      <c r="X16" s="34">
        <f t="shared" si="25"/>
        <v>0</v>
      </c>
      <c r="Y16" s="34">
        <f t="shared" ref="Y16" si="51">IF(ISNUMBER(VALUE(FIND("CAVOK",L16))),9999,IF(ISNUMBER(VALUE(FIND("NSC",L16))),9999,(MID(L16,(FIND(W16,L16)+4),2))*100))</f>
        <v>800</v>
      </c>
      <c r="Z16" s="34">
        <f t="shared" si="27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110</v>
      </c>
      <c r="F17" s="29">
        <v>2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t="s">
        <v>237</v>
      </c>
      <c r="M17" s="32">
        <f t="shared" si="44"/>
        <v>210</v>
      </c>
      <c r="N17" s="33">
        <f t="shared" ref="N17:N18" si="52">IF(OR(ABS(E17-M17)&lt;61,AND(ABS(E17-M17)&gt;60,O17&lt;10),E17=M17,AND(E17=999,ISNUMBER(VALUE(FIND("TS",L17)))),AND(E17=999,ISNUMBER(VALUE(FIND("CB",L17)))),AND(E17=999,O17&lt;10),AND(F17&lt;10,M17=999,O17&lt;10)),1,0)</f>
        <v>1</v>
      </c>
      <c r="O17" s="33">
        <f t="shared" ref="O17:O18" si="53">VALUE(MID(L17,23,2))</f>
        <v>2</v>
      </c>
      <c r="P17" s="33">
        <f t="shared" ref="P17:P18" si="54">IF(ABS(O17-F17)&lt;11,1,0)</f>
        <v>1</v>
      </c>
      <c r="Q17" s="34">
        <f t="shared" ref="Q17:Q18" si="55">IF(MID(L17,25,1)="G","GUST",0)</f>
        <v>0</v>
      </c>
      <c r="R17" s="33">
        <f t="shared" ref="R17:R18" si="56">IF(G17=Q17,1,0)</f>
        <v>1</v>
      </c>
      <c r="S17" s="34">
        <f t="shared" ref="S17:S18" si="57">IF(ISNUMBER(VALUE(MID(L17,(FIND("KT",L17,FIND("Z",L17))+3),4))),VALUE(MID(L17,(FIND("KT",L17,FIND("Z",L17))+3),4)),IF(ISNUMBER(VALUE(MID(L17,(FIND("0V",L17)+6),4))),VALUE(MID(L17,(FIND("0V",L17)+6),4)),9999))</f>
        <v>8000</v>
      </c>
      <c r="T17" s="34">
        <f t="shared" ref="T17:T18" si="58">IF(OR(AND(H17&lt;801,S17&lt;801),AND(H17&gt;799,H17&lt;1501,S17&gt;799,S17&lt;1502),AND(H17&gt;1499,H17&lt;3001,S17&gt;1499,S17&lt;3001),AND(H17&gt;2999,H17&lt;5001,S17&gt;2999,S17&lt;5001),AND(H17&gt;4999,S17&gt;4999)),1,0)</f>
        <v>1</v>
      </c>
      <c r="U17" s="34">
        <f t="shared" ref="U17:U18" si="59">IF(AND(IFERROR(FIND("RA",L17),0)&gt;0, IFERROR(FIND("RA",L17),0)&lt;38),"RA",0)</f>
        <v>0</v>
      </c>
      <c r="V17" s="34">
        <f t="shared" ref="V17:V18" si="60">IF(U17=I17,1,0)</f>
        <v>1</v>
      </c>
      <c r="W17" s="34" t="str">
        <f t="shared" ref="W17:W18" si="61">IF(ISNUMBER(VALUE(FIND("FEW",L17))),"FEW",IF(ISNUMBER(VALUE(FIND("SCT",L17))),"SCT",IF(ISNUMBER(VALUE(FIND("BKN",L17))),"BKN",IF(ISNUMBER(VALUE(FIND("OVC",L17))),"OVC",IF(ISNUMBER(VALUE(FIND("SKC",L17))),"SKC",IF(ISNUMBER(VALUE(FIND("CAVOK",L17))),"SKC",IF(ISNUMBER(VALUE(FIND("NSC",L17))),"SKC","EROR")))))))</f>
        <v>FEW</v>
      </c>
      <c r="X17" s="34">
        <f t="shared" ref="X17:X18" si="62">IF(OR(AND(OR(J17="SKC",J17="FEW",J17="SCT"),OR(W17="SKC",W17="FEW",W17="SCT")),(AND(OR(J17="BKN",J17="OVC"),OR(W17="BKN",W17="OVC")))),1,0)</f>
        <v>0</v>
      </c>
      <c r="Y17" s="34">
        <f t="shared" ref="Y17:Y18" si="63">IF(ISNUMBER(VALUE(FIND("CAVOK",L17))),9999,IF(ISNUMBER(VALUE(FIND("NSC",L17))),9999,(MID(L17,(FIND(W17,L17)+4),2))*100))</f>
        <v>800</v>
      </c>
      <c r="Z17" s="34">
        <f t="shared" ref="Z17:Z18" si="64">IF(AND(Y17&lt;1001,ABS(K17-Y17)&lt;101),1,IF(AND(Y17&gt;1000,ABS(Y17-K17)/K17&lt;0.30005),1,0))</f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110</v>
      </c>
      <c r="F18" s="29">
        <v>2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t="s">
        <v>236</v>
      </c>
      <c r="M18" s="32">
        <f t="shared" si="44"/>
        <v>0</v>
      </c>
      <c r="N18" s="33">
        <f t="shared" si="52"/>
        <v>1</v>
      </c>
      <c r="O18" s="33">
        <f t="shared" si="53"/>
        <v>0</v>
      </c>
      <c r="P18" s="33">
        <f t="shared" si="54"/>
        <v>1</v>
      </c>
      <c r="Q18" s="34">
        <f t="shared" si="55"/>
        <v>0</v>
      </c>
      <c r="R18" s="33">
        <f t="shared" si="56"/>
        <v>1</v>
      </c>
      <c r="S18" s="34">
        <f t="shared" si="57"/>
        <v>8000</v>
      </c>
      <c r="T18" s="34">
        <f t="shared" si="58"/>
        <v>1</v>
      </c>
      <c r="U18" s="34">
        <f t="shared" si="59"/>
        <v>0</v>
      </c>
      <c r="V18" s="34">
        <f t="shared" si="60"/>
        <v>1</v>
      </c>
      <c r="W18" s="34" t="str">
        <f t="shared" si="61"/>
        <v>FEW</v>
      </c>
      <c r="X18" s="34">
        <f t="shared" si="62"/>
        <v>0</v>
      </c>
      <c r="Y18" s="34">
        <f t="shared" si="63"/>
        <v>800</v>
      </c>
      <c r="Z18" s="34">
        <f t="shared" si="64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11</v>
      </c>
      <c r="W23" s="25"/>
      <c r="X23" s="25">
        <f>SUM(X7:X18)</f>
        <v>4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12</v>
      </c>
      <c r="U24" s="25"/>
      <c r="V24" s="25">
        <f>SUMIF($C7:$C18,"GENERAL",V7:V18)</f>
        <v>11</v>
      </c>
      <c r="W24" s="25"/>
      <c r="X24" s="25">
        <f>SUMIF($C7:$C18,"GENERAL",X7:X18)</f>
        <v>4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91.666666666666657</v>
      </c>
      <c r="W28" s="38"/>
      <c r="X28" s="38">
        <f>(SUM(X24:X27)/COUNTA(X7:X18))*100</f>
        <v>33.333333333333329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231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7</v>
      </c>
      <c r="B36" s="28">
        <v>0.25</v>
      </c>
      <c r="C36" s="29" t="s">
        <v>39</v>
      </c>
      <c r="D36" s="29"/>
      <c r="E36" s="29">
        <v>110</v>
      </c>
      <c r="F36" s="29">
        <v>4</v>
      </c>
      <c r="G36" s="29">
        <v>0</v>
      </c>
      <c r="H36" s="29">
        <v>8000</v>
      </c>
      <c r="I36" s="29">
        <v>0</v>
      </c>
      <c r="J36" s="29" t="s">
        <v>51</v>
      </c>
      <c r="K36" s="29">
        <v>800</v>
      </c>
      <c r="L36" s="29" t="s">
        <v>232</v>
      </c>
      <c r="M36" s="32">
        <f t="shared" ref="M36:M41" si="65">IF(ISNUMBER(VALUE(FIND("VRB",L36))),999,VALUE(MID(L36,20,3)))</f>
        <v>340</v>
      </c>
      <c r="N36" s="33">
        <f t="shared" ref="N36:N41" si="66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67">VALUE(MID(L36,23,2))</f>
        <v>3</v>
      </c>
      <c r="P36" s="33">
        <f t="shared" ref="P36:P41" si="68">IF(ABS(O36-F36)&lt;11,1,0)</f>
        <v>1</v>
      </c>
      <c r="Q36" s="34">
        <f t="shared" ref="Q36:Q41" si="69">IF(MID(L36,25,1)="G","GUST",0)</f>
        <v>0</v>
      </c>
      <c r="R36" s="33">
        <f t="shared" ref="R36:R41" si="70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7000</v>
      </c>
      <c r="T36" s="34">
        <f t="shared" ref="T36:T41" si="71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72">IF(AND(IFERROR(FIND("RA",L36),0)&gt;0, IFERROR(FIND("RA",L36),0)&lt;38),"RA",0)</f>
        <v>0</v>
      </c>
      <c r="V36" s="34">
        <f t="shared" ref="V36:V41" si="73">IF(U36=I36,1,0)</f>
        <v>1</v>
      </c>
      <c r="W36" s="34" t="str">
        <f t="shared" ref="W36:W41" si="74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FEW</v>
      </c>
      <c r="X36" s="34">
        <f t="shared" ref="X36:X41" si="75">IF(OR(AND(OR(J36="SKC",J36="FEW",J36="SCT"),OR(W36="SKC",W36="FEW",W36="SCT")),(AND(OR(J36="BKN",J36="OVC"),OR(W36="BKN",W36="OVC")))),1,0)</f>
        <v>1</v>
      </c>
      <c r="Y36" s="34">
        <f t="shared" ref="Y36:Y41" si="76">IF(ISNUMBER(VALUE(FIND("CAVOK",L36))),9999,IF(ISNUMBER(VALUE(FIND("NSC",L36))),9999,(MID(L36,(FIND(W36,L36)+4),2))*100))</f>
        <v>800</v>
      </c>
      <c r="Z36" s="34">
        <f t="shared" ref="Z36:Z41" si="77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40</v>
      </c>
      <c r="D37" s="29"/>
      <c r="E37" s="29">
        <v>110</v>
      </c>
      <c r="F37" s="29">
        <v>4</v>
      </c>
      <c r="G37" s="29">
        <v>0</v>
      </c>
      <c r="H37" s="29">
        <v>4000</v>
      </c>
      <c r="I37" s="29" t="s">
        <v>52</v>
      </c>
      <c r="J37" s="29" t="s">
        <v>51</v>
      </c>
      <c r="K37" s="29">
        <v>800</v>
      </c>
      <c r="L37" s="29" t="s">
        <v>235</v>
      </c>
      <c r="M37" s="32">
        <f t="shared" si="65"/>
        <v>310</v>
      </c>
      <c r="N37" s="33">
        <f t="shared" si="66"/>
        <v>1</v>
      </c>
      <c r="O37" s="33">
        <f t="shared" si="67"/>
        <v>3</v>
      </c>
      <c r="P37" s="33">
        <f t="shared" si="68"/>
        <v>1</v>
      </c>
      <c r="Q37" s="34">
        <f t="shared" si="69"/>
        <v>0</v>
      </c>
      <c r="R37" s="33">
        <f t="shared" si="70"/>
        <v>1</v>
      </c>
      <c r="S37" s="34">
        <f t="shared" ref="S37:S41" si="78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71"/>
        <v>0</v>
      </c>
      <c r="U37" s="34">
        <f t="shared" si="72"/>
        <v>0</v>
      </c>
      <c r="V37" s="34">
        <f t="shared" si="73"/>
        <v>0</v>
      </c>
      <c r="W37" s="34" t="str">
        <f t="shared" si="74"/>
        <v>FEW</v>
      </c>
      <c r="X37" s="34">
        <f t="shared" si="75"/>
        <v>1</v>
      </c>
      <c r="Y37" s="34">
        <f t="shared" si="76"/>
        <v>800</v>
      </c>
      <c r="Z37" s="34">
        <f t="shared" si="77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40</v>
      </c>
      <c r="D38" s="29"/>
      <c r="E38" s="29">
        <v>110</v>
      </c>
      <c r="F38" s="29">
        <v>4</v>
      </c>
      <c r="G38" s="29">
        <v>0</v>
      </c>
      <c r="H38" s="29">
        <v>4000</v>
      </c>
      <c r="I38" s="29" t="s">
        <v>52</v>
      </c>
      <c r="J38" s="29" t="s">
        <v>51</v>
      </c>
      <c r="K38" s="29">
        <v>800</v>
      </c>
      <c r="L38" t="s">
        <v>239</v>
      </c>
      <c r="M38" s="32">
        <f t="shared" si="65"/>
        <v>310</v>
      </c>
      <c r="N38" s="33">
        <f t="shared" si="66"/>
        <v>1</v>
      </c>
      <c r="O38" s="33">
        <f t="shared" si="67"/>
        <v>3</v>
      </c>
      <c r="P38" s="33">
        <f t="shared" si="68"/>
        <v>1</v>
      </c>
      <c r="Q38" s="34">
        <f t="shared" si="69"/>
        <v>0</v>
      </c>
      <c r="R38" s="33">
        <f t="shared" si="70"/>
        <v>1</v>
      </c>
      <c r="S38" s="34">
        <f t="shared" si="78"/>
        <v>5000</v>
      </c>
      <c r="T38" s="34">
        <f t="shared" si="71"/>
        <v>1</v>
      </c>
      <c r="U38" s="34">
        <f t="shared" si="72"/>
        <v>0</v>
      </c>
      <c r="V38" s="34">
        <f t="shared" si="73"/>
        <v>0</v>
      </c>
      <c r="W38" s="34" t="str">
        <f t="shared" si="74"/>
        <v>FEW</v>
      </c>
      <c r="X38" s="34">
        <f t="shared" si="75"/>
        <v>1</v>
      </c>
      <c r="Y38" s="34">
        <f t="shared" si="76"/>
        <v>800</v>
      </c>
      <c r="Z38" s="34">
        <f t="shared" si="77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29"/>
      <c r="E39" s="29">
        <v>110</v>
      </c>
      <c r="F39" s="29">
        <v>4</v>
      </c>
      <c r="G39" s="29">
        <v>0</v>
      </c>
      <c r="H39" s="29">
        <v>4000</v>
      </c>
      <c r="I39" s="29" t="s">
        <v>52</v>
      </c>
      <c r="J39" s="29" t="s">
        <v>51</v>
      </c>
      <c r="K39" s="29">
        <v>800</v>
      </c>
      <c r="L39" t="s">
        <v>238</v>
      </c>
      <c r="M39" s="32">
        <f t="shared" si="65"/>
        <v>300</v>
      </c>
      <c r="N39" s="33">
        <f t="shared" si="66"/>
        <v>1</v>
      </c>
      <c r="O39" s="33">
        <f t="shared" si="67"/>
        <v>2</v>
      </c>
      <c r="P39" s="33">
        <f t="shared" si="68"/>
        <v>1</v>
      </c>
      <c r="Q39" s="34">
        <f t="shared" si="69"/>
        <v>0</v>
      </c>
      <c r="R39" s="33">
        <f t="shared" si="70"/>
        <v>1</v>
      </c>
      <c r="S39" s="34">
        <f t="shared" si="78"/>
        <v>8000</v>
      </c>
      <c r="T39" s="34">
        <f t="shared" si="71"/>
        <v>0</v>
      </c>
      <c r="U39" s="34">
        <f t="shared" si="72"/>
        <v>0</v>
      </c>
      <c r="V39" s="34">
        <f t="shared" si="73"/>
        <v>0</v>
      </c>
      <c r="W39" s="34" t="str">
        <f t="shared" si="74"/>
        <v>FEW</v>
      </c>
      <c r="X39" s="34">
        <f t="shared" si="75"/>
        <v>1</v>
      </c>
      <c r="Y39" s="34">
        <f t="shared" si="76"/>
        <v>800</v>
      </c>
      <c r="Z39" s="34">
        <f t="shared" si="77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29"/>
      <c r="E40" s="29">
        <v>110</v>
      </c>
      <c r="F40" s="29">
        <v>4</v>
      </c>
      <c r="G40" s="29">
        <v>0</v>
      </c>
      <c r="H40" s="29">
        <v>4000</v>
      </c>
      <c r="I40" s="29" t="s">
        <v>52</v>
      </c>
      <c r="J40" s="29" t="s">
        <v>51</v>
      </c>
      <c r="K40" s="29">
        <v>800</v>
      </c>
      <c r="L40" t="s">
        <v>237</v>
      </c>
      <c r="M40" s="32">
        <f t="shared" si="65"/>
        <v>210</v>
      </c>
      <c r="N40" s="33">
        <f t="shared" si="66"/>
        <v>1</v>
      </c>
      <c r="O40" s="33">
        <f t="shared" si="67"/>
        <v>2</v>
      </c>
      <c r="P40" s="33">
        <f t="shared" si="68"/>
        <v>1</v>
      </c>
      <c r="Q40" s="34">
        <f t="shared" si="69"/>
        <v>0</v>
      </c>
      <c r="R40" s="33">
        <f t="shared" si="70"/>
        <v>1</v>
      </c>
      <c r="S40" s="34">
        <f t="shared" si="78"/>
        <v>8000</v>
      </c>
      <c r="T40" s="34">
        <f t="shared" si="71"/>
        <v>0</v>
      </c>
      <c r="U40" s="34">
        <f t="shared" si="72"/>
        <v>0</v>
      </c>
      <c r="V40" s="34">
        <f t="shared" si="73"/>
        <v>0</v>
      </c>
      <c r="W40" s="34" t="str">
        <f t="shared" si="74"/>
        <v>FEW</v>
      </c>
      <c r="X40" s="34">
        <f t="shared" si="75"/>
        <v>1</v>
      </c>
      <c r="Y40" s="34">
        <f t="shared" si="76"/>
        <v>800</v>
      </c>
      <c r="Z40" s="34">
        <f t="shared" si="77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29"/>
      <c r="E41" s="29">
        <v>110</v>
      </c>
      <c r="F41" s="29">
        <v>4</v>
      </c>
      <c r="G41" s="29">
        <v>0</v>
      </c>
      <c r="H41" s="29">
        <v>8000</v>
      </c>
      <c r="I41" s="29">
        <v>0</v>
      </c>
      <c r="J41" s="29" t="s">
        <v>51</v>
      </c>
      <c r="K41" s="29">
        <v>800</v>
      </c>
      <c r="L41" t="s">
        <v>236</v>
      </c>
      <c r="M41" s="32">
        <f t="shared" si="65"/>
        <v>0</v>
      </c>
      <c r="N41" s="33">
        <f t="shared" si="66"/>
        <v>1</v>
      </c>
      <c r="O41" s="33">
        <f t="shared" si="67"/>
        <v>0</v>
      </c>
      <c r="P41" s="33">
        <f t="shared" si="68"/>
        <v>1</v>
      </c>
      <c r="Q41" s="34">
        <f t="shared" si="69"/>
        <v>0</v>
      </c>
      <c r="R41" s="33">
        <f t="shared" si="70"/>
        <v>1</v>
      </c>
      <c r="S41" s="34">
        <f t="shared" si="78"/>
        <v>8000</v>
      </c>
      <c r="T41" s="34">
        <f t="shared" si="71"/>
        <v>1</v>
      </c>
      <c r="U41" s="34">
        <f t="shared" si="72"/>
        <v>0</v>
      </c>
      <c r="V41" s="34">
        <f t="shared" si="73"/>
        <v>1</v>
      </c>
      <c r="W41" s="34" t="str">
        <f t="shared" si="74"/>
        <v>FEW</v>
      </c>
      <c r="X41" s="34">
        <f t="shared" si="75"/>
        <v>1</v>
      </c>
      <c r="Y41" s="34">
        <f t="shared" si="76"/>
        <v>800</v>
      </c>
      <c r="Z41" s="34">
        <f t="shared" si="77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29"/>
      <c r="E42" s="29">
        <v>110</v>
      </c>
      <c r="F42" s="29">
        <v>4</v>
      </c>
      <c r="G42" s="29">
        <v>0</v>
      </c>
      <c r="H42" s="29">
        <v>8000</v>
      </c>
      <c r="I42" s="29">
        <v>0</v>
      </c>
      <c r="J42" s="29" t="s">
        <v>51</v>
      </c>
      <c r="K42" s="29">
        <v>800</v>
      </c>
      <c r="L42" t="s">
        <v>245</v>
      </c>
      <c r="M42" s="32">
        <f t="shared" ref="M42:M47" si="79">IF(ISNUMBER(VALUE(FIND("VRB",L42))),999,VALUE(MID(L42,20,3)))</f>
        <v>0</v>
      </c>
      <c r="N42" s="33">
        <f t="shared" ref="N42:N47" si="80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81">VALUE(MID(L42,23,2))</f>
        <v>0</v>
      </c>
      <c r="P42" s="33">
        <f t="shared" ref="P42:P47" si="82">IF(ABS(O42-F42)&lt;11,1,0)</f>
        <v>1</v>
      </c>
      <c r="Q42" s="34">
        <f t="shared" ref="Q42:Q47" si="83">IF(MID(L42,25,1)="G","GUST",0)</f>
        <v>0</v>
      </c>
      <c r="R42" s="33">
        <f t="shared" ref="R42:R47" si="84">IF(G42=Q42,1,0)</f>
        <v>1</v>
      </c>
      <c r="S42" s="34">
        <f t="shared" ref="S42:S47" si="85">IF(ISNUMBER(VALUE(MID(L42,(FIND("KT",L42,FIND("Z",L42))+3),4))),VALUE(MID(L42,(FIND("KT",L42,FIND("Z",L42))+3),4)),IF(ISNUMBER(VALUE(MID(L42,(FIND("0V",L42)+6),4))),VALUE(MID(L42,(FIND("0V",L42)+6),4)),9999))</f>
        <v>8000</v>
      </c>
      <c r="T42" s="34">
        <f t="shared" ref="T42:T47" si="86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>
        <f t="shared" ref="U42:U47" si="87">IF(AND(IFERROR(FIND("RA",L42),0)&gt;0, IFERROR(FIND("RA",L42),0)&lt;38),"RA",0)</f>
        <v>0</v>
      </c>
      <c r="V42" s="34">
        <f t="shared" ref="V42:V47" si="88">IF(U42=I42,1,0)</f>
        <v>1</v>
      </c>
      <c r="W42" s="34" t="str">
        <f t="shared" ref="W42:W47" si="89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FEW</v>
      </c>
      <c r="X42" s="34">
        <f t="shared" ref="X42:X47" si="90">IF(OR(AND(OR(J42="SKC",J42="FEW",J42="SCT"),OR(W42="SKC",W42="FEW",W42="SCT")),(AND(OR(J42="BKN",J42="OVC"),OR(W42="BKN",W42="OVC")))),1,0)</f>
        <v>1</v>
      </c>
      <c r="Y42" s="34">
        <f t="shared" ref="Y42:Y47" si="91">IF(ISNUMBER(VALUE(FIND("CAVOK",L42))),9999,IF(ISNUMBER(VALUE(FIND("NSC",L42))),9999,(MID(L42,(FIND(W42,L42)+4),2))*100))</f>
        <v>800</v>
      </c>
      <c r="Z42" s="34">
        <f t="shared" ref="Z42:Z47" si="92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29"/>
      <c r="E43" s="29">
        <v>110</v>
      </c>
      <c r="F43" s="29">
        <v>4</v>
      </c>
      <c r="G43" s="29">
        <v>0</v>
      </c>
      <c r="H43" s="29">
        <v>8000</v>
      </c>
      <c r="I43" s="29">
        <v>0</v>
      </c>
      <c r="J43" s="29" t="s">
        <v>51</v>
      </c>
      <c r="K43" s="29">
        <v>800</v>
      </c>
      <c r="L43" t="s">
        <v>244</v>
      </c>
      <c r="M43" s="32">
        <f t="shared" si="79"/>
        <v>0</v>
      </c>
      <c r="N43" s="33">
        <f t="shared" si="80"/>
        <v>1</v>
      </c>
      <c r="O43" s="33">
        <f t="shared" si="81"/>
        <v>0</v>
      </c>
      <c r="P43" s="33">
        <f t="shared" si="82"/>
        <v>1</v>
      </c>
      <c r="Q43" s="34">
        <f t="shared" si="83"/>
        <v>0</v>
      </c>
      <c r="R43" s="33">
        <f t="shared" si="84"/>
        <v>1</v>
      </c>
      <c r="S43" s="34">
        <f t="shared" si="85"/>
        <v>8000</v>
      </c>
      <c r="T43" s="34">
        <f t="shared" si="86"/>
        <v>1</v>
      </c>
      <c r="U43" s="34">
        <f t="shared" si="87"/>
        <v>0</v>
      </c>
      <c r="V43" s="34">
        <f t="shared" si="88"/>
        <v>1</v>
      </c>
      <c r="W43" s="34" t="str">
        <f t="shared" si="89"/>
        <v>BKN</v>
      </c>
      <c r="X43" s="34">
        <f t="shared" si="90"/>
        <v>0</v>
      </c>
      <c r="Y43" s="34">
        <f t="shared" si="91"/>
        <v>900</v>
      </c>
      <c r="Z43" s="34">
        <f t="shared" si="92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29"/>
      <c r="E44" s="29">
        <v>110</v>
      </c>
      <c r="F44" s="29">
        <v>4</v>
      </c>
      <c r="G44" s="29">
        <v>0</v>
      </c>
      <c r="H44" s="29">
        <v>8000</v>
      </c>
      <c r="I44" s="29">
        <v>0</v>
      </c>
      <c r="J44" s="29" t="s">
        <v>51</v>
      </c>
      <c r="K44" s="29">
        <v>800</v>
      </c>
      <c r="L44" t="s">
        <v>243</v>
      </c>
      <c r="M44" s="32">
        <f t="shared" si="79"/>
        <v>340</v>
      </c>
      <c r="N44" s="33">
        <f t="shared" si="80"/>
        <v>1</v>
      </c>
      <c r="O44" s="33">
        <f t="shared" si="81"/>
        <v>3</v>
      </c>
      <c r="P44" s="33">
        <f t="shared" si="82"/>
        <v>1</v>
      </c>
      <c r="Q44" s="34">
        <f t="shared" si="83"/>
        <v>0</v>
      </c>
      <c r="R44" s="33">
        <f t="shared" si="84"/>
        <v>1</v>
      </c>
      <c r="S44" s="34">
        <f t="shared" si="85"/>
        <v>8000</v>
      </c>
      <c r="T44" s="34">
        <f t="shared" si="86"/>
        <v>1</v>
      </c>
      <c r="U44" s="34">
        <f t="shared" si="87"/>
        <v>0</v>
      </c>
      <c r="V44" s="34">
        <f t="shared" si="88"/>
        <v>1</v>
      </c>
      <c r="W44" s="34" t="str">
        <f t="shared" si="89"/>
        <v>BKN</v>
      </c>
      <c r="X44" s="34">
        <f t="shared" si="90"/>
        <v>0</v>
      </c>
      <c r="Y44" s="34">
        <f t="shared" si="91"/>
        <v>900</v>
      </c>
      <c r="Z44" s="34">
        <f t="shared" si="92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29"/>
      <c r="E45" s="29">
        <v>110</v>
      </c>
      <c r="F45" s="29">
        <v>4</v>
      </c>
      <c r="G45" s="29">
        <v>0</v>
      </c>
      <c r="H45" s="29">
        <v>8000</v>
      </c>
      <c r="I45" s="29">
        <v>0</v>
      </c>
      <c r="J45" s="29" t="s">
        <v>51</v>
      </c>
      <c r="K45" s="29">
        <v>800</v>
      </c>
      <c r="L45" t="s">
        <v>242</v>
      </c>
      <c r="M45" s="32">
        <f t="shared" si="79"/>
        <v>20</v>
      </c>
      <c r="N45" s="33">
        <f t="shared" si="80"/>
        <v>1</v>
      </c>
      <c r="O45" s="33">
        <f t="shared" si="81"/>
        <v>2</v>
      </c>
      <c r="P45" s="33">
        <f t="shared" si="82"/>
        <v>1</v>
      </c>
      <c r="Q45" s="34">
        <f t="shared" si="83"/>
        <v>0</v>
      </c>
      <c r="R45" s="33">
        <f t="shared" si="84"/>
        <v>1</v>
      </c>
      <c r="S45" s="34">
        <f t="shared" si="85"/>
        <v>8000</v>
      </c>
      <c r="T45" s="34">
        <f t="shared" si="86"/>
        <v>1</v>
      </c>
      <c r="U45" s="34">
        <f t="shared" si="87"/>
        <v>0</v>
      </c>
      <c r="V45" s="34">
        <f t="shared" si="88"/>
        <v>1</v>
      </c>
      <c r="W45" s="34" t="str">
        <f t="shared" si="89"/>
        <v>BKN</v>
      </c>
      <c r="X45" s="34">
        <f t="shared" si="90"/>
        <v>0</v>
      </c>
      <c r="Y45" s="34">
        <f t="shared" si="91"/>
        <v>900</v>
      </c>
      <c r="Z45" s="34">
        <f t="shared" si="92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29"/>
      <c r="E46" s="29">
        <v>110</v>
      </c>
      <c r="F46" s="29">
        <v>4</v>
      </c>
      <c r="G46" s="29">
        <v>0</v>
      </c>
      <c r="H46" s="29">
        <v>8000</v>
      </c>
      <c r="I46" s="29">
        <v>0</v>
      </c>
      <c r="J46" s="29" t="s">
        <v>51</v>
      </c>
      <c r="K46" s="29">
        <v>800</v>
      </c>
      <c r="L46" t="s">
        <v>241</v>
      </c>
      <c r="M46" s="32">
        <f t="shared" si="79"/>
        <v>0</v>
      </c>
      <c r="N46" s="33">
        <f t="shared" si="80"/>
        <v>1</v>
      </c>
      <c r="O46" s="33">
        <f t="shared" si="81"/>
        <v>0</v>
      </c>
      <c r="P46" s="33">
        <f t="shared" si="82"/>
        <v>1</v>
      </c>
      <c r="Q46" s="34">
        <f t="shared" si="83"/>
        <v>0</v>
      </c>
      <c r="R46" s="33">
        <f t="shared" si="84"/>
        <v>1</v>
      </c>
      <c r="S46" s="34">
        <f t="shared" si="85"/>
        <v>8000</v>
      </c>
      <c r="T46" s="34">
        <f t="shared" si="86"/>
        <v>1</v>
      </c>
      <c r="U46" s="34">
        <f t="shared" si="87"/>
        <v>0</v>
      </c>
      <c r="V46" s="34">
        <f t="shared" si="88"/>
        <v>1</v>
      </c>
      <c r="W46" s="34" t="str">
        <f t="shared" si="89"/>
        <v>BKN</v>
      </c>
      <c r="X46" s="34">
        <f t="shared" si="90"/>
        <v>0</v>
      </c>
      <c r="Y46" s="34">
        <f t="shared" si="91"/>
        <v>900</v>
      </c>
      <c r="Z46" s="34">
        <f t="shared" si="92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29"/>
      <c r="E47" s="29">
        <v>110</v>
      </c>
      <c r="F47" s="29">
        <v>4</v>
      </c>
      <c r="G47" s="29">
        <v>0</v>
      </c>
      <c r="H47" s="29">
        <v>8000</v>
      </c>
      <c r="I47" s="29">
        <v>0</v>
      </c>
      <c r="J47" s="29" t="s">
        <v>51</v>
      </c>
      <c r="K47" s="29">
        <v>800</v>
      </c>
      <c r="L47" t="s">
        <v>240</v>
      </c>
      <c r="M47" s="32">
        <f t="shared" si="79"/>
        <v>10</v>
      </c>
      <c r="N47" s="33">
        <f t="shared" si="80"/>
        <v>1</v>
      </c>
      <c r="O47" s="33">
        <f t="shared" si="81"/>
        <v>2</v>
      </c>
      <c r="P47" s="33">
        <f t="shared" si="82"/>
        <v>1</v>
      </c>
      <c r="Q47" s="34">
        <f t="shared" si="83"/>
        <v>0</v>
      </c>
      <c r="R47" s="33">
        <f t="shared" si="84"/>
        <v>1</v>
      </c>
      <c r="S47" s="34">
        <f t="shared" si="85"/>
        <v>8000</v>
      </c>
      <c r="T47" s="34">
        <f t="shared" si="86"/>
        <v>1</v>
      </c>
      <c r="U47" s="34">
        <f t="shared" si="87"/>
        <v>0</v>
      </c>
      <c r="V47" s="34">
        <f t="shared" si="88"/>
        <v>1</v>
      </c>
      <c r="W47" s="34" t="str">
        <f t="shared" si="89"/>
        <v>BKN</v>
      </c>
      <c r="X47" s="34">
        <f t="shared" si="90"/>
        <v>0</v>
      </c>
      <c r="Y47" s="34">
        <f t="shared" si="91"/>
        <v>900</v>
      </c>
      <c r="Z47" s="34">
        <f t="shared" si="92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8</v>
      </c>
      <c r="W52" s="25"/>
      <c r="X52" s="25">
        <f>SUM(X36:X47)</f>
        <v>7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8</v>
      </c>
      <c r="O53" s="25"/>
      <c r="P53" s="25">
        <f>SUMIF($C36:$C47,"GENERAL",P36:P47)</f>
        <v>8</v>
      </c>
      <c r="Q53" s="25"/>
      <c r="R53" s="25">
        <f>SUMIF($C36:$C47,"GENERAL",R36:R47)</f>
        <v>8</v>
      </c>
      <c r="S53" s="25"/>
      <c r="T53" s="25">
        <f>SUMIF($C36:$C47,"GENERAL",T36:T47)</f>
        <v>8</v>
      </c>
      <c r="U53" s="25"/>
      <c r="V53" s="25">
        <f>SUMIF($C36:$C47,"GENERAL",V36:V47)</f>
        <v>8</v>
      </c>
      <c r="W53" s="25"/>
      <c r="X53" s="25">
        <f>SUMIF($C36:$C47,"GENERAL",X36:X47)</f>
        <v>3</v>
      </c>
      <c r="Y53" s="25"/>
      <c r="Z53" s="25">
        <f>SUMIF($C36:$C47,"GENERAL",Z36:Z47)</f>
        <v>8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4</v>
      </c>
      <c r="M56" s="42">
        <f>SUMIF($C36:$C47,"TEMPO",N36:N47)</f>
        <v>4</v>
      </c>
      <c r="N56" s="42">
        <f>M56</f>
        <v>4</v>
      </c>
      <c r="O56" s="42">
        <f>SUMIF($C36:$C47,"TEMPO",P36:P47)</f>
        <v>4</v>
      </c>
      <c r="P56" s="42">
        <f>O56</f>
        <v>4</v>
      </c>
      <c r="Q56" s="42">
        <f>SUMIF($C36:$C47,"TEMPO",R36:R47)</f>
        <v>4</v>
      </c>
      <c r="R56" s="42">
        <f>Q56</f>
        <v>4</v>
      </c>
      <c r="S56" s="42">
        <f>SUMIF($C36:$C47,"TEMPO",T36:T47)</f>
        <v>1</v>
      </c>
      <c r="T56" s="42">
        <f>S56</f>
        <v>1</v>
      </c>
      <c r="U56" s="42">
        <f>SUMIF($C36:$C47,"TEMPO",V36:V47)</f>
        <v>0</v>
      </c>
      <c r="V56" s="42">
        <f>U56</f>
        <v>0</v>
      </c>
      <c r="W56" s="42">
        <f>SUMIF($C36:$C47,"TEMPO",X36:X47)</f>
        <v>4</v>
      </c>
      <c r="X56" s="42">
        <f>W56</f>
        <v>4</v>
      </c>
      <c r="Y56" s="42">
        <f>SUMIF($C36:$C47,"TEMPO",Z36:Z47)</f>
        <v>4</v>
      </c>
      <c r="Z56" s="42">
        <f>Y56</f>
        <v>4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66.666666666666657</v>
      </c>
      <c r="W57" s="38"/>
      <c r="X57" s="38">
        <f>(SUM(X53:X56)/COUNTA(X36:X47))*100</f>
        <v>58.333333333333336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252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7</v>
      </c>
      <c r="B65" s="50">
        <v>0.5</v>
      </c>
      <c r="C65" s="29" t="s">
        <v>39</v>
      </c>
      <c r="D65" s="29"/>
      <c r="E65" s="29">
        <v>270</v>
      </c>
      <c r="F65" s="29">
        <v>2</v>
      </c>
      <c r="G65" s="29">
        <v>0</v>
      </c>
      <c r="H65" s="29">
        <v>8000</v>
      </c>
      <c r="I65" s="29">
        <v>0</v>
      </c>
      <c r="J65" s="29" t="s">
        <v>51</v>
      </c>
      <c r="K65" s="29">
        <v>800</v>
      </c>
      <c r="L65" t="s">
        <v>245</v>
      </c>
      <c r="M65" s="32">
        <f t="shared" ref="M65:M70" si="93">IF(ISNUMBER(VALUE(FIND("VRB",L65))),999,VALUE(MID(L65,20,3)))</f>
        <v>0</v>
      </c>
      <c r="N65" s="33">
        <f t="shared" ref="N65:N70" si="94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95">VALUE(MID(L65,23,2))</f>
        <v>0</v>
      </c>
      <c r="P65" s="33">
        <f t="shared" ref="P65:P70" si="96">IF(ABS(O65-F65)&lt;11,1,0)</f>
        <v>1</v>
      </c>
      <c r="Q65" s="34">
        <f t="shared" ref="Q65:Q70" si="97">IF(MID(L65,25,1)="G","GUST",0)</f>
        <v>0</v>
      </c>
      <c r="R65" s="33">
        <f t="shared" ref="R65:R70" si="98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99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100">IF(AND(IFERROR(FIND("RA",L65),0)&gt;0, IFERROR(FIND("RA",L65),0)&lt;38),"RA",0)</f>
        <v>0</v>
      </c>
      <c r="V65" s="34">
        <f t="shared" ref="V65:V70" si="101">IF(U65=I65,1,0)</f>
        <v>1</v>
      </c>
      <c r="W65" s="34" t="str">
        <f t="shared" ref="W65:W70" si="102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0" si="103">IF(OR(AND(OR(J65="SKC",J65="FEW",J65="SCT"),OR(W65="SKC",W65="FEW",W65="SCT")),(AND(OR(J65="BKN",J65="OVC"),OR(W65="BKN",W65="OVC")))),1,0)</f>
        <v>1</v>
      </c>
      <c r="Y65" s="34">
        <f t="shared" ref="Y65:Y70" si="104">IF(ISNUMBER(VALUE(FIND("CAVOK",L65))),9999,IF(ISNUMBER(VALUE(FIND("NSC",L65))),9999,(MID(L65,(FIND(W65,L65)+4),2))*100))</f>
        <v>800</v>
      </c>
      <c r="Z65" s="34">
        <f t="shared" ref="Z65:Z70" si="105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29"/>
      <c r="E66" s="29">
        <v>270</v>
      </c>
      <c r="F66" s="29">
        <v>2</v>
      </c>
      <c r="G66" s="29">
        <v>0</v>
      </c>
      <c r="H66" s="29">
        <v>8000</v>
      </c>
      <c r="I66" s="29"/>
      <c r="J66" s="29" t="s">
        <v>51</v>
      </c>
      <c r="K66" s="29">
        <v>800</v>
      </c>
      <c r="L66" t="s">
        <v>244</v>
      </c>
      <c r="M66" s="32">
        <f t="shared" si="93"/>
        <v>0</v>
      </c>
      <c r="N66" s="33">
        <f t="shared" si="94"/>
        <v>1</v>
      </c>
      <c r="O66" s="33">
        <f t="shared" si="95"/>
        <v>0</v>
      </c>
      <c r="P66" s="33">
        <f t="shared" si="96"/>
        <v>1</v>
      </c>
      <c r="Q66" s="34">
        <f t="shared" si="97"/>
        <v>0</v>
      </c>
      <c r="R66" s="33">
        <f t="shared" si="98"/>
        <v>1</v>
      </c>
      <c r="S66" s="34">
        <f t="shared" ref="S66:S70" si="106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99"/>
        <v>1</v>
      </c>
      <c r="U66" s="34">
        <f t="shared" si="100"/>
        <v>0</v>
      </c>
      <c r="V66" s="34">
        <f t="shared" si="101"/>
        <v>1</v>
      </c>
      <c r="W66" s="34" t="str">
        <f t="shared" si="102"/>
        <v>BKN</v>
      </c>
      <c r="X66" s="34">
        <f t="shared" si="103"/>
        <v>0</v>
      </c>
      <c r="Y66" s="34">
        <f t="shared" si="104"/>
        <v>900</v>
      </c>
      <c r="Z66" s="34">
        <f t="shared" si="105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40</v>
      </c>
      <c r="D67" s="29"/>
      <c r="E67" s="29">
        <v>270</v>
      </c>
      <c r="F67" s="29">
        <v>2</v>
      </c>
      <c r="G67" s="29">
        <v>0</v>
      </c>
      <c r="H67" s="29">
        <v>4000</v>
      </c>
      <c r="I67" s="29" t="s">
        <v>52</v>
      </c>
      <c r="J67" s="29" t="s">
        <v>51</v>
      </c>
      <c r="K67" s="29">
        <v>800</v>
      </c>
      <c r="L67" t="s">
        <v>243</v>
      </c>
      <c r="M67" s="32">
        <f t="shared" si="93"/>
        <v>340</v>
      </c>
      <c r="N67" s="33">
        <f t="shared" si="94"/>
        <v>1</v>
      </c>
      <c r="O67" s="33">
        <f t="shared" si="95"/>
        <v>3</v>
      </c>
      <c r="P67" s="33">
        <f t="shared" si="96"/>
        <v>1</v>
      </c>
      <c r="Q67" s="34">
        <f t="shared" si="97"/>
        <v>0</v>
      </c>
      <c r="R67" s="33">
        <f t="shared" si="98"/>
        <v>1</v>
      </c>
      <c r="S67" s="34">
        <f t="shared" si="106"/>
        <v>8000</v>
      </c>
      <c r="T67" s="34">
        <f t="shared" si="99"/>
        <v>0</v>
      </c>
      <c r="U67" s="34">
        <f t="shared" si="100"/>
        <v>0</v>
      </c>
      <c r="V67" s="34">
        <f t="shared" si="101"/>
        <v>0</v>
      </c>
      <c r="W67" s="34" t="str">
        <f t="shared" si="102"/>
        <v>BKN</v>
      </c>
      <c r="X67" s="34">
        <f t="shared" si="103"/>
        <v>0</v>
      </c>
      <c r="Y67" s="34">
        <f t="shared" si="104"/>
        <v>900</v>
      </c>
      <c r="Z67" s="34">
        <f t="shared" si="105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40</v>
      </c>
      <c r="D68" s="29"/>
      <c r="E68" s="29">
        <v>270</v>
      </c>
      <c r="F68" s="29">
        <v>2</v>
      </c>
      <c r="G68" s="29">
        <v>0</v>
      </c>
      <c r="H68" s="29">
        <v>4000</v>
      </c>
      <c r="I68" s="29" t="s">
        <v>52</v>
      </c>
      <c r="J68" s="29" t="s">
        <v>51</v>
      </c>
      <c r="K68" s="29">
        <v>800</v>
      </c>
      <c r="L68" t="s">
        <v>242</v>
      </c>
      <c r="M68" s="32">
        <f t="shared" si="93"/>
        <v>20</v>
      </c>
      <c r="N68" s="33">
        <f t="shared" si="94"/>
        <v>1</v>
      </c>
      <c r="O68" s="33">
        <f t="shared" si="95"/>
        <v>2</v>
      </c>
      <c r="P68" s="33">
        <f t="shared" si="96"/>
        <v>1</v>
      </c>
      <c r="Q68" s="34">
        <f t="shared" si="97"/>
        <v>0</v>
      </c>
      <c r="R68" s="33">
        <f t="shared" si="98"/>
        <v>1</v>
      </c>
      <c r="S68" s="34">
        <f t="shared" si="106"/>
        <v>8000</v>
      </c>
      <c r="T68" s="34">
        <f t="shared" si="99"/>
        <v>0</v>
      </c>
      <c r="U68" s="34">
        <f t="shared" si="100"/>
        <v>0</v>
      </c>
      <c r="V68" s="34">
        <f t="shared" si="101"/>
        <v>0</v>
      </c>
      <c r="W68" s="34" t="str">
        <f t="shared" si="102"/>
        <v>BKN</v>
      </c>
      <c r="X68" s="34">
        <f t="shared" si="103"/>
        <v>0</v>
      </c>
      <c r="Y68" s="34">
        <f t="shared" si="104"/>
        <v>900</v>
      </c>
      <c r="Z68" s="34">
        <f t="shared" si="105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40</v>
      </c>
      <c r="D69" s="29"/>
      <c r="E69" s="29">
        <v>270</v>
      </c>
      <c r="F69" s="29">
        <v>2</v>
      </c>
      <c r="G69" s="29">
        <v>0</v>
      </c>
      <c r="H69" s="29">
        <v>4000</v>
      </c>
      <c r="I69" s="29" t="s">
        <v>52</v>
      </c>
      <c r="J69" s="29" t="s">
        <v>51</v>
      </c>
      <c r="K69" s="29">
        <v>800</v>
      </c>
      <c r="L69" t="s">
        <v>241</v>
      </c>
      <c r="M69" s="32">
        <f t="shared" si="93"/>
        <v>0</v>
      </c>
      <c r="N69" s="33">
        <f t="shared" si="94"/>
        <v>1</v>
      </c>
      <c r="O69" s="33">
        <f t="shared" si="95"/>
        <v>0</v>
      </c>
      <c r="P69" s="33">
        <f t="shared" si="96"/>
        <v>1</v>
      </c>
      <c r="Q69" s="34">
        <f t="shared" si="97"/>
        <v>0</v>
      </c>
      <c r="R69" s="33">
        <f t="shared" si="98"/>
        <v>1</v>
      </c>
      <c r="S69" s="34">
        <f t="shared" si="106"/>
        <v>8000</v>
      </c>
      <c r="T69" s="34">
        <f t="shared" si="99"/>
        <v>0</v>
      </c>
      <c r="U69" s="34">
        <f t="shared" si="100"/>
        <v>0</v>
      </c>
      <c r="V69" s="34">
        <f t="shared" si="101"/>
        <v>0</v>
      </c>
      <c r="W69" s="34" t="str">
        <f t="shared" si="102"/>
        <v>BKN</v>
      </c>
      <c r="X69" s="34">
        <f t="shared" si="103"/>
        <v>0</v>
      </c>
      <c r="Y69" s="34">
        <f t="shared" si="104"/>
        <v>900</v>
      </c>
      <c r="Z69" s="34">
        <f t="shared" si="105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40</v>
      </c>
      <c r="D70" s="29"/>
      <c r="E70" s="29">
        <v>270</v>
      </c>
      <c r="F70" s="29">
        <v>2</v>
      </c>
      <c r="G70" s="29">
        <v>0</v>
      </c>
      <c r="H70" s="29">
        <v>8000</v>
      </c>
      <c r="I70" s="29">
        <v>0</v>
      </c>
      <c r="J70" s="29" t="s">
        <v>51</v>
      </c>
      <c r="K70" s="29">
        <v>800</v>
      </c>
      <c r="L70" t="s">
        <v>240</v>
      </c>
      <c r="M70" s="32">
        <f t="shared" si="93"/>
        <v>10</v>
      </c>
      <c r="N70" s="33">
        <f t="shared" si="94"/>
        <v>1</v>
      </c>
      <c r="O70" s="33">
        <f t="shared" si="95"/>
        <v>2</v>
      </c>
      <c r="P70" s="33">
        <f t="shared" si="96"/>
        <v>1</v>
      </c>
      <c r="Q70" s="34">
        <f t="shared" si="97"/>
        <v>0</v>
      </c>
      <c r="R70" s="33">
        <f t="shared" si="98"/>
        <v>1</v>
      </c>
      <c r="S70" s="34">
        <f t="shared" si="106"/>
        <v>8000</v>
      </c>
      <c r="T70" s="34">
        <f t="shared" si="99"/>
        <v>1</v>
      </c>
      <c r="U70" s="34">
        <f t="shared" si="100"/>
        <v>0</v>
      </c>
      <c r="V70" s="34">
        <f t="shared" si="101"/>
        <v>1</v>
      </c>
      <c r="W70" s="34" t="str">
        <f t="shared" si="102"/>
        <v>BKN</v>
      </c>
      <c r="X70" s="34">
        <f t="shared" si="103"/>
        <v>0</v>
      </c>
      <c r="Y70" s="34">
        <f t="shared" si="104"/>
        <v>900</v>
      </c>
      <c r="Z70" s="34">
        <f t="shared" si="105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39</v>
      </c>
      <c r="D71" s="29"/>
      <c r="E71" s="29">
        <v>270</v>
      </c>
      <c r="F71" s="29">
        <v>2</v>
      </c>
      <c r="G71" s="29">
        <v>0</v>
      </c>
      <c r="H71" s="29">
        <v>8000</v>
      </c>
      <c r="I71" s="29">
        <v>0</v>
      </c>
      <c r="J71" s="29" t="s">
        <v>51</v>
      </c>
      <c r="K71" s="29">
        <v>800</v>
      </c>
      <c r="L71" t="s">
        <v>251</v>
      </c>
      <c r="M71" s="32">
        <f t="shared" ref="M71:M76" si="107">IF(ISNUMBER(VALUE(FIND("VRB",L71))),999,VALUE(MID(L71,20,3)))</f>
        <v>20</v>
      </c>
      <c r="N71" s="33">
        <f t="shared" ref="N71:N76" si="108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109">VALUE(MID(L71,23,2))</f>
        <v>2</v>
      </c>
      <c r="P71" s="33">
        <f t="shared" ref="P71:P76" si="110">IF(ABS(O71-F71)&lt;11,1,0)</f>
        <v>1</v>
      </c>
      <c r="Q71" s="34">
        <f t="shared" ref="Q71:Q76" si="111">IF(MID(L71,25,1)="G","GUST",0)</f>
        <v>0</v>
      </c>
      <c r="R71" s="33">
        <f t="shared" ref="R71:R76" si="112">IF(G71=Q71,1,0)</f>
        <v>1</v>
      </c>
      <c r="S71" s="34">
        <f t="shared" ref="S71:S76" si="113">IF(ISNUMBER(VALUE(MID(L71,(FIND("KT",L71,FIND("Z",L71))+3),4))),VALUE(MID(L71,(FIND("KT",L71,FIND("Z",L71))+3),4)),IF(ISNUMBER(VALUE(MID(L71,(FIND("0V",L71)+6),4))),VALUE(MID(L71,(FIND("0V",L71)+6),4)),9999))</f>
        <v>8000</v>
      </c>
      <c r="T71" s="34">
        <f t="shared" ref="T71:T76" si="114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115">IF(AND(IFERROR(FIND("RA",L71),0)&gt;0, IFERROR(FIND("RA",L71),0)&lt;38),"RA",0)</f>
        <v>0</v>
      </c>
      <c r="V71" s="34">
        <f t="shared" ref="V71:V76" si="116">IF(U71=I71,1,0)</f>
        <v>1</v>
      </c>
      <c r="W71" s="34" t="str">
        <f t="shared" ref="W71:W76" si="117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118">IF(OR(AND(OR(J71="SKC",J71="FEW",J71="SCT"),OR(W71="SKC",W71="FEW",W71="SCT")),(AND(OR(J71="BKN",J71="OVC"),OR(W71="BKN",W71="OVC")))),1,0)</f>
        <v>0</v>
      </c>
      <c r="Y71" s="34">
        <f t="shared" ref="Y71:Y76" si="119">IF(ISNUMBER(VALUE(FIND("CAVOK",L71))),9999,IF(ISNUMBER(VALUE(FIND("NSC",L71))),9999,(MID(L71,(FIND(W71,L71)+4),2))*100))</f>
        <v>900</v>
      </c>
      <c r="Z71" s="34">
        <f t="shared" ref="Z71:Z76" si="120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39</v>
      </c>
      <c r="D72" s="29"/>
      <c r="E72" s="29">
        <v>270</v>
      </c>
      <c r="F72" s="29">
        <v>2</v>
      </c>
      <c r="G72" s="29">
        <v>0</v>
      </c>
      <c r="H72" s="29">
        <v>8000</v>
      </c>
      <c r="I72" s="29">
        <v>0</v>
      </c>
      <c r="J72" s="29" t="s">
        <v>51</v>
      </c>
      <c r="K72" s="29">
        <v>800</v>
      </c>
      <c r="L72" t="s">
        <v>250</v>
      </c>
      <c r="M72" s="32">
        <f t="shared" si="107"/>
        <v>40</v>
      </c>
      <c r="N72" s="33">
        <f t="shared" si="108"/>
        <v>1</v>
      </c>
      <c r="O72" s="33">
        <f t="shared" si="109"/>
        <v>2</v>
      </c>
      <c r="P72" s="33">
        <f t="shared" si="110"/>
        <v>1</v>
      </c>
      <c r="Q72" s="34">
        <f t="shared" si="111"/>
        <v>0</v>
      </c>
      <c r="R72" s="33">
        <f t="shared" si="112"/>
        <v>1</v>
      </c>
      <c r="S72" s="34">
        <f t="shared" si="113"/>
        <v>8000</v>
      </c>
      <c r="T72" s="34">
        <f t="shared" si="114"/>
        <v>1</v>
      </c>
      <c r="U72" s="34">
        <f t="shared" si="115"/>
        <v>0</v>
      </c>
      <c r="V72" s="34">
        <f t="shared" si="116"/>
        <v>1</v>
      </c>
      <c r="W72" s="34" t="str">
        <f t="shared" si="117"/>
        <v>BKN</v>
      </c>
      <c r="X72" s="34">
        <f t="shared" si="118"/>
        <v>0</v>
      </c>
      <c r="Y72" s="34">
        <f t="shared" si="119"/>
        <v>900</v>
      </c>
      <c r="Z72" s="34">
        <f t="shared" si="12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39</v>
      </c>
      <c r="D73" s="29"/>
      <c r="E73" s="29">
        <v>270</v>
      </c>
      <c r="F73" s="29">
        <v>2</v>
      </c>
      <c r="G73" s="29">
        <v>0</v>
      </c>
      <c r="H73" s="29">
        <v>8000</v>
      </c>
      <c r="I73" s="29">
        <v>0</v>
      </c>
      <c r="J73" s="29" t="s">
        <v>51</v>
      </c>
      <c r="K73" s="29">
        <v>800</v>
      </c>
      <c r="L73" t="s">
        <v>249</v>
      </c>
      <c r="M73" s="32">
        <f t="shared" si="107"/>
        <v>50</v>
      </c>
      <c r="N73" s="33">
        <f t="shared" si="108"/>
        <v>1</v>
      </c>
      <c r="O73" s="33">
        <f t="shared" si="109"/>
        <v>3</v>
      </c>
      <c r="P73" s="33">
        <f t="shared" si="110"/>
        <v>1</v>
      </c>
      <c r="Q73" s="34">
        <f t="shared" si="111"/>
        <v>0</v>
      </c>
      <c r="R73" s="33">
        <f t="shared" si="112"/>
        <v>1</v>
      </c>
      <c r="S73" s="34">
        <f t="shared" si="113"/>
        <v>4000</v>
      </c>
      <c r="T73" s="34">
        <f t="shared" si="114"/>
        <v>0</v>
      </c>
      <c r="U73" s="34" t="str">
        <f t="shared" si="115"/>
        <v>RA</v>
      </c>
      <c r="V73" s="34">
        <f t="shared" si="116"/>
        <v>0</v>
      </c>
      <c r="W73" s="34" t="str">
        <f t="shared" si="117"/>
        <v>FEW</v>
      </c>
      <c r="X73" s="34">
        <f t="shared" si="118"/>
        <v>1</v>
      </c>
      <c r="Y73" s="34">
        <f t="shared" si="119"/>
        <v>800</v>
      </c>
      <c r="Z73" s="34">
        <f t="shared" si="12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39</v>
      </c>
      <c r="D74" s="29"/>
      <c r="E74" s="29">
        <v>270</v>
      </c>
      <c r="F74" s="29">
        <v>2</v>
      </c>
      <c r="G74" s="29">
        <v>0</v>
      </c>
      <c r="H74" s="29">
        <v>8000</v>
      </c>
      <c r="I74" s="29">
        <v>0</v>
      </c>
      <c r="J74" s="29" t="s">
        <v>51</v>
      </c>
      <c r="K74" s="29">
        <v>800</v>
      </c>
      <c r="L74" t="s">
        <v>248</v>
      </c>
      <c r="M74" s="32">
        <f t="shared" si="107"/>
        <v>190</v>
      </c>
      <c r="N74" s="33">
        <f t="shared" si="108"/>
        <v>1</v>
      </c>
      <c r="O74" s="33">
        <f t="shared" si="109"/>
        <v>2</v>
      </c>
      <c r="P74" s="33">
        <f t="shared" si="110"/>
        <v>1</v>
      </c>
      <c r="Q74" s="34">
        <f t="shared" si="111"/>
        <v>0</v>
      </c>
      <c r="R74" s="33">
        <f t="shared" si="112"/>
        <v>1</v>
      </c>
      <c r="S74" s="34">
        <f t="shared" si="113"/>
        <v>4000</v>
      </c>
      <c r="T74" s="34">
        <f t="shared" si="114"/>
        <v>0</v>
      </c>
      <c r="U74" s="34" t="str">
        <f t="shared" si="115"/>
        <v>RA</v>
      </c>
      <c r="V74" s="34">
        <f t="shared" si="116"/>
        <v>0</v>
      </c>
      <c r="W74" s="34" t="str">
        <f t="shared" si="117"/>
        <v>FEW</v>
      </c>
      <c r="X74" s="34">
        <f t="shared" si="118"/>
        <v>1</v>
      </c>
      <c r="Y74" s="34">
        <f t="shared" si="119"/>
        <v>800</v>
      </c>
      <c r="Z74" s="34">
        <f t="shared" si="12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39</v>
      </c>
      <c r="D75" s="29"/>
      <c r="E75" s="29">
        <v>270</v>
      </c>
      <c r="F75" s="29">
        <v>2</v>
      </c>
      <c r="G75" s="29">
        <v>0</v>
      </c>
      <c r="H75" s="29">
        <v>8000</v>
      </c>
      <c r="I75" s="29">
        <v>0</v>
      </c>
      <c r="J75" s="29" t="s">
        <v>51</v>
      </c>
      <c r="K75" s="29">
        <v>800</v>
      </c>
      <c r="L75" t="s">
        <v>247</v>
      </c>
      <c r="M75" s="32">
        <f t="shared" si="107"/>
        <v>130</v>
      </c>
      <c r="N75" s="33">
        <f t="shared" si="108"/>
        <v>1</v>
      </c>
      <c r="O75" s="33">
        <f t="shared" si="109"/>
        <v>2</v>
      </c>
      <c r="P75" s="33">
        <f t="shared" si="110"/>
        <v>1</v>
      </c>
      <c r="Q75" s="34">
        <f t="shared" si="111"/>
        <v>0</v>
      </c>
      <c r="R75" s="33">
        <f t="shared" si="112"/>
        <v>1</v>
      </c>
      <c r="S75" s="34">
        <f t="shared" si="113"/>
        <v>4000</v>
      </c>
      <c r="T75" s="34">
        <f t="shared" si="114"/>
        <v>0</v>
      </c>
      <c r="U75" s="34" t="str">
        <f t="shared" si="115"/>
        <v>RA</v>
      </c>
      <c r="V75" s="34">
        <f t="shared" si="116"/>
        <v>0</v>
      </c>
      <c r="W75" s="34" t="str">
        <f t="shared" si="117"/>
        <v>FEW</v>
      </c>
      <c r="X75" s="34">
        <f t="shared" si="118"/>
        <v>1</v>
      </c>
      <c r="Y75" s="34">
        <f t="shared" si="119"/>
        <v>800</v>
      </c>
      <c r="Z75" s="34">
        <f t="shared" si="12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39</v>
      </c>
      <c r="D76" s="29"/>
      <c r="E76" s="29">
        <v>270</v>
      </c>
      <c r="F76" s="29">
        <v>2</v>
      </c>
      <c r="G76" s="29">
        <v>0</v>
      </c>
      <c r="H76" s="29">
        <v>8000</v>
      </c>
      <c r="I76" s="29">
        <v>0</v>
      </c>
      <c r="J76" s="29" t="s">
        <v>51</v>
      </c>
      <c r="K76" s="29">
        <v>800</v>
      </c>
      <c r="L76" t="s">
        <v>246</v>
      </c>
      <c r="M76" s="32">
        <f t="shared" si="107"/>
        <v>190</v>
      </c>
      <c r="N76" s="33">
        <f t="shared" si="108"/>
        <v>1</v>
      </c>
      <c r="O76" s="33">
        <f t="shared" si="109"/>
        <v>3</v>
      </c>
      <c r="P76" s="33">
        <f t="shared" si="110"/>
        <v>1</v>
      </c>
      <c r="Q76" s="34">
        <f t="shared" si="111"/>
        <v>0</v>
      </c>
      <c r="R76" s="33">
        <f t="shared" si="112"/>
        <v>1</v>
      </c>
      <c r="S76" s="34">
        <f t="shared" si="113"/>
        <v>4000</v>
      </c>
      <c r="T76" s="34">
        <f t="shared" si="114"/>
        <v>0</v>
      </c>
      <c r="U76" s="34" t="str">
        <f t="shared" si="115"/>
        <v>RA</v>
      </c>
      <c r="V76" s="34">
        <f t="shared" si="116"/>
        <v>0</v>
      </c>
      <c r="W76" s="34" t="str">
        <f t="shared" si="117"/>
        <v>FEW</v>
      </c>
      <c r="X76" s="34">
        <f t="shared" si="118"/>
        <v>1</v>
      </c>
      <c r="Y76" s="34">
        <f t="shared" si="119"/>
        <v>800</v>
      </c>
      <c r="Z76" s="34">
        <f t="shared" si="12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5</v>
      </c>
      <c r="U80" s="25"/>
      <c r="V80" s="25">
        <f>SUM(V64:V76)</f>
        <v>5</v>
      </c>
      <c r="W80" s="25"/>
      <c r="X80" s="25">
        <f>SUM(X64:X76)</f>
        <v>5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8</v>
      </c>
      <c r="O81" s="25"/>
      <c r="P81" s="25">
        <f>SUMIF($C64:$C76,"GENERAL",P64:P76)</f>
        <v>8</v>
      </c>
      <c r="Q81" s="25"/>
      <c r="R81" s="25">
        <f>SUMIF($C64:$C76,"GENERAL",R64:R76)</f>
        <v>8</v>
      </c>
      <c r="S81" s="25"/>
      <c r="T81" s="25">
        <f>SUMIF($C64:$C76,"GENERAL",T64:T76)</f>
        <v>4</v>
      </c>
      <c r="U81" s="25"/>
      <c r="V81" s="25">
        <f>SUMIF($C64:$C76,"GENERAL",V64:V76)</f>
        <v>4</v>
      </c>
      <c r="W81" s="25"/>
      <c r="X81" s="25">
        <f>SUMIF($C64:$C76,"GENERAL",X64:X76)</f>
        <v>5</v>
      </c>
      <c r="Y81" s="25"/>
      <c r="Z81" s="25">
        <f>SUMIF($C64:$C76,"GENERAL",Z64:Z76)</f>
        <v>8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4</v>
      </c>
      <c r="M84" s="42">
        <f>SUMIF($C64:$C76,"TEMPO",N64:N76)</f>
        <v>4</v>
      </c>
      <c r="N84" s="42">
        <f>M84</f>
        <v>4</v>
      </c>
      <c r="O84" s="42">
        <f>SUMIF($C64:$C76,"TEMPO",P64:P76)</f>
        <v>4</v>
      </c>
      <c r="P84" s="42">
        <f>O84</f>
        <v>4</v>
      </c>
      <c r="Q84" s="42">
        <f>SUMIF($C64:$C76,"TEMPO",R64:R76)</f>
        <v>4</v>
      </c>
      <c r="R84" s="42">
        <f>Q84</f>
        <v>4</v>
      </c>
      <c r="S84" s="42">
        <f>SUMIF($C64:$C76,"TEMPO",T64:T76)</f>
        <v>1</v>
      </c>
      <c r="T84" s="42">
        <f>S84</f>
        <v>1</v>
      </c>
      <c r="U84" s="42">
        <f>SUMIF($C64:$C76,"TEMPO",V64:V76)</f>
        <v>1</v>
      </c>
      <c r="V84" s="42">
        <f>U84</f>
        <v>1</v>
      </c>
      <c r="W84" s="42">
        <f>SUMIF($C64:$C76,"TEMPO",X64:X76)</f>
        <v>0</v>
      </c>
      <c r="X84" s="42">
        <f>W84</f>
        <v>0</v>
      </c>
      <c r="Y84" s="42">
        <f>SUMIF($C64:$C76,"TEMPO",Z64:Z76)</f>
        <v>4</v>
      </c>
      <c r="Z84" s="42">
        <f>Y84</f>
        <v>4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41.666666666666671</v>
      </c>
      <c r="U85" s="38"/>
      <c r="V85" s="38">
        <f>(SUM(V81:V84)/COUNTA(V64:V76))*100</f>
        <v>41.666666666666671</v>
      </c>
      <c r="W85" s="38"/>
      <c r="X85" s="38">
        <f>(SUM(X81:X84)/COUNTA(X64:X76))*100</f>
        <v>41.666666666666671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253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7</v>
      </c>
      <c r="B93" s="50">
        <v>0.75</v>
      </c>
      <c r="C93" s="29" t="s">
        <v>39</v>
      </c>
      <c r="D93" s="29"/>
      <c r="E93" s="29">
        <v>10</v>
      </c>
      <c r="F93" s="29">
        <v>2</v>
      </c>
      <c r="G93" s="29">
        <v>0</v>
      </c>
      <c r="H93" s="29">
        <v>8000</v>
      </c>
      <c r="I93" s="29">
        <v>0</v>
      </c>
      <c r="J93" s="29" t="s">
        <v>58</v>
      </c>
      <c r="K93" s="29">
        <v>900</v>
      </c>
      <c r="L93" t="s">
        <v>251</v>
      </c>
      <c r="M93" s="32">
        <f t="shared" ref="M93:M98" si="121">IF(ISNUMBER(VALUE(FIND("VRB",L93))),999,VALUE(MID(L93,20,3)))</f>
        <v>20</v>
      </c>
      <c r="N93" s="33">
        <f t="shared" ref="N93:N98" si="122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123">VALUE(MID(L93,23,2))</f>
        <v>2</v>
      </c>
      <c r="P93" s="33">
        <f t="shared" ref="P93:P98" si="124">IF(ABS(O93-F93)&lt;11,1,0)</f>
        <v>1</v>
      </c>
      <c r="Q93" s="34">
        <f t="shared" ref="Q93:Q98" si="125">IF(MID(L93,25,1)="G","GUST",0)</f>
        <v>0</v>
      </c>
      <c r="R93" s="33">
        <f t="shared" ref="R93:R98" si="126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127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128">IF(AND(IFERROR(FIND("RA",L93),0)&gt;0, IFERROR(FIND("RA",L93),0)&lt;38),"RA",0)</f>
        <v>0</v>
      </c>
      <c r="V93" s="34">
        <f t="shared" ref="V93:V98" si="129">IF(U93=I93,1,0)</f>
        <v>1</v>
      </c>
      <c r="W93" s="34" t="str">
        <f t="shared" ref="W93:W98" si="130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131">IF(OR(AND(OR(J93="SKC",J93="FEW",J93="SCT"),OR(W93="SKC",W93="FEW",W93="SCT")),(AND(OR(J93="BKN",J93="OVC"),OR(W93="BKN",W93="OVC")))),1,0)</f>
        <v>1</v>
      </c>
      <c r="Y93" s="34">
        <f t="shared" ref="Y93:Y98" si="132">IF(ISNUMBER(VALUE(FIND("CAVOK",L93))),9999,IF(ISNUMBER(VALUE(FIND("NSC",L93))),9999,(MID(L93,(FIND(W93,L93)+4),2))*100))</f>
        <v>900</v>
      </c>
      <c r="Z93" s="34">
        <f t="shared" ref="Z93:Z98" si="133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29" t="s">
        <v>39</v>
      </c>
      <c r="D94" s="29"/>
      <c r="E94" s="29">
        <v>10</v>
      </c>
      <c r="F94" s="29">
        <v>2</v>
      </c>
      <c r="G94" s="29">
        <v>0</v>
      </c>
      <c r="H94" s="29">
        <v>8000</v>
      </c>
      <c r="I94" s="29"/>
      <c r="J94" s="29" t="s">
        <v>58</v>
      </c>
      <c r="K94" s="29">
        <v>900</v>
      </c>
      <c r="L94" t="s">
        <v>250</v>
      </c>
      <c r="M94" s="32">
        <f t="shared" si="121"/>
        <v>40</v>
      </c>
      <c r="N94" s="33">
        <f t="shared" si="122"/>
        <v>1</v>
      </c>
      <c r="O94" s="33">
        <f t="shared" si="123"/>
        <v>2</v>
      </c>
      <c r="P94" s="33">
        <f t="shared" si="124"/>
        <v>1</v>
      </c>
      <c r="Q94" s="34">
        <f t="shared" si="125"/>
        <v>0</v>
      </c>
      <c r="R94" s="33">
        <f t="shared" si="126"/>
        <v>1</v>
      </c>
      <c r="S94" s="34">
        <f t="shared" ref="S94:S98" si="134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127"/>
        <v>1</v>
      </c>
      <c r="U94" s="34">
        <f t="shared" si="128"/>
        <v>0</v>
      </c>
      <c r="V94" s="34">
        <f t="shared" si="129"/>
        <v>1</v>
      </c>
      <c r="W94" s="34" t="str">
        <f t="shared" si="130"/>
        <v>BKN</v>
      </c>
      <c r="X94" s="34">
        <f t="shared" si="131"/>
        <v>1</v>
      </c>
      <c r="Y94" s="34">
        <f t="shared" si="132"/>
        <v>900</v>
      </c>
      <c r="Z94" s="34">
        <f t="shared" si="133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29" t="s">
        <v>40</v>
      </c>
      <c r="D95" s="29"/>
      <c r="E95" s="29">
        <v>10</v>
      </c>
      <c r="F95" s="29">
        <v>2</v>
      </c>
      <c r="G95" s="29">
        <v>0</v>
      </c>
      <c r="H95" s="29">
        <v>4000</v>
      </c>
      <c r="I95" s="29" t="s">
        <v>52</v>
      </c>
      <c r="J95" s="29" t="s">
        <v>51</v>
      </c>
      <c r="K95" s="29">
        <v>800</v>
      </c>
      <c r="L95" t="s">
        <v>249</v>
      </c>
      <c r="M95" s="32">
        <f t="shared" si="121"/>
        <v>50</v>
      </c>
      <c r="N95" s="33">
        <f t="shared" si="122"/>
        <v>1</v>
      </c>
      <c r="O95" s="33">
        <f t="shared" si="123"/>
        <v>3</v>
      </c>
      <c r="P95" s="33">
        <f t="shared" si="124"/>
        <v>1</v>
      </c>
      <c r="Q95" s="34">
        <f t="shared" si="125"/>
        <v>0</v>
      </c>
      <c r="R95" s="33">
        <f t="shared" si="126"/>
        <v>1</v>
      </c>
      <c r="S95" s="34">
        <f t="shared" si="134"/>
        <v>4000</v>
      </c>
      <c r="T95" s="34">
        <f t="shared" si="127"/>
        <v>1</v>
      </c>
      <c r="U95" s="34" t="str">
        <f t="shared" si="128"/>
        <v>RA</v>
      </c>
      <c r="V95" s="34">
        <f t="shared" si="129"/>
        <v>1</v>
      </c>
      <c r="W95" s="34" t="str">
        <f t="shared" si="130"/>
        <v>FEW</v>
      </c>
      <c r="X95" s="34">
        <f t="shared" si="131"/>
        <v>1</v>
      </c>
      <c r="Y95" s="34">
        <f t="shared" si="132"/>
        <v>800</v>
      </c>
      <c r="Z95" s="34">
        <f t="shared" si="133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29" t="s">
        <v>40</v>
      </c>
      <c r="D96" s="29"/>
      <c r="E96" s="29">
        <v>10</v>
      </c>
      <c r="F96" s="29">
        <v>2</v>
      </c>
      <c r="G96" s="29">
        <v>0</v>
      </c>
      <c r="H96" s="29">
        <v>4000</v>
      </c>
      <c r="I96" s="29" t="s">
        <v>52</v>
      </c>
      <c r="J96" s="29" t="s">
        <v>51</v>
      </c>
      <c r="K96" s="29">
        <v>800</v>
      </c>
      <c r="L96" t="s">
        <v>248</v>
      </c>
      <c r="M96" s="32">
        <f t="shared" si="121"/>
        <v>190</v>
      </c>
      <c r="N96" s="33">
        <f t="shared" si="122"/>
        <v>1</v>
      </c>
      <c r="O96" s="33">
        <f t="shared" si="123"/>
        <v>2</v>
      </c>
      <c r="P96" s="33">
        <f t="shared" si="124"/>
        <v>1</v>
      </c>
      <c r="Q96" s="34">
        <f t="shared" si="125"/>
        <v>0</v>
      </c>
      <c r="R96" s="33">
        <f t="shared" si="126"/>
        <v>1</v>
      </c>
      <c r="S96" s="34">
        <f t="shared" si="134"/>
        <v>4000</v>
      </c>
      <c r="T96" s="34">
        <f t="shared" si="127"/>
        <v>1</v>
      </c>
      <c r="U96" s="34" t="str">
        <f t="shared" si="128"/>
        <v>RA</v>
      </c>
      <c r="V96" s="34">
        <f t="shared" si="129"/>
        <v>1</v>
      </c>
      <c r="W96" s="34" t="str">
        <f t="shared" si="130"/>
        <v>FEW</v>
      </c>
      <c r="X96" s="34">
        <f t="shared" si="131"/>
        <v>1</v>
      </c>
      <c r="Y96" s="34">
        <f t="shared" si="132"/>
        <v>800</v>
      </c>
      <c r="Z96" s="34">
        <f t="shared" si="133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29" t="s">
        <v>40</v>
      </c>
      <c r="D97" s="29"/>
      <c r="E97" s="29">
        <v>10</v>
      </c>
      <c r="F97" s="29">
        <v>2</v>
      </c>
      <c r="G97" s="29">
        <v>0</v>
      </c>
      <c r="H97" s="29">
        <v>4000</v>
      </c>
      <c r="I97" s="29" t="s">
        <v>52</v>
      </c>
      <c r="J97" s="29" t="s">
        <v>51</v>
      </c>
      <c r="K97" s="29">
        <v>800</v>
      </c>
      <c r="L97" t="s">
        <v>247</v>
      </c>
      <c r="M97" s="32">
        <f t="shared" si="121"/>
        <v>130</v>
      </c>
      <c r="N97" s="33">
        <f t="shared" si="122"/>
        <v>1</v>
      </c>
      <c r="O97" s="33">
        <f t="shared" si="123"/>
        <v>2</v>
      </c>
      <c r="P97" s="33">
        <f t="shared" si="124"/>
        <v>1</v>
      </c>
      <c r="Q97" s="34">
        <f t="shared" si="125"/>
        <v>0</v>
      </c>
      <c r="R97" s="33">
        <f t="shared" si="126"/>
        <v>1</v>
      </c>
      <c r="S97" s="34">
        <f t="shared" si="134"/>
        <v>4000</v>
      </c>
      <c r="T97" s="34">
        <f t="shared" si="127"/>
        <v>1</v>
      </c>
      <c r="U97" s="34" t="str">
        <f t="shared" si="128"/>
        <v>RA</v>
      </c>
      <c r="V97" s="34">
        <f t="shared" si="129"/>
        <v>1</v>
      </c>
      <c r="W97" s="34" t="str">
        <f t="shared" si="130"/>
        <v>FEW</v>
      </c>
      <c r="X97" s="34">
        <f t="shared" si="131"/>
        <v>1</v>
      </c>
      <c r="Y97" s="34">
        <f t="shared" si="132"/>
        <v>800</v>
      </c>
      <c r="Z97" s="34">
        <f t="shared" si="133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29" t="s">
        <v>40</v>
      </c>
      <c r="D98" s="29"/>
      <c r="E98" s="29">
        <v>10</v>
      </c>
      <c r="F98" s="29">
        <v>2</v>
      </c>
      <c r="G98" s="29">
        <v>0</v>
      </c>
      <c r="H98" s="29">
        <v>4000</v>
      </c>
      <c r="I98" s="29" t="s">
        <v>52</v>
      </c>
      <c r="J98" s="29" t="s">
        <v>51</v>
      </c>
      <c r="K98" s="29">
        <v>800</v>
      </c>
      <c r="L98" t="s">
        <v>246</v>
      </c>
      <c r="M98" s="32">
        <f t="shared" si="121"/>
        <v>190</v>
      </c>
      <c r="N98" s="33">
        <f t="shared" si="122"/>
        <v>1</v>
      </c>
      <c r="O98" s="33">
        <f t="shared" si="123"/>
        <v>3</v>
      </c>
      <c r="P98" s="33">
        <f t="shared" si="124"/>
        <v>1</v>
      </c>
      <c r="Q98" s="34">
        <f t="shared" si="125"/>
        <v>0</v>
      </c>
      <c r="R98" s="33">
        <f t="shared" si="126"/>
        <v>1</v>
      </c>
      <c r="S98" s="34">
        <f t="shared" si="134"/>
        <v>4000</v>
      </c>
      <c r="T98" s="34">
        <f t="shared" si="127"/>
        <v>1</v>
      </c>
      <c r="U98" s="34" t="str">
        <f t="shared" si="128"/>
        <v>RA</v>
      </c>
      <c r="V98" s="34">
        <f t="shared" si="129"/>
        <v>1</v>
      </c>
      <c r="W98" s="34" t="str">
        <f t="shared" si="130"/>
        <v>FEW</v>
      </c>
      <c r="X98" s="34">
        <f t="shared" si="131"/>
        <v>1</v>
      </c>
      <c r="Y98" s="34">
        <f t="shared" si="132"/>
        <v>800</v>
      </c>
      <c r="Z98" s="34">
        <f t="shared" si="133"/>
        <v>1</v>
      </c>
      <c r="AA98" s="25"/>
      <c r="AB98" s="25"/>
      <c r="AC98" s="25"/>
      <c r="AD98" s="25"/>
      <c r="AE98" s="25"/>
    </row>
    <row r="99" spans="1:31" ht="16.5">
      <c r="A99" s="55">
        <v>8</v>
      </c>
      <c r="B99" s="54">
        <v>0</v>
      </c>
      <c r="C99" s="29" t="s">
        <v>40</v>
      </c>
      <c r="D99" s="29"/>
      <c r="E99" s="29">
        <v>10</v>
      </c>
      <c r="F99" s="29">
        <v>2</v>
      </c>
      <c r="G99" s="29">
        <v>0</v>
      </c>
      <c r="H99" s="29">
        <v>4000</v>
      </c>
      <c r="I99" s="29" t="s">
        <v>52</v>
      </c>
      <c r="J99" s="29" t="s">
        <v>51</v>
      </c>
      <c r="K99" s="29">
        <v>800</v>
      </c>
      <c r="L99" t="s">
        <v>259</v>
      </c>
      <c r="M99" s="32">
        <f t="shared" ref="M99:M104" si="135">IF(ISNUMBER(VALUE(FIND("VRB",L99))),999,VALUE(MID(L99,20,3)))</f>
        <v>160</v>
      </c>
      <c r="N99" s="33">
        <f t="shared" ref="N99:N104" si="136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137">VALUE(MID(L99,23,2))</f>
        <v>3</v>
      </c>
      <c r="P99" s="33">
        <f t="shared" ref="P99:P104" si="138">IF(ABS(O99-F99)&lt;11,1,0)</f>
        <v>1</v>
      </c>
      <c r="Q99" s="34">
        <f t="shared" ref="Q99:Q104" si="139">IF(MID(L99,25,1)="G","GUST",0)</f>
        <v>0</v>
      </c>
      <c r="R99" s="33">
        <f t="shared" ref="R99:R104" si="140">IF(G99=Q99,1,0)</f>
        <v>1</v>
      </c>
      <c r="S99" s="34">
        <f t="shared" ref="S99:S104" si="141">IF(ISNUMBER(VALUE(MID(L99,(FIND("KT",L99,FIND("Z",L99))+3),4))),VALUE(MID(L99,(FIND("KT",L99,FIND("Z",L99))+3),4)),IF(ISNUMBER(VALUE(MID(L99,(FIND("0V",L99)+6),4))),VALUE(MID(L99,(FIND("0V",L99)+6),4)),9999))</f>
        <v>5000</v>
      </c>
      <c r="T99" s="34">
        <f t="shared" ref="T99:T104" si="142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 t="str">
        <f t="shared" ref="U99:U104" si="143">IF(AND(IFERROR(FIND("RA",L99),0)&gt;0, IFERROR(FIND("RA",L99),0)&lt;38),"RA",0)</f>
        <v>RA</v>
      </c>
      <c r="V99" s="34">
        <f t="shared" ref="V99:V104" si="144">IF(U99=I99,1,0)</f>
        <v>1</v>
      </c>
      <c r="W99" s="34" t="str">
        <f t="shared" ref="W99:W104" si="145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46">IF(OR(AND(OR(J99="SKC",J99="FEW",J99="SCT"),OR(W99="SKC",W99="FEW",W99="SCT")),(AND(OR(J99="BKN",J99="OVC"),OR(W99="BKN",W99="OVC")))),1,0)</f>
        <v>0</v>
      </c>
      <c r="Y99" s="34">
        <f t="shared" ref="Y99:Y104" si="147">IF(ISNUMBER(VALUE(FIND("CAVOK",L99))),9999,IF(ISNUMBER(VALUE(FIND("NSC",L99))),9999,(MID(L99,(FIND(W99,L99)+4),2))*100))</f>
        <v>900</v>
      </c>
      <c r="Z99" s="34">
        <f t="shared" ref="Z99:Z104" si="148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29" t="s">
        <v>39</v>
      </c>
      <c r="D100" s="29"/>
      <c r="E100" s="29">
        <v>10</v>
      </c>
      <c r="F100" s="29">
        <v>2</v>
      </c>
      <c r="G100" s="29">
        <v>0</v>
      </c>
      <c r="H100" s="29">
        <v>8000</v>
      </c>
      <c r="I100" s="29">
        <v>0</v>
      </c>
      <c r="J100" s="29" t="s">
        <v>58</v>
      </c>
      <c r="K100" s="29">
        <v>900</v>
      </c>
      <c r="L100" t="s">
        <v>258</v>
      </c>
      <c r="M100" s="32">
        <f t="shared" si="135"/>
        <v>170</v>
      </c>
      <c r="N100" s="33">
        <f t="shared" si="136"/>
        <v>1</v>
      </c>
      <c r="O100" s="33">
        <f t="shared" si="137"/>
        <v>3</v>
      </c>
      <c r="P100" s="33">
        <f t="shared" si="138"/>
        <v>1</v>
      </c>
      <c r="Q100" s="34">
        <f t="shared" si="139"/>
        <v>0</v>
      </c>
      <c r="R100" s="33">
        <f t="shared" si="140"/>
        <v>1</v>
      </c>
      <c r="S100" s="34">
        <f t="shared" si="141"/>
        <v>5000</v>
      </c>
      <c r="T100" s="34">
        <f t="shared" si="142"/>
        <v>1</v>
      </c>
      <c r="U100" s="34" t="str">
        <f t="shared" si="143"/>
        <v>RA</v>
      </c>
      <c r="V100" s="34">
        <f t="shared" si="144"/>
        <v>0</v>
      </c>
      <c r="W100" s="34" t="str">
        <f t="shared" si="145"/>
        <v>FEW</v>
      </c>
      <c r="X100" s="34">
        <f t="shared" si="146"/>
        <v>0</v>
      </c>
      <c r="Y100" s="34">
        <f t="shared" si="147"/>
        <v>800</v>
      </c>
      <c r="Z100" s="34">
        <f t="shared" si="148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29" t="s">
        <v>39</v>
      </c>
      <c r="D101" s="29"/>
      <c r="E101" s="29">
        <v>10</v>
      </c>
      <c r="F101" s="29">
        <v>2</v>
      </c>
      <c r="G101" s="29">
        <v>0</v>
      </c>
      <c r="H101" s="29">
        <v>8000</v>
      </c>
      <c r="I101" s="29">
        <v>0</v>
      </c>
      <c r="J101" s="29" t="s">
        <v>58</v>
      </c>
      <c r="K101" s="29">
        <v>900</v>
      </c>
      <c r="L101" t="s">
        <v>257</v>
      </c>
      <c r="M101" s="32">
        <f t="shared" si="135"/>
        <v>150</v>
      </c>
      <c r="N101" s="33">
        <f t="shared" si="136"/>
        <v>1</v>
      </c>
      <c r="O101" s="33">
        <f t="shared" si="137"/>
        <v>2</v>
      </c>
      <c r="P101" s="33">
        <f t="shared" si="138"/>
        <v>1</v>
      </c>
      <c r="Q101" s="34">
        <f t="shared" si="139"/>
        <v>0</v>
      </c>
      <c r="R101" s="33">
        <f t="shared" si="140"/>
        <v>1</v>
      </c>
      <c r="S101" s="34">
        <f t="shared" si="141"/>
        <v>6000</v>
      </c>
      <c r="T101" s="34">
        <f t="shared" si="142"/>
        <v>1</v>
      </c>
      <c r="U101" s="34">
        <f t="shared" si="143"/>
        <v>0</v>
      </c>
      <c r="V101" s="34">
        <f t="shared" si="144"/>
        <v>1</v>
      </c>
      <c r="W101" s="34" t="str">
        <f t="shared" si="145"/>
        <v>BKN</v>
      </c>
      <c r="X101" s="34">
        <f t="shared" si="146"/>
        <v>1</v>
      </c>
      <c r="Y101" s="34">
        <f t="shared" si="147"/>
        <v>900</v>
      </c>
      <c r="Z101" s="34">
        <f t="shared" si="148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29" t="s">
        <v>39</v>
      </c>
      <c r="D102" s="29"/>
      <c r="E102" s="29">
        <v>10</v>
      </c>
      <c r="F102" s="29">
        <v>2</v>
      </c>
      <c r="G102" s="29">
        <v>0</v>
      </c>
      <c r="H102" s="29">
        <v>8000</v>
      </c>
      <c r="I102" s="29">
        <v>0</v>
      </c>
      <c r="J102" s="29" t="s">
        <v>58</v>
      </c>
      <c r="K102" s="29">
        <v>900</v>
      </c>
      <c r="L102" t="s">
        <v>256</v>
      </c>
      <c r="M102" s="32">
        <f t="shared" si="135"/>
        <v>130</v>
      </c>
      <c r="N102" s="33">
        <f t="shared" si="136"/>
        <v>1</v>
      </c>
      <c r="O102" s="33">
        <f t="shared" si="137"/>
        <v>3</v>
      </c>
      <c r="P102" s="33">
        <f t="shared" si="138"/>
        <v>1</v>
      </c>
      <c r="Q102" s="34">
        <f t="shared" si="139"/>
        <v>0</v>
      </c>
      <c r="R102" s="33">
        <f t="shared" si="140"/>
        <v>1</v>
      </c>
      <c r="S102" s="34">
        <f t="shared" si="141"/>
        <v>7000</v>
      </c>
      <c r="T102" s="34">
        <f t="shared" si="142"/>
        <v>1</v>
      </c>
      <c r="U102" s="34">
        <f t="shared" si="143"/>
        <v>0</v>
      </c>
      <c r="V102" s="34">
        <f t="shared" si="144"/>
        <v>1</v>
      </c>
      <c r="W102" s="34" t="str">
        <f t="shared" si="145"/>
        <v>BKN</v>
      </c>
      <c r="X102" s="34">
        <f t="shared" si="146"/>
        <v>1</v>
      </c>
      <c r="Y102" s="34">
        <f t="shared" si="147"/>
        <v>900</v>
      </c>
      <c r="Z102" s="34">
        <f t="shared" si="148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29" t="s">
        <v>39</v>
      </c>
      <c r="D103" s="29"/>
      <c r="E103" s="29">
        <v>10</v>
      </c>
      <c r="F103" s="29">
        <v>2</v>
      </c>
      <c r="G103" s="29">
        <v>0</v>
      </c>
      <c r="H103" s="29">
        <v>8000</v>
      </c>
      <c r="I103" s="29">
        <v>0</v>
      </c>
      <c r="J103" s="29" t="s">
        <v>58</v>
      </c>
      <c r="K103" s="29">
        <v>900</v>
      </c>
      <c r="L103" t="s">
        <v>255</v>
      </c>
      <c r="M103" s="32">
        <f t="shared" si="135"/>
        <v>110</v>
      </c>
      <c r="N103" s="33">
        <f t="shared" si="136"/>
        <v>1</v>
      </c>
      <c r="O103" s="33">
        <f t="shared" si="137"/>
        <v>3</v>
      </c>
      <c r="P103" s="33">
        <f t="shared" si="138"/>
        <v>1</v>
      </c>
      <c r="Q103" s="34">
        <f t="shared" si="139"/>
        <v>0</v>
      </c>
      <c r="R103" s="33">
        <f t="shared" si="140"/>
        <v>1</v>
      </c>
      <c r="S103" s="34">
        <f t="shared" si="141"/>
        <v>8000</v>
      </c>
      <c r="T103" s="34">
        <f t="shared" si="142"/>
        <v>1</v>
      </c>
      <c r="U103" s="34">
        <f t="shared" si="143"/>
        <v>0</v>
      </c>
      <c r="V103" s="34">
        <f t="shared" si="144"/>
        <v>1</v>
      </c>
      <c r="W103" s="34" t="str">
        <f t="shared" si="145"/>
        <v>BKN</v>
      </c>
      <c r="X103" s="34">
        <f t="shared" si="146"/>
        <v>1</v>
      </c>
      <c r="Y103" s="34">
        <f t="shared" si="147"/>
        <v>900</v>
      </c>
      <c r="Z103" s="34">
        <f t="shared" si="148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29" t="s">
        <v>39</v>
      </c>
      <c r="D104" s="29"/>
      <c r="E104" s="29">
        <v>10</v>
      </c>
      <c r="F104" s="29">
        <v>2</v>
      </c>
      <c r="G104" s="29">
        <v>0</v>
      </c>
      <c r="H104" s="29">
        <v>8000</v>
      </c>
      <c r="I104" s="29">
        <v>0</v>
      </c>
      <c r="J104" s="29" t="s">
        <v>58</v>
      </c>
      <c r="K104" s="29">
        <v>900</v>
      </c>
      <c r="L104" t="s">
        <v>254</v>
      </c>
      <c r="M104" s="32">
        <f t="shared" si="135"/>
        <v>160</v>
      </c>
      <c r="N104" s="33">
        <f t="shared" si="136"/>
        <v>1</v>
      </c>
      <c r="O104" s="33">
        <f t="shared" si="137"/>
        <v>2</v>
      </c>
      <c r="P104" s="33">
        <f t="shared" si="138"/>
        <v>1</v>
      </c>
      <c r="Q104" s="34">
        <f t="shared" si="139"/>
        <v>0</v>
      </c>
      <c r="R104" s="33">
        <f t="shared" si="140"/>
        <v>1</v>
      </c>
      <c r="S104" s="34">
        <f t="shared" si="141"/>
        <v>8000</v>
      </c>
      <c r="T104" s="34">
        <f t="shared" si="142"/>
        <v>1</v>
      </c>
      <c r="U104" s="34">
        <f t="shared" si="143"/>
        <v>0</v>
      </c>
      <c r="V104" s="34">
        <f t="shared" si="144"/>
        <v>1</v>
      </c>
      <c r="W104" s="34" t="str">
        <f t="shared" si="145"/>
        <v>BKN</v>
      </c>
      <c r="X104" s="34">
        <f t="shared" si="146"/>
        <v>1</v>
      </c>
      <c r="Y104" s="34">
        <f t="shared" si="147"/>
        <v>900</v>
      </c>
      <c r="Z104" s="34">
        <f t="shared" si="148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11</v>
      </c>
      <c r="W109" s="25"/>
      <c r="X109" s="25">
        <f>SUM(X93:X104)</f>
        <v>10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7</v>
      </c>
      <c r="O110" s="25"/>
      <c r="P110" s="25">
        <f>SUMIF($C93:$C104,"GENERAL",P93:P104)</f>
        <v>7</v>
      </c>
      <c r="Q110" s="25"/>
      <c r="R110" s="25">
        <f>SUMIF($C93:$C104,"GENERAL",R93:R104)</f>
        <v>7</v>
      </c>
      <c r="S110" s="25"/>
      <c r="T110" s="25">
        <f>SUMIF($C93:$C104,"GENERAL",T93:T104)</f>
        <v>7</v>
      </c>
      <c r="U110" s="25"/>
      <c r="V110" s="25">
        <f>SUMIF($C93:$C104,"GENERAL",V93:V104)</f>
        <v>6</v>
      </c>
      <c r="W110" s="25"/>
      <c r="X110" s="25">
        <f>SUMIF($C93:$C104,"GENERAL",X93:X104)</f>
        <v>6</v>
      </c>
      <c r="Y110" s="25"/>
      <c r="Z110" s="25">
        <f>SUMIF($C93:$C104,"GENERAL",Z93:Z104)</f>
        <v>7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5</v>
      </c>
      <c r="M113" s="42">
        <f>SUMIF($C93:$C104,"TEMPO",N93:N104)</f>
        <v>5</v>
      </c>
      <c r="N113" s="42">
        <f>M113</f>
        <v>5</v>
      </c>
      <c r="O113" s="42">
        <f>SUMIF($C93:$C104,"TEMPO",P93:P104)</f>
        <v>5</v>
      </c>
      <c r="P113" s="42">
        <f>O113</f>
        <v>5</v>
      </c>
      <c r="Q113" s="42">
        <f>SUMIF($C93:$C104,"TEMPO",R93:R104)</f>
        <v>5</v>
      </c>
      <c r="R113" s="42">
        <f>Q113</f>
        <v>5</v>
      </c>
      <c r="S113" s="42">
        <f>SUMIF($C93:$C104,"TEMPO",T93:T104)</f>
        <v>5</v>
      </c>
      <c r="T113" s="42">
        <f>S113</f>
        <v>5</v>
      </c>
      <c r="U113" s="42">
        <f>SUMIF($C93:$C104,"TEMPO",V93:V104)</f>
        <v>5</v>
      </c>
      <c r="V113" s="42">
        <f>U113</f>
        <v>5</v>
      </c>
      <c r="W113" s="42">
        <f>SUMIF($C93:$C104,"TEMPO",X93:X104)</f>
        <v>4</v>
      </c>
      <c r="X113" s="42">
        <f>W113</f>
        <v>4</v>
      </c>
      <c r="Y113" s="42">
        <f>SUMIF($C93:$C104,"TEMPO",Z93:Z104)</f>
        <v>5</v>
      </c>
      <c r="Z113" s="42">
        <f>Y113</f>
        <v>5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91.666666666666657</v>
      </c>
      <c r="W114" s="38"/>
      <c r="X114" s="38">
        <f>(SUM(X110:X113)/COUNTA(X93:X104))*100</f>
        <v>83.333333333333343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07144-0BAD-1B45-B634-714E1670F739}">
  <sheetPr>
    <tabColor theme="0"/>
  </sheetPr>
  <dimension ref="A1:AE115"/>
  <sheetViews>
    <sheetView topLeftCell="A97" workbookViewId="0">
      <selection activeCell="L112" sqref="L112"/>
    </sheetView>
  </sheetViews>
  <sheetFormatPr defaultColWidth="11.5" defaultRowHeight="15.75"/>
  <cols>
    <col min="12" max="12" width="49.5" customWidth="1"/>
    <col min="13" max="13" width="11.37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261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8</v>
      </c>
      <c r="B7" s="28">
        <v>0</v>
      </c>
      <c r="C7" s="29" t="s">
        <v>39</v>
      </c>
      <c r="D7" s="29"/>
      <c r="E7" s="29">
        <v>150</v>
      </c>
      <c r="F7" s="29">
        <v>4</v>
      </c>
      <c r="G7" s="29">
        <v>0</v>
      </c>
      <c r="H7" s="29">
        <v>3000</v>
      </c>
      <c r="I7" s="29" t="s">
        <v>52</v>
      </c>
      <c r="J7" s="29" t="s">
        <v>51</v>
      </c>
      <c r="K7" s="29">
        <v>800</v>
      </c>
      <c r="L7" s="1" t="s">
        <v>259</v>
      </c>
      <c r="M7" s="32">
        <f t="shared" ref="M7:M18" si="0">IF(ISNUMBER(VALUE(FIND("VRB",L7))),999,VALUE(MID(L7,20,3)))</f>
        <v>160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3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5000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 t="str">
        <f t="shared" ref="U7:U18" si="7">IF(AND(IFERROR(FIND("RA",L7),0)&gt;0, IFERROR(FIND("RA",L7),0)&lt;38),"RA",0)</f>
        <v>RA</v>
      </c>
      <c r="V7" s="34">
        <f t="shared" ref="V7:V18" si="8">IF(U7=I7,1,0)</f>
        <v>1</v>
      </c>
      <c r="W7" s="34" t="str">
        <f t="shared" ref="W7:W18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0">IF(OR(AND(OR(J7="SKC",J7="FEW",J7="SCT"),OR(W7="SKC",W7="FEW",W7="SCT")),(AND(OR(J7="BKN",J7="OVC"),OR(W7="BKN",W7="OVC")))),1,0)</f>
        <v>0</v>
      </c>
      <c r="Y7" s="34">
        <f t="shared" ref="Y7:Y18" si="11">IF(ISNUMBER(VALUE(FIND("CAVOK",L7))),9999,IF(ISNUMBER(VALUE(FIND("NSC",L7))),9999,(MID(L7,(FIND(W7,L7)+4),2))*100))</f>
        <v>900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150</v>
      </c>
      <c r="F8" s="29">
        <v>4</v>
      </c>
      <c r="G8" s="29">
        <v>0</v>
      </c>
      <c r="H8" s="29">
        <v>3000</v>
      </c>
      <c r="I8" s="29" t="s">
        <v>52</v>
      </c>
      <c r="J8" s="29" t="s">
        <v>51</v>
      </c>
      <c r="K8" s="29">
        <v>800</v>
      </c>
      <c r="L8" s="1" t="s">
        <v>258</v>
      </c>
      <c r="M8" s="32">
        <f t="shared" si="0"/>
        <v>170</v>
      </c>
      <c r="N8" s="33">
        <f t="shared" si="1"/>
        <v>1</v>
      </c>
      <c r="O8" s="33">
        <f t="shared" si="2"/>
        <v>3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5000</v>
      </c>
      <c r="T8" s="34">
        <f t="shared" si="6"/>
        <v>1</v>
      </c>
      <c r="U8" s="34" t="str">
        <f t="shared" si="7"/>
        <v>RA</v>
      </c>
      <c r="V8" s="34">
        <f t="shared" si="8"/>
        <v>1</v>
      </c>
      <c r="W8" s="34" t="str">
        <f t="shared" si="9"/>
        <v>FEW</v>
      </c>
      <c r="X8" s="34">
        <f t="shared" si="10"/>
        <v>1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150</v>
      </c>
      <c r="F9" s="29">
        <v>4</v>
      </c>
      <c r="G9" s="29">
        <v>0</v>
      </c>
      <c r="H9" s="29">
        <v>3000</v>
      </c>
      <c r="I9" s="29" t="s">
        <v>52</v>
      </c>
      <c r="J9" s="29" t="s">
        <v>51</v>
      </c>
      <c r="K9" s="29">
        <v>800</v>
      </c>
      <c r="L9" s="1" t="s">
        <v>257</v>
      </c>
      <c r="M9" s="32">
        <f t="shared" si="0"/>
        <v>150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6000</v>
      </c>
      <c r="T9" s="34">
        <f t="shared" si="6"/>
        <v>0</v>
      </c>
      <c r="U9" s="34">
        <f t="shared" si="7"/>
        <v>0</v>
      </c>
      <c r="V9" s="34">
        <f t="shared" si="8"/>
        <v>0</v>
      </c>
      <c r="W9" s="34" t="str">
        <f t="shared" si="9"/>
        <v>BKN</v>
      </c>
      <c r="X9" s="34">
        <f t="shared" si="10"/>
        <v>0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150</v>
      </c>
      <c r="F10" s="29">
        <v>4</v>
      </c>
      <c r="G10" s="29">
        <v>0</v>
      </c>
      <c r="H10" s="29">
        <v>7000</v>
      </c>
      <c r="I10" s="29">
        <v>0</v>
      </c>
      <c r="J10" s="29" t="s">
        <v>58</v>
      </c>
      <c r="K10" s="29">
        <v>900</v>
      </c>
      <c r="L10" s="1" t="s">
        <v>256</v>
      </c>
      <c r="M10" s="32">
        <f t="shared" si="0"/>
        <v>130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7000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34</v>
      </c>
      <c r="D11" s="29"/>
      <c r="E11" s="29">
        <v>150</v>
      </c>
      <c r="F11" s="29">
        <v>4</v>
      </c>
      <c r="G11" s="29">
        <v>0</v>
      </c>
      <c r="H11" s="29">
        <v>7000</v>
      </c>
      <c r="I11" s="29">
        <v>0</v>
      </c>
      <c r="J11" s="29" t="s">
        <v>58</v>
      </c>
      <c r="K11" s="29">
        <v>900</v>
      </c>
      <c r="L11" s="1" t="s">
        <v>255</v>
      </c>
      <c r="M11" s="32">
        <f t="shared" si="0"/>
        <v>110</v>
      </c>
      <c r="N11" s="33">
        <f t="shared" si="1"/>
        <v>1</v>
      </c>
      <c r="O11" s="33">
        <f t="shared" si="2"/>
        <v>3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34</v>
      </c>
      <c r="D12" s="29"/>
      <c r="E12" s="29">
        <v>150</v>
      </c>
      <c r="F12" s="29">
        <v>4</v>
      </c>
      <c r="G12" s="29">
        <v>0</v>
      </c>
      <c r="H12" s="29">
        <v>7000</v>
      </c>
      <c r="I12" s="29">
        <v>0</v>
      </c>
      <c r="J12" s="29" t="s">
        <v>58</v>
      </c>
      <c r="K12" s="29">
        <v>900</v>
      </c>
      <c r="L12" s="1" t="s">
        <v>254</v>
      </c>
      <c r="M12" s="32">
        <f t="shared" si="0"/>
        <v>160</v>
      </c>
      <c r="N12" s="33">
        <f t="shared" si="1"/>
        <v>1</v>
      </c>
      <c r="O12" s="33">
        <f t="shared" si="2"/>
        <v>2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34</v>
      </c>
      <c r="D13" s="29"/>
      <c r="E13" s="29">
        <v>150</v>
      </c>
      <c r="F13" s="29">
        <v>4</v>
      </c>
      <c r="G13" s="29">
        <v>0</v>
      </c>
      <c r="H13" s="29">
        <v>7000</v>
      </c>
      <c r="I13" s="29">
        <v>0</v>
      </c>
      <c r="J13" s="29" t="s">
        <v>58</v>
      </c>
      <c r="K13" s="29">
        <v>900</v>
      </c>
      <c r="L13" s="1" t="s">
        <v>262</v>
      </c>
      <c r="M13" s="32">
        <f t="shared" si="0"/>
        <v>190</v>
      </c>
      <c r="N13" s="33">
        <f t="shared" si="1"/>
        <v>1</v>
      </c>
      <c r="O13" s="33">
        <f t="shared" si="2"/>
        <v>3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BKN</v>
      </c>
      <c r="X13" s="34">
        <f t="shared" si="10"/>
        <v>1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34</v>
      </c>
      <c r="D14" s="29"/>
      <c r="E14" s="29">
        <v>150</v>
      </c>
      <c r="F14" s="29">
        <v>4</v>
      </c>
      <c r="G14" s="29">
        <v>0</v>
      </c>
      <c r="H14" s="29">
        <v>7000</v>
      </c>
      <c r="I14" s="29">
        <v>0</v>
      </c>
      <c r="J14" s="29" t="s">
        <v>58</v>
      </c>
      <c r="K14" s="29">
        <v>900</v>
      </c>
      <c r="L14" s="1" t="s">
        <v>263</v>
      </c>
      <c r="M14" s="32">
        <f t="shared" si="0"/>
        <v>60</v>
      </c>
      <c r="N14" s="33">
        <f t="shared" si="1"/>
        <v>1</v>
      </c>
      <c r="O14" s="33">
        <f t="shared" si="2"/>
        <v>3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BKN</v>
      </c>
      <c r="X14" s="34">
        <f t="shared" si="10"/>
        <v>1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34</v>
      </c>
      <c r="D15" s="29"/>
      <c r="E15" s="29">
        <v>150</v>
      </c>
      <c r="F15" s="29">
        <v>4</v>
      </c>
      <c r="G15" s="29">
        <v>0</v>
      </c>
      <c r="H15" s="29">
        <v>7000</v>
      </c>
      <c r="I15" s="29">
        <v>0</v>
      </c>
      <c r="J15" s="29" t="s">
        <v>58</v>
      </c>
      <c r="K15" s="29">
        <v>900</v>
      </c>
      <c r="L15" s="1" t="s">
        <v>264</v>
      </c>
      <c r="M15" s="32">
        <f t="shared" si="0"/>
        <v>20</v>
      </c>
      <c r="N15" s="33">
        <f t="shared" si="1"/>
        <v>1</v>
      </c>
      <c r="O15" s="33">
        <f t="shared" si="2"/>
        <v>4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3"/>
        <v>8000</v>
      </c>
      <c r="T15" s="34">
        <f t="shared" si="6"/>
        <v>1</v>
      </c>
      <c r="U15" s="34">
        <f t="shared" si="7"/>
        <v>0</v>
      </c>
      <c r="V15" s="34">
        <f t="shared" si="8"/>
        <v>1</v>
      </c>
      <c r="W15" s="34" t="str">
        <f t="shared" si="9"/>
        <v>BKN</v>
      </c>
      <c r="X15" s="34">
        <f t="shared" si="10"/>
        <v>1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34</v>
      </c>
      <c r="D16" s="29"/>
      <c r="E16" s="29">
        <v>150</v>
      </c>
      <c r="F16" s="29">
        <v>4</v>
      </c>
      <c r="G16" s="29">
        <v>0</v>
      </c>
      <c r="H16" s="29">
        <v>7000</v>
      </c>
      <c r="I16" s="29">
        <v>0</v>
      </c>
      <c r="J16" s="29" t="s">
        <v>58</v>
      </c>
      <c r="K16" s="29">
        <v>900</v>
      </c>
      <c r="L16" s="1" t="s">
        <v>265</v>
      </c>
      <c r="M16" s="32">
        <f t="shared" si="0"/>
        <v>350</v>
      </c>
      <c r="N16" s="33">
        <f t="shared" si="1"/>
        <v>1</v>
      </c>
      <c r="O16" s="33">
        <f t="shared" si="2"/>
        <v>3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3"/>
        <v>8000</v>
      </c>
      <c r="T16" s="34">
        <f t="shared" si="6"/>
        <v>1</v>
      </c>
      <c r="U16" s="34">
        <f t="shared" si="7"/>
        <v>0</v>
      </c>
      <c r="V16" s="34">
        <f t="shared" si="8"/>
        <v>1</v>
      </c>
      <c r="W16" s="34" t="str">
        <f t="shared" si="9"/>
        <v>BKN</v>
      </c>
      <c r="X16" s="34">
        <f t="shared" si="10"/>
        <v>1</v>
      </c>
      <c r="Y16" s="34">
        <f t="shared" si="11"/>
        <v>900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34</v>
      </c>
      <c r="D17" s="29"/>
      <c r="E17" s="29">
        <v>150</v>
      </c>
      <c r="F17" s="29">
        <v>4</v>
      </c>
      <c r="G17" s="29">
        <v>0</v>
      </c>
      <c r="H17" s="29">
        <v>7000</v>
      </c>
      <c r="I17" s="29">
        <v>0</v>
      </c>
      <c r="J17" s="29" t="s">
        <v>58</v>
      </c>
      <c r="K17" s="29">
        <v>900</v>
      </c>
      <c r="L17" s="1" t="s">
        <v>266</v>
      </c>
      <c r="M17" s="32">
        <f t="shared" si="0"/>
        <v>10</v>
      </c>
      <c r="N17" s="33">
        <f t="shared" si="1"/>
        <v>1</v>
      </c>
      <c r="O17" s="33">
        <f t="shared" si="2"/>
        <v>2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3"/>
        <v>8000</v>
      </c>
      <c r="T17" s="34">
        <f t="shared" si="6"/>
        <v>1</v>
      </c>
      <c r="U17" s="34">
        <f t="shared" si="7"/>
        <v>0</v>
      </c>
      <c r="V17" s="34">
        <f t="shared" si="8"/>
        <v>1</v>
      </c>
      <c r="W17" s="34" t="str">
        <f t="shared" si="9"/>
        <v>BKN</v>
      </c>
      <c r="X17" s="34">
        <f t="shared" si="10"/>
        <v>1</v>
      </c>
      <c r="Y17" s="34">
        <f t="shared" si="11"/>
        <v>900</v>
      </c>
      <c r="Z17" s="34">
        <f t="shared" si="12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34</v>
      </c>
      <c r="D18" s="29"/>
      <c r="E18" s="29">
        <v>150</v>
      </c>
      <c r="F18" s="29">
        <v>4</v>
      </c>
      <c r="G18" s="29">
        <v>0</v>
      </c>
      <c r="H18" s="29">
        <v>7000</v>
      </c>
      <c r="I18" s="29">
        <v>0</v>
      </c>
      <c r="J18" s="29" t="s">
        <v>58</v>
      </c>
      <c r="K18" s="29">
        <v>900</v>
      </c>
      <c r="L18" s="1" t="s">
        <v>267</v>
      </c>
      <c r="M18" s="32">
        <f t="shared" si="0"/>
        <v>10</v>
      </c>
      <c r="N18" s="33">
        <f t="shared" si="1"/>
        <v>1</v>
      </c>
      <c r="O18" s="33">
        <f t="shared" si="2"/>
        <v>4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3"/>
        <v>8000</v>
      </c>
      <c r="T18" s="34">
        <f t="shared" si="6"/>
        <v>1</v>
      </c>
      <c r="U18" s="34">
        <f t="shared" si="7"/>
        <v>0</v>
      </c>
      <c r="V18" s="34">
        <f t="shared" si="8"/>
        <v>1</v>
      </c>
      <c r="W18" s="34" t="str">
        <f t="shared" si="9"/>
        <v>FEW</v>
      </c>
      <c r="X18" s="34">
        <f t="shared" si="10"/>
        <v>0</v>
      </c>
      <c r="Y18" s="34">
        <f t="shared" si="11"/>
        <v>800</v>
      </c>
      <c r="Z18" s="34">
        <f t="shared" si="12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11</v>
      </c>
      <c r="U23" s="25"/>
      <c r="V23" s="25">
        <f>SUM(V7:V18)</f>
        <v>11</v>
      </c>
      <c r="W23" s="25"/>
      <c r="X23" s="25">
        <f>SUM(X7:X18)</f>
        <v>9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4</v>
      </c>
      <c r="O24" s="25"/>
      <c r="P24" s="25">
        <f>SUMIF($C7:$C18,"GENERAL",P7:P18)</f>
        <v>4</v>
      </c>
      <c r="Q24" s="25"/>
      <c r="R24" s="25">
        <f>SUMIF($C7:$C18,"GENERAL",R7:R18)</f>
        <v>4</v>
      </c>
      <c r="S24" s="25"/>
      <c r="T24" s="25">
        <f>SUMIF($C7:$C18,"GENERAL",T7:T18)</f>
        <v>3</v>
      </c>
      <c r="U24" s="25"/>
      <c r="V24" s="25">
        <f>SUMIF($C7:$C18,"GENERAL",V7:V18)</f>
        <v>3</v>
      </c>
      <c r="W24" s="25"/>
      <c r="X24" s="25">
        <f>SUMIF($C7:$C18,"GENERAL",X7:X18)</f>
        <v>2</v>
      </c>
      <c r="Y24" s="25"/>
      <c r="Z24" s="25">
        <f>SUMIF($C7:$C18,"GENERAL",Z7:Z18)</f>
        <v>4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8</v>
      </c>
      <c r="O25" s="25"/>
      <c r="P25" s="25">
        <f>SUMIF($C7:$C18,"BECMG",P7:P18)</f>
        <v>8</v>
      </c>
      <c r="Q25" s="25"/>
      <c r="R25" s="25">
        <f>SUMIF($C7:$C18,"BECMG",R7:R18)</f>
        <v>8</v>
      </c>
      <c r="S25" s="25"/>
      <c r="T25" s="25">
        <f>SUMIF($C7:$C18,"BECMG",T7:T18)</f>
        <v>8</v>
      </c>
      <c r="U25" s="25"/>
      <c r="V25" s="25">
        <f>SUMIF($C7:$C18,"BECMG",V7:V18)</f>
        <v>8</v>
      </c>
      <c r="W25" s="25"/>
      <c r="X25" s="25">
        <f>SUMIF($C7:$C18,"BECMG",X7:X18)</f>
        <v>7</v>
      </c>
      <c r="Y25" s="25"/>
      <c r="Z25" s="25">
        <f>SUMIF($C7:$C18,"BECMG",Z7:Z18)</f>
        <v>8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91.666666666666657</v>
      </c>
      <c r="U28" s="38"/>
      <c r="V28" s="38">
        <f>(SUM(V24:V27)/COUNTA(V7:V18))*100</f>
        <v>91.666666666666657</v>
      </c>
      <c r="W28" s="38"/>
      <c r="X28" s="38">
        <f>(SUM(X24:X27)/COUNTA(X7:X18))*100</f>
        <v>75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260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8</v>
      </c>
      <c r="B36" s="28">
        <v>0.25</v>
      </c>
      <c r="C36" s="29" t="s">
        <v>39</v>
      </c>
      <c r="D36" s="29"/>
      <c r="E36" s="29">
        <v>110</v>
      </c>
      <c r="F36" s="29">
        <v>2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1" t="s">
        <v>262</v>
      </c>
      <c r="M36" s="32">
        <f t="shared" ref="M36:M47" si="14">IF(ISNUMBER(VALUE(FIND("VRB",L36))),999,VALUE(MID(L36,20,3)))</f>
        <v>190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3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1">IF(AND(IFERROR(FIND("RA",L36),0)&gt;0, IFERROR(FIND("RA",L36),0)&lt;38),"RA",0)</f>
        <v>0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7" si="24">IF(OR(AND(OR(J36="SKC",J36="FEW",J36="SCT"),OR(W36="SKC",W36="FEW",W36="SCT")),(AND(OR(J36="BKN",J36="OVC"),OR(W36="BKN",W36="OVC")))),1,0)</f>
        <v>1</v>
      </c>
      <c r="Y36" s="34">
        <f t="shared" ref="Y36:Y47" si="25">IF(ISNUMBER(VALUE(FIND("CAVOK",L36))),9999,IF(ISNUMBER(VALUE(FIND("NSC",L36))),9999,(MID(L36,(FIND(W36,L36)+4),2))*100))</f>
        <v>900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29"/>
      <c r="E37" s="29">
        <v>110</v>
      </c>
      <c r="F37" s="29">
        <v>2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1" t="s">
        <v>263</v>
      </c>
      <c r="M37" s="32">
        <f t="shared" si="14"/>
        <v>60</v>
      </c>
      <c r="N37" s="33">
        <f t="shared" si="15"/>
        <v>1</v>
      </c>
      <c r="O37" s="33">
        <f t="shared" si="16"/>
        <v>3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20"/>
        <v>1</v>
      </c>
      <c r="U37" s="34">
        <f t="shared" si="21"/>
        <v>0</v>
      </c>
      <c r="V37" s="34">
        <f t="shared" si="22"/>
        <v>1</v>
      </c>
      <c r="W37" s="34" t="str">
        <f t="shared" si="23"/>
        <v>BKN</v>
      </c>
      <c r="X37" s="34">
        <f t="shared" si="24"/>
        <v>1</v>
      </c>
      <c r="Y37" s="34">
        <f t="shared" si="25"/>
        <v>900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29"/>
      <c r="E38" s="29">
        <v>110</v>
      </c>
      <c r="F38" s="29">
        <v>2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s="1" t="s">
        <v>264</v>
      </c>
      <c r="M38" s="32">
        <f t="shared" si="14"/>
        <v>20</v>
      </c>
      <c r="N38" s="33">
        <f t="shared" si="15"/>
        <v>1</v>
      </c>
      <c r="O38" s="33">
        <f t="shared" si="16"/>
        <v>4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8000</v>
      </c>
      <c r="T38" s="34">
        <f t="shared" si="20"/>
        <v>1</v>
      </c>
      <c r="U38" s="34">
        <f t="shared" si="21"/>
        <v>0</v>
      </c>
      <c r="V38" s="34">
        <f t="shared" si="22"/>
        <v>1</v>
      </c>
      <c r="W38" s="34" t="str">
        <f t="shared" si="23"/>
        <v>BKN</v>
      </c>
      <c r="X38" s="34">
        <f t="shared" si="24"/>
        <v>1</v>
      </c>
      <c r="Y38" s="34">
        <f t="shared" si="25"/>
        <v>900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29"/>
      <c r="E39" s="29">
        <v>110</v>
      </c>
      <c r="F39" s="29">
        <v>2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s="1" t="s">
        <v>265</v>
      </c>
      <c r="M39" s="32">
        <f t="shared" si="14"/>
        <v>350</v>
      </c>
      <c r="N39" s="33">
        <f t="shared" si="15"/>
        <v>1</v>
      </c>
      <c r="O39" s="33">
        <f t="shared" si="16"/>
        <v>3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8000</v>
      </c>
      <c r="T39" s="34">
        <f t="shared" si="20"/>
        <v>1</v>
      </c>
      <c r="U39" s="34">
        <f t="shared" si="21"/>
        <v>0</v>
      </c>
      <c r="V39" s="34">
        <f t="shared" si="22"/>
        <v>1</v>
      </c>
      <c r="W39" s="34" t="str">
        <f t="shared" si="23"/>
        <v>BKN</v>
      </c>
      <c r="X39" s="34">
        <f t="shared" si="24"/>
        <v>1</v>
      </c>
      <c r="Y39" s="34">
        <f t="shared" si="25"/>
        <v>900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29"/>
      <c r="E40" s="29">
        <v>110</v>
      </c>
      <c r="F40" s="29">
        <v>2</v>
      </c>
      <c r="G40" s="29">
        <v>0</v>
      </c>
      <c r="H40" s="29">
        <v>8000</v>
      </c>
      <c r="I40" s="29">
        <v>0</v>
      </c>
      <c r="J40" s="29" t="s">
        <v>58</v>
      </c>
      <c r="K40" s="29">
        <v>900</v>
      </c>
      <c r="L40" s="1" t="s">
        <v>266</v>
      </c>
      <c r="M40" s="32">
        <f t="shared" si="14"/>
        <v>10</v>
      </c>
      <c r="N40" s="33">
        <f t="shared" si="15"/>
        <v>1</v>
      </c>
      <c r="O40" s="33">
        <f t="shared" si="16"/>
        <v>2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8000</v>
      </c>
      <c r="T40" s="34">
        <f t="shared" si="20"/>
        <v>1</v>
      </c>
      <c r="U40" s="34">
        <f t="shared" si="21"/>
        <v>0</v>
      </c>
      <c r="V40" s="34">
        <f t="shared" si="22"/>
        <v>1</v>
      </c>
      <c r="W40" s="34" t="str">
        <f t="shared" si="23"/>
        <v>BKN</v>
      </c>
      <c r="X40" s="34">
        <f t="shared" si="24"/>
        <v>1</v>
      </c>
      <c r="Y40" s="34">
        <f t="shared" si="25"/>
        <v>900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29"/>
      <c r="E41" s="29">
        <v>110</v>
      </c>
      <c r="F41" s="29">
        <v>2</v>
      </c>
      <c r="G41" s="29">
        <v>0</v>
      </c>
      <c r="H41" s="29">
        <v>8000</v>
      </c>
      <c r="I41" s="29">
        <v>0</v>
      </c>
      <c r="J41" s="29" t="s">
        <v>58</v>
      </c>
      <c r="K41" s="29">
        <v>900</v>
      </c>
      <c r="L41" s="1" t="s">
        <v>267</v>
      </c>
      <c r="M41" s="32">
        <f t="shared" si="14"/>
        <v>10</v>
      </c>
      <c r="N41" s="33">
        <f t="shared" si="15"/>
        <v>1</v>
      </c>
      <c r="O41" s="33">
        <f t="shared" si="16"/>
        <v>4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8000</v>
      </c>
      <c r="T41" s="34">
        <f t="shared" si="20"/>
        <v>1</v>
      </c>
      <c r="U41" s="34">
        <f t="shared" si="21"/>
        <v>0</v>
      </c>
      <c r="V41" s="34">
        <f t="shared" si="22"/>
        <v>1</v>
      </c>
      <c r="W41" s="34" t="str">
        <f t="shared" si="23"/>
        <v>FEW</v>
      </c>
      <c r="X41" s="34">
        <f t="shared" si="24"/>
        <v>0</v>
      </c>
      <c r="Y41" s="34">
        <f t="shared" si="25"/>
        <v>800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29"/>
      <c r="E42" s="29">
        <v>110</v>
      </c>
      <c r="F42" s="29">
        <v>2</v>
      </c>
      <c r="G42" s="29">
        <v>0</v>
      </c>
      <c r="H42" s="29">
        <v>8000</v>
      </c>
      <c r="I42" s="29">
        <v>0</v>
      </c>
      <c r="J42" s="29" t="s">
        <v>58</v>
      </c>
      <c r="K42" s="29">
        <v>900</v>
      </c>
      <c r="L42" s="1" t="s">
        <v>268</v>
      </c>
      <c r="M42" s="32">
        <f t="shared" si="14"/>
        <v>0</v>
      </c>
      <c r="N42" s="33">
        <f t="shared" si="15"/>
        <v>1</v>
      </c>
      <c r="O42" s="33">
        <f t="shared" si="16"/>
        <v>0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7"/>
        <v>8000</v>
      </c>
      <c r="T42" s="34">
        <f t="shared" si="20"/>
        <v>1</v>
      </c>
      <c r="U42" s="34">
        <f t="shared" si="21"/>
        <v>0</v>
      </c>
      <c r="V42" s="34">
        <f t="shared" si="22"/>
        <v>1</v>
      </c>
      <c r="W42" s="34" t="str">
        <f t="shared" si="23"/>
        <v>FEW</v>
      </c>
      <c r="X42" s="34">
        <f t="shared" si="24"/>
        <v>0</v>
      </c>
      <c r="Y42" s="34">
        <f t="shared" si="25"/>
        <v>800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29"/>
      <c r="E43" s="29">
        <v>110</v>
      </c>
      <c r="F43" s="29">
        <v>2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s="1" t="s">
        <v>269</v>
      </c>
      <c r="M43" s="32">
        <f t="shared" si="14"/>
        <v>240</v>
      </c>
      <c r="N43" s="33">
        <f t="shared" si="15"/>
        <v>1</v>
      </c>
      <c r="O43" s="33">
        <f t="shared" si="16"/>
        <v>2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7"/>
        <v>8000</v>
      </c>
      <c r="T43" s="34">
        <f t="shared" si="20"/>
        <v>1</v>
      </c>
      <c r="U43" s="34">
        <f t="shared" si="21"/>
        <v>0</v>
      </c>
      <c r="V43" s="34">
        <f t="shared" si="22"/>
        <v>1</v>
      </c>
      <c r="W43" s="34" t="str">
        <f t="shared" si="23"/>
        <v>FEW</v>
      </c>
      <c r="X43" s="34">
        <f t="shared" si="24"/>
        <v>0</v>
      </c>
      <c r="Y43" s="34">
        <f t="shared" si="25"/>
        <v>800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29"/>
      <c r="E44" s="29">
        <v>110</v>
      </c>
      <c r="F44" s="29">
        <v>2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s="1" t="s">
        <v>270</v>
      </c>
      <c r="M44" s="32">
        <f t="shared" si="14"/>
        <v>330</v>
      </c>
      <c r="N44" s="33">
        <f t="shared" si="15"/>
        <v>1</v>
      </c>
      <c r="O44" s="33">
        <f t="shared" si="16"/>
        <v>2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7"/>
        <v>8000</v>
      </c>
      <c r="T44" s="34">
        <f t="shared" si="20"/>
        <v>1</v>
      </c>
      <c r="U44" s="34">
        <f t="shared" si="21"/>
        <v>0</v>
      </c>
      <c r="V44" s="34">
        <f t="shared" si="22"/>
        <v>1</v>
      </c>
      <c r="W44" s="34" t="str">
        <f t="shared" si="23"/>
        <v>FEW</v>
      </c>
      <c r="X44" s="34">
        <f t="shared" si="24"/>
        <v>0</v>
      </c>
      <c r="Y44" s="34">
        <f t="shared" si="25"/>
        <v>800</v>
      </c>
      <c r="Z44" s="34">
        <f t="shared" si="2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29"/>
      <c r="E45" s="29">
        <v>110</v>
      </c>
      <c r="F45" s="29">
        <v>2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s="1" t="s">
        <v>271</v>
      </c>
      <c r="M45" s="32">
        <f t="shared" si="14"/>
        <v>360</v>
      </c>
      <c r="N45" s="33">
        <f t="shared" si="15"/>
        <v>1</v>
      </c>
      <c r="O45" s="33">
        <f t="shared" si="16"/>
        <v>2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7"/>
        <v>8000</v>
      </c>
      <c r="T45" s="34">
        <f t="shared" si="20"/>
        <v>1</v>
      </c>
      <c r="U45" s="34">
        <f t="shared" si="21"/>
        <v>0</v>
      </c>
      <c r="V45" s="34">
        <f t="shared" si="22"/>
        <v>1</v>
      </c>
      <c r="W45" s="34" t="str">
        <f t="shared" si="23"/>
        <v>FEW</v>
      </c>
      <c r="X45" s="34">
        <f t="shared" si="24"/>
        <v>0</v>
      </c>
      <c r="Y45" s="34">
        <f t="shared" si="25"/>
        <v>800</v>
      </c>
      <c r="Z45" s="34">
        <f t="shared" si="2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29"/>
      <c r="E46" s="29">
        <v>110</v>
      </c>
      <c r="F46" s="29">
        <v>2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1" t="s">
        <v>272</v>
      </c>
      <c r="M46" s="32">
        <f t="shared" si="14"/>
        <v>10</v>
      </c>
      <c r="N46" s="33">
        <f t="shared" si="15"/>
        <v>1</v>
      </c>
      <c r="O46" s="33">
        <f t="shared" si="16"/>
        <v>2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7"/>
        <v>8000</v>
      </c>
      <c r="T46" s="34">
        <f t="shared" si="20"/>
        <v>1</v>
      </c>
      <c r="U46" s="34">
        <f t="shared" si="21"/>
        <v>0</v>
      </c>
      <c r="V46" s="34">
        <f t="shared" si="22"/>
        <v>1</v>
      </c>
      <c r="W46" s="34" t="str">
        <f t="shared" si="23"/>
        <v>BKN</v>
      </c>
      <c r="X46" s="34">
        <f t="shared" si="24"/>
        <v>1</v>
      </c>
      <c r="Y46" s="34">
        <f t="shared" si="25"/>
        <v>800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29"/>
      <c r="E47" s="29">
        <v>110</v>
      </c>
      <c r="F47" s="29">
        <v>2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1" t="s">
        <v>273</v>
      </c>
      <c r="M47" s="32">
        <f t="shared" si="14"/>
        <v>350</v>
      </c>
      <c r="N47" s="33">
        <f t="shared" si="15"/>
        <v>1</v>
      </c>
      <c r="O47" s="33">
        <f t="shared" si="16"/>
        <v>2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8000</v>
      </c>
      <c r="T47" s="34">
        <f t="shared" si="20"/>
        <v>1</v>
      </c>
      <c r="U47" s="34">
        <f t="shared" si="21"/>
        <v>0</v>
      </c>
      <c r="V47" s="34">
        <f t="shared" si="22"/>
        <v>1</v>
      </c>
      <c r="W47" s="34" t="str">
        <f t="shared" si="23"/>
        <v>BKN</v>
      </c>
      <c r="X47" s="34">
        <f t="shared" si="24"/>
        <v>1</v>
      </c>
      <c r="Y47" s="34">
        <f t="shared" si="25"/>
        <v>800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12</v>
      </c>
      <c r="W52" s="25"/>
      <c r="X52" s="25">
        <f>SUM(X36:X47)</f>
        <v>7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12</v>
      </c>
      <c r="W53" s="25"/>
      <c r="X53" s="25">
        <f>SUMIF($C36:$C47,"GENERAL",X36:X47)</f>
        <v>7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100</v>
      </c>
      <c r="W57" s="38"/>
      <c r="X57" s="38">
        <f>(SUM(X53:X56)/COUNTA(X36:X47))*100</f>
        <v>58.333333333333336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274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8</v>
      </c>
      <c r="B65" s="50">
        <v>0.5</v>
      </c>
      <c r="C65" s="29" t="s">
        <v>39</v>
      </c>
      <c r="D65" s="29"/>
      <c r="E65" s="29">
        <v>0</v>
      </c>
      <c r="F65" s="29">
        <v>0</v>
      </c>
      <c r="G65" s="29">
        <v>0</v>
      </c>
      <c r="H65" s="29">
        <v>8000</v>
      </c>
      <c r="I65" s="29">
        <v>0</v>
      </c>
      <c r="J65" s="29" t="s">
        <v>58</v>
      </c>
      <c r="K65" s="29">
        <v>900</v>
      </c>
      <c r="L65" s="1" t="s">
        <v>268</v>
      </c>
      <c r="M65" s="32">
        <f t="shared" ref="M65:M76" si="28">IF(ISNUMBER(VALUE(FIND("VRB",L65))),999,VALUE(MID(L65,20,3)))</f>
        <v>0</v>
      </c>
      <c r="N65" s="33">
        <f t="shared" ref="N65:N76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0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3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5">IF(AND(IFERROR(FIND("RA",L65),0)&gt;0, IFERROR(FIND("RA",L65),0)&lt;38),"RA",0)</f>
        <v>0</v>
      </c>
      <c r="V65" s="34">
        <f t="shared" ref="V65:V76" si="36">IF(U65=I65,1,0)</f>
        <v>1</v>
      </c>
      <c r="W65" s="34" t="str">
        <f t="shared" ref="W65:W76" si="3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6" si="38">IF(OR(AND(OR(J65="SKC",J65="FEW",J65="SCT"),OR(W65="SKC",W65="FEW",W65="SCT")),(AND(OR(J65="BKN",J65="OVC"),OR(W65="BKN",W65="OVC")))),1,0)</f>
        <v>0</v>
      </c>
      <c r="Y65" s="34">
        <f t="shared" ref="Y65:Y76" si="39">IF(ISNUMBER(VALUE(FIND("CAVOK",L65))),9999,IF(ISNUMBER(VALUE(FIND("NSC",L65))),9999,(MID(L65,(FIND(W65,L65)+4),2))*100))</f>
        <v>800</v>
      </c>
      <c r="Z65" s="34">
        <f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29"/>
      <c r="E66" s="29">
        <v>0</v>
      </c>
      <c r="F66" s="29">
        <v>0</v>
      </c>
      <c r="G66" s="29">
        <v>0</v>
      </c>
      <c r="H66" s="29">
        <v>8000</v>
      </c>
      <c r="I66" s="29">
        <v>0</v>
      </c>
      <c r="J66" s="29" t="s">
        <v>58</v>
      </c>
      <c r="K66" s="29">
        <v>900</v>
      </c>
      <c r="L66" s="1" t="s">
        <v>269</v>
      </c>
      <c r="M66" s="32">
        <f t="shared" si="28"/>
        <v>240</v>
      </c>
      <c r="N66" s="33">
        <f t="shared" si="29"/>
        <v>1</v>
      </c>
      <c r="O66" s="33">
        <f t="shared" si="30"/>
        <v>2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ref="S66:S76" si="40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34"/>
        <v>1</v>
      </c>
      <c r="U66" s="34">
        <f t="shared" si="35"/>
        <v>0</v>
      </c>
      <c r="V66" s="34">
        <f t="shared" si="36"/>
        <v>1</v>
      </c>
      <c r="W66" s="34" t="str">
        <f t="shared" si="37"/>
        <v>FEW</v>
      </c>
      <c r="X66" s="34">
        <f t="shared" si="38"/>
        <v>0</v>
      </c>
      <c r="Y66" s="34">
        <f t="shared" si="39"/>
        <v>800</v>
      </c>
      <c r="Z66" s="34">
        <f>IF(AND(Y66&lt;1001,ABS(K66-Y66)&lt;101),1,IF(AND(Y66&gt;1000,ABS(Y66-K66)/K66&lt;0.30005),1,0))</f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39</v>
      </c>
      <c r="D67" s="29"/>
      <c r="E67" s="29">
        <v>0</v>
      </c>
      <c r="F67" s="29">
        <v>0</v>
      </c>
      <c r="G67" s="29">
        <v>0</v>
      </c>
      <c r="H67" s="29">
        <v>8000</v>
      </c>
      <c r="I67" s="29">
        <v>0</v>
      </c>
      <c r="J67" s="29" t="s">
        <v>58</v>
      </c>
      <c r="K67" s="29">
        <v>900</v>
      </c>
      <c r="L67" s="1" t="s">
        <v>270</v>
      </c>
      <c r="M67" s="32">
        <f t="shared" si="28"/>
        <v>330</v>
      </c>
      <c r="N67" s="33">
        <f t="shared" si="29"/>
        <v>1</v>
      </c>
      <c r="O67" s="33">
        <f t="shared" si="30"/>
        <v>2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40"/>
        <v>8000</v>
      </c>
      <c r="T67" s="34">
        <f t="shared" si="34"/>
        <v>1</v>
      </c>
      <c r="U67" s="34">
        <f t="shared" si="35"/>
        <v>0</v>
      </c>
      <c r="V67" s="34">
        <f t="shared" si="36"/>
        <v>1</v>
      </c>
      <c r="W67" s="34" t="str">
        <f t="shared" si="37"/>
        <v>FEW</v>
      </c>
      <c r="X67" s="34">
        <f t="shared" si="38"/>
        <v>0</v>
      </c>
      <c r="Y67" s="34">
        <f t="shared" si="39"/>
        <v>800</v>
      </c>
      <c r="Z67" s="34">
        <f t="shared" ref="Z67:Z76" si="41">IF(AND(Y67&lt;1001,ABS(K67-Y67)&lt;101),1,IF(AND(Y67&gt;1000,ABS(Y67-K67)/K67&lt;0.30005),1,0))</f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39</v>
      </c>
      <c r="D68" s="29"/>
      <c r="E68" s="29">
        <v>0</v>
      </c>
      <c r="F68" s="29">
        <v>0</v>
      </c>
      <c r="G68" s="29">
        <v>0</v>
      </c>
      <c r="H68" s="29">
        <v>8000</v>
      </c>
      <c r="I68" s="29">
        <v>0</v>
      </c>
      <c r="J68" s="29" t="s">
        <v>58</v>
      </c>
      <c r="K68" s="29">
        <v>900</v>
      </c>
      <c r="L68" s="1" t="s">
        <v>271</v>
      </c>
      <c r="M68" s="32">
        <f t="shared" si="28"/>
        <v>360</v>
      </c>
      <c r="N68" s="33">
        <f t="shared" si="29"/>
        <v>1</v>
      </c>
      <c r="O68" s="33">
        <f t="shared" si="30"/>
        <v>2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40"/>
        <v>8000</v>
      </c>
      <c r="T68" s="34">
        <f t="shared" si="34"/>
        <v>1</v>
      </c>
      <c r="U68" s="34">
        <f t="shared" si="35"/>
        <v>0</v>
      </c>
      <c r="V68" s="34">
        <f t="shared" si="36"/>
        <v>1</v>
      </c>
      <c r="W68" s="34" t="str">
        <f t="shared" si="37"/>
        <v>FEW</v>
      </c>
      <c r="X68" s="34">
        <f t="shared" si="38"/>
        <v>0</v>
      </c>
      <c r="Y68" s="34">
        <f t="shared" si="39"/>
        <v>800</v>
      </c>
      <c r="Z68" s="34">
        <f t="shared" si="41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39</v>
      </c>
      <c r="D69" s="29"/>
      <c r="E69" s="29">
        <v>0</v>
      </c>
      <c r="F69" s="29">
        <v>0</v>
      </c>
      <c r="G69" s="29">
        <v>0</v>
      </c>
      <c r="H69" s="29">
        <v>8000</v>
      </c>
      <c r="I69" s="29">
        <v>0</v>
      </c>
      <c r="J69" s="29" t="s">
        <v>58</v>
      </c>
      <c r="K69" s="29">
        <v>900</v>
      </c>
      <c r="L69" s="1" t="s">
        <v>272</v>
      </c>
      <c r="M69" s="32">
        <f t="shared" si="28"/>
        <v>10</v>
      </c>
      <c r="N69" s="33">
        <f t="shared" si="29"/>
        <v>1</v>
      </c>
      <c r="O69" s="33">
        <f t="shared" si="30"/>
        <v>2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40"/>
        <v>8000</v>
      </c>
      <c r="T69" s="34">
        <f t="shared" si="34"/>
        <v>1</v>
      </c>
      <c r="U69" s="34">
        <f t="shared" si="35"/>
        <v>0</v>
      </c>
      <c r="V69" s="34">
        <f t="shared" si="36"/>
        <v>1</v>
      </c>
      <c r="W69" s="34" t="str">
        <f t="shared" si="37"/>
        <v>BKN</v>
      </c>
      <c r="X69" s="34">
        <f t="shared" si="38"/>
        <v>1</v>
      </c>
      <c r="Y69" s="34">
        <f t="shared" si="39"/>
        <v>800</v>
      </c>
      <c r="Z69" s="34">
        <f t="shared" si="41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39</v>
      </c>
      <c r="D70" s="29"/>
      <c r="E70" s="29">
        <v>0</v>
      </c>
      <c r="F70" s="29">
        <v>0</v>
      </c>
      <c r="G70" s="29">
        <v>0</v>
      </c>
      <c r="H70" s="29">
        <v>8000</v>
      </c>
      <c r="I70" s="29">
        <v>0</v>
      </c>
      <c r="J70" s="29" t="s">
        <v>58</v>
      </c>
      <c r="K70" s="29">
        <v>900</v>
      </c>
      <c r="L70" s="1" t="s">
        <v>273</v>
      </c>
      <c r="M70" s="32">
        <f t="shared" si="28"/>
        <v>350</v>
      </c>
      <c r="N70" s="33">
        <f t="shared" si="29"/>
        <v>1</v>
      </c>
      <c r="O70" s="33">
        <f t="shared" si="30"/>
        <v>2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40"/>
        <v>8000</v>
      </c>
      <c r="T70" s="34">
        <f t="shared" si="34"/>
        <v>1</v>
      </c>
      <c r="U70" s="34">
        <f t="shared" si="35"/>
        <v>0</v>
      </c>
      <c r="V70" s="34">
        <f t="shared" si="36"/>
        <v>1</v>
      </c>
      <c r="W70" s="34" t="str">
        <f t="shared" si="37"/>
        <v>BKN</v>
      </c>
      <c r="X70" s="34">
        <f t="shared" si="38"/>
        <v>1</v>
      </c>
      <c r="Y70" s="34">
        <f t="shared" si="39"/>
        <v>800</v>
      </c>
      <c r="Z70" s="34">
        <f t="shared" si="41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39</v>
      </c>
      <c r="D71" s="29"/>
      <c r="E71" s="29">
        <v>0</v>
      </c>
      <c r="F71" s="29">
        <v>0</v>
      </c>
      <c r="G71" s="29">
        <v>0</v>
      </c>
      <c r="H71" s="29">
        <v>8000</v>
      </c>
      <c r="I71" s="29">
        <v>0</v>
      </c>
      <c r="J71" s="29" t="s">
        <v>58</v>
      </c>
      <c r="K71" s="29">
        <v>900</v>
      </c>
      <c r="L71" s="1" t="s">
        <v>278</v>
      </c>
      <c r="M71" s="32">
        <f t="shared" si="28"/>
        <v>0</v>
      </c>
      <c r="N71" s="33">
        <f t="shared" si="29"/>
        <v>1</v>
      </c>
      <c r="O71" s="33">
        <f t="shared" si="30"/>
        <v>0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40"/>
        <v>8000</v>
      </c>
      <c r="T71" s="34">
        <f t="shared" si="34"/>
        <v>1</v>
      </c>
      <c r="U71" s="34">
        <f t="shared" si="35"/>
        <v>0</v>
      </c>
      <c r="V71" s="34">
        <f t="shared" si="36"/>
        <v>1</v>
      </c>
      <c r="W71" s="34" t="str">
        <f t="shared" si="37"/>
        <v>BKN</v>
      </c>
      <c r="X71" s="34">
        <f t="shared" si="38"/>
        <v>1</v>
      </c>
      <c r="Y71" s="34">
        <f t="shared" si="39"/>
        <v>800</v>
      </c>
      <c r="Z71" s="34">
        <f t="shared" si="41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39</v>
      </c>
      <c r="D72" s="29"/>
      <c r="E72" s="29">
        <v>0</v>
      </c>
      <c r="F72" s="29">
        <v>0</v>
      </c>
      <c r="G72" s="29">
        <v>0</v>
      </c>
      <c r="H72" s="29">
        <v>8000</v>
      </c>
      <c r="I72" s="29">
        <v>0</v>
      </c>
      <c r="J72" s="29" t="s">
        <v>58</v>
      </c>
      <c r="K72" s="29">
        <v>900</v>
      </c>
      <c r="L72" s="1" t="s">
        <v>279</v>
      </c>
      <c r="M72" s="32">
        <f t="shared" si="28"/>
        <v>0</v>
      </c>
      <c r="N72" s="33">
        <f t="shared" si="29"/>
        <v>1</v>
      </c>
      <c r="O72" s="33">
        <f t="shared" si="30"/>
        <v>0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40"/>
        <v>8000</v>
      </c>
      <c r="T72" s="34">
        <f t="shared" si="34"/>
        <v>1</v>
      </c>
      <c r="U72" s="34">
        <f t="shared" si="35"/>
        <v>0</v>
      </c>
      <c r="V72" s="34">
        <f t="shared" si="36"/>
        <v>1</v>
      </c>
      <c r="W72" s="34" t="str">
        <f t="shared" si="37"/>
        <v>BKN</v>
      </c>
      <c r="X72" s="34">
        <f t="shared" si="38"/>
        <v>1</v>
      </c>
      <c r="Y72" s="34">
        <f t="shared" si="39"/>
        <v>800</v>
      </c>
      <c r="Z72" s="34">
        <f t="shared" si="41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40</v>
      </c>
      <c r="D73" s="29"/>
      <c r="E73" s="29">
        <v>0</v>
      </c>
      <c r="F73" s="29">
        <v>0</v>
      </c>
      <c r="G73" s="29">
        <v>0</v>
      </c>
      <c r="H73" s="29">
        <v>3000</v>
      </c>
      <c r="I73" s="29">
        <v>0</v>
      </c>
      <c r="J73" s="29" t="s">
        <v>51</v>
      </c>
      <c r="K73" s="29">
        <v>800</v>
      </c>
      <c r="L73" s="1" t="s">
        <v>280</v>
      </c>
      <c r="M73" s="32">
        <f t="shared" si="28"/>
        <v>0</v>
      </c>
      <c r="N73" s="33">
        <f t="shared" si="29"/>
        <v>1</v>
      </c>
      <c r="O73" s="33">
        <f t="shared" si="30"/>
        <v>0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40"/>
        <v>8000</v>
      </c>
      <c r="T73" s="34">
        <f t="shared" si="34"/>
        <v>0</v>
      </c>
      <c r="U73" s="34">
        <f t="shared" si="35"/>
        <v>0</v>
      </c>
      <c r="V73" s="34">
        <f t="shared" si="36"/>
        <v>1</v>
      </c>
      <c r="W73" s="34" t="str">
        <f t="shared" si="37"/>
        <v>BKN</v>
      </c>
      <c r="X73" s="34">
        <f t="shared" si="38"/>
        <v>0</v>
      </c>
      <c r="Y73" s="34">
        <f t="shared" si="39"/>
        <v>800</v>
      </c>
      <c r="Z73" s="34">
        <f t="shared" si="41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40</v>
      </c>
      <c r="D74" s="29"/>
      <c r="E74" s="29">
        <v>0</v>
      </c>
      <c r="F74" s="29">
        <v>0</v>
      </c>
      <c r="G74" s="29">
        <v>0</v>
      </c>
      <c r="H74" s="29">
        <v>3000</v>
      </c>
      <c r="I74" s="29">
        <v>0</v>
      </c>
      <c r="J74" s="29" t="s">
        <v>51</v>
      </c>
      <c r="K74" s="29">
        <v>800</v>
      </c>
      <c r="L74" s="1" t="s">
        <v>281</v>
      </c>
      <c r="M74" s="32">
        <f t="shared" si="28"/>
        <v>0</v>
      </c>
      <c r="N74" s="33">
        <f t="shared" si="29"/>
        <v>1</v>
      </c>
      <c r="O74" s="33">
        <f t="shared" si="30"/>
        <v>0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40"/>
        <v>8000</v>
      </c>
      <c r="T74" s="34">
        <f t="shared" si="34"/>
        <v>0</v>
      </c>
      <c r="U74" s="34">
        <f t="shared" si="35"/>
        <v>0</v>
      </c>
      <c r="V74" s="34">
        <f t="shared" si="36"/>
        <v>1</v>
      </c>
      <c r="W74" s="34" t="str">
        <f t="shared" si="37"/>
        <v>OVC</v>
      </c>
      <c r="X74" s="34">
        <f t="shared" si="38"/>
        <v>0</v>
      </c>
      <c r="Y74" s="34">
        <f t="shared" si="39"/>
        <v>800</v>
      </c>
      <c r="Z74" s="34">
        <f t="shared" si="41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40</v>
      </c>
      <c r="D75" s="29"/>
      <c r="E75" s="29">
        <v>0</v>
      </c>
      <c r="F75" s="29">
        <v>0</v>
      </c>
      <c r="G75" s="29">
        <v>0</v>
      </c>
      <c r="H75" s="29">
        <v>3000</v>
      </c>
      <c r="I75" s="29">
        <v>0</v>
      </c>
      <c r="J75" s="29" t="s">
        <v>51</v>
      </c>
      <c r="K75" s="29">
        <v>800</v>
      </c>
      <c r="L75" s="1" t="s">
        <v>282</v>
      </c>
      <c r="M75" s="32">
        <f t="shared" si="28"/>
        <v>0</v>
      </c>
      <c r="N75" s="33">
        <f t="shared" si="29"/>
        <v>1</v>
      </c>
      <c r="O75" s="33">
        <f t="shared" si="30"/>
        <v>0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40"/>
        <v>8000</v>
      </c>
      <c r="T75" s="34">
        <f t="shared" si="34"/>
        <v>0</v>
      </c>
      <c r="U75" s="34">
        <f t="shared" si="35"/>
        <v>0</v>
      </c>
      <c r="V75" s="34">
        <f t="shared" si="36"/>
        <v>1</v>
      </c>
      <c r="W75" s="34" t="str">
        <f t="shared" si="37"/>
        <v>OVC</v>
      </c>
      <c r="X75" s="34">
        <f t="shared" si="38"/>
        <v>0</v>
      </c>
      <c r="Y75" s="34">
        <f t="shared" si="39"/>
        <v>800</v>
      </c>
      <c r="Z75" s="34">
        <f t="shared" si="41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40</v>
      </c>
      <c r="D76" s="29"/>
      <c r="E76" s="29">
        <v>0</v>
      </c>
      <c r="F76" s="29">
        <v>0</v>
      </c>
      <c r="G76" s="29">
        <v>0</v>
      </c>
      <c r="H76" s="29">
        <v>3000</v>
      </c>
      <c r="I76" s="29">
        <v>0</v>
      </c>
      <c r="J76" s="29" t="s">
        <v>51</v>
      </c>
      <c r="K76" s="29">
        <v>800</v>
      </c>
      <c r="L76" s="1" t="s">
        <v>283</v>
      </c>
      <c r="M76" s="32">
        <f t="shared" si="28"/>
        <v>330</v>
      </c>
      <c r="N76" s="33">
        <f t="shared" si="29"/>
        <v>1</v>
      </c>
      <c r="O76" s="33">
        <f t="shared" si="30"/>
        <v>2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40"/>
        <v>8000</v>
      </c>
      <c r="T76" s="34">
        <f t="shared" si="34"/>
        <v>0</v>
      </c>
      <c r="U76" s="34">
        <f t="shared" si="35"/>
        <v>0</v>
      </c>
      <c r="V76" s="34">
        <f t="shared" si="36"/>
        <v>1</v>
      </c>
      <c r="W76" s="34" t="str">
        <f t="shared" si="37"/>
        <v>BKN</v>
      </c>
      <c r="X76" s="34">
        <f t="shared" si="38"/>
        <v>0</v>
      </c>
      <c r="Y76" s="34">
        <f t="shared" si="39"/>
        <v>900</v>
      </c>
      <c r="Z76" s="34">
        <f t="shared" si="41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8</v>
      </c>
      <c r="U80" s="25"/>
      <c r="V80" s="25">
        <f>SUM(V64:V76)</f>
        <v>12</v>
      </c>
      <c r="W80" s="25"/>
      <c r="X80" s="25">
        <f>SUM(X64:X76)</f>
        <v>4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8</v>
      </c>
      <c r="O81" s="25"/>
      <c r="P81" s="25">
        <f>SUMIF($C64:$C76,"GENERAL",P64:P76)</f>
        <v>8</v>
      </c>
      <c r="Q81" s="25"/>
      <c r="R81" s="25">
        <f>SUMIF($C64:$C76,"GENERAL",R64:R76)</f>
        <v>8</v>
      </c>
      <c r="S81" s="25"/>
      <c r="T81" s="25">
        <f>SUMIF($C64:$C76,"GENERAL",T64:T76)</f>
        <v>8</v>
      </c>
      <c r="U81" s="25"/>
      <c r="V81" s="25">
        <f>SUMIF($C64:$C76,"GENERAL",V64:V76)</f>
        <v>8</v>
      </c>
      <c r="W81" s="25"/>
      <c r="X81" s="25">
        <f>SUMIF($C64:$C76,"GENERAL",X64:X76)</f>
        <v>4</v>
      </c>
      <c r="Y81" s="25"/>
      <c r="Z81" s="25">
        <f>SUMIF($C64:$C76,"GENERAL",Z64:Z76)</f>
        <v>8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4</v>
      </c>
      <c r="M84" s="42">
        <f>SUMIF($C64:$C76,"TEMPO",N64:N76)</f>
        <v>4</v>
      </c>
      <c r="N84" s="42">
        <f>M84</f>
        <v>4</v>
      </c>
      <c r="O84" s="42">
        <f>SUMIF($C64:$C76,"TEMPO",P64:P76)</f>
        <v>4</v>
      </c>
      <c r="P84" s="42">
        <f>O84</f>
        <v>4</v>
      </c>
      <c r="Q84" s="42">
        <f>SUMIF($C64:$C76,"TEMPO",R64:R76)</f>
        <v>4</v>
      </c>
      <c r="R84" s="42">
        <f>Q84</f>
        <v>4</v>
      </c>
      <c r="S84" s="42">
        <f>SUMIF($C64:$C76,"TEMPO",T64:T76)</f>
        <v>0</v>
      </c>
      <c r="T84" s="42">
        <f>S84</f>
        <v>0</v>
      </c>
      <c r="U84" s="42">
        <f>SUMIF($C64:$C76,"TEMPO",V64:V76)</f>
        <v>4</v>
      </c>
      <c r="V84" s="42">
        <f>U84</f>
        <v>4</v>
      </c>
      <c r="W84" s="42">
        <f>SUMIF($C64:$C76,"TEMPO",X64:X76)</f>
        <v>0</v>
      </c>
      <c r="X84" s="42">
        <f>W84</f>
        <v>0</v>
      </c>
      <c r="Y84" s="42">
        <f>SUMIF($C64:$C76,"TEMPO",Z64:Z76)</f>
        <v>4</v>
      </c>
      <c r="Z84" s="42">
        <f>Y84</f>
        <v>4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66.666666666666657</v>
      </c>
      <c r="U85" s="38"/>
      <c r="V85" s="38">
        <f>(SUM(V81:V84)/COUNTA(V64:V76))*100</f>
        <v>100</v>
      </c>
      <c r="W85" s="38"/>
      <c r="X85" s="38">
        <f>(SUM(X81:X84)/COUNTA(X64:X76))*100</f>
        <v>33.333333333333329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275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8</v>
      </c>
      <c r="B93" s="50">
        <v>0.75</v>
      </c>
      <c r="C93" s="29" t="s">
        <v>39</v>
      </c>
      <c r="D93" s="29"/>
      <c r="E93" s="29">
        <v>30</v>
      </c>
      <c r="F93" s="29">
        <v>2</v>
      </c>
      <c r="G93" s="29">
        <v>0</v>
      </c>
      <c r="H93" s="29">
        <v>8000</v>
      </c>
      <c r="I93" s="29">
        <v>0</v>
      </c>
      <c r="J93" s="29" t="s">
        <v>58</v>
      </c>
      <c r="K93" s="29">
        <v>800</v>
      </c>
      <c r="L93" s="1" t="s">
        <v>278</v>
      </c>
      <c r="M93" s="32">
        <f t="shared" ref="M93:M104" si="42">IF(ISNUMBER(VALUE(FIND("VRB",L93))),999,VALUE(MID(L93,20,3)))</f>
        <v>0</v>
      </c>
      <c r="N93" s="33">
        <f t="shared" ref="N93:N104" si="4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4">VALUE(MID(L93,23,2))</f>
        <v>0</v>
      </c>
      <c r="P93" s="33">
        <f t="shared" ref="P93:P104" si="45">IF(ABS(O93-F93)&lt;11,1,0)</f>
        <v>1</v>
      </c>
      <c r="Q93" s="34">
        <f t="shared" ref="Q93:Q104" si="46">IF(MID(L93,25,1)="G","GUST",0)</f>
        <v>0</v>
      </c>
      <c r="R93" s="33">
        <f t="shared" ref="R93:R104" si="47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104" si="48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49">IF(AND(IFERROR(FIND("RA",L93),0)&gt;0, IFERROR(FIND("RA",L93),0)&lt;38),"RA",0)</f>
        <v>0</v>
      </c>
      <c r="V93" s="34">
        <f t="shared" ref="V93:V104" si="50">IF(U93=I93,1,0)</f>
        <v>1</v>
      </c>
      <c r="W93" s="34" t="str">
        <f t="shared" ref="W93:W104" si="51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104" si="52">IF(OR(AND(OR(J93="SKC",J93="FEW",J93="SCT"),OR(W93="SKC",W93="FEW",W93="SCT")),(AND(OR(J93="BKN",J93="OVC"),OR(W93="BKN",W93="OVC")))),1,0)</f>
        <v>1</v>
      </c>
      <c r="Y93" s="34">
        <f t="shared" ref="Y93:Y104" si="53">IF(ISNUMBER(VALUE(FIND("CAVOK",L93))),9999,IF(ISNUMBER(VALUE(FIND("NSC",L93))),9999,(MID(L93,(FIND(W93,L93)+4),2))*100))</f>
        <v>800</v>
      </c>
      <c r="Z93" s="34">
        <f t="shared" ref="Z93:Z104" si="54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29" t="s">
        <v>39</v>
      </c>
      <c r="D94" s="29"/>
      <c r="E94" s="29">
        <v>30</v>
      </c>
      <c r="F94" s="29">
        <v>2</v>
      </c>
      <c r="G94" s="29">
        <v>0</v>
      </c>
      <c r="H94" s="29">
        <v>8000</v>
      </c>
      <c r="I94" s="29">
        <v>0</v>
      </c>
      <c r="J94" s="29" t="s">
        <v>58</v>
      </c>
      <c r="K94" s="29">
        <v>800</v>
      </c>
      <c r="L94" s="1" t="s">
        <v>279</v>
      </c>
      <c r="M94" s="32">
        <f t="shared" si="42"/>
        <v>0</v>
      </c>
      <c r="N94" s="33">
        <f t="shared" si="43"/>
        <v>1</v>
      </c>
      <c r="O94" s="33">
        <f t="shared" si="44"/>
        <v>0</v>
      </c>
      <c r="P94" s="33">
        <f t="shared" si="45"/>
        <v>1</v>
      </c>
      <c r="Q94" s="34">
        <f t="shared" si="46"/>
        <v>0</v>
      </c>
      <c r="R94" s="33">
        <f t="shared" si="47"/>
        <v>1</v>
      </c>
      <c r="S94" s="34">
        <f t="shared" ref="S94:S104" si="55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48"/>
        <v>1</v>
      </c>
      <c r="U94" s="34">
        <f t="shared" si="49"/>
        <v>0</v>
      </c>
      <c r="V94" s="34">
        <f t="shared" si="50"/>
        <v>1</v>
      </c>
      <c r="W94" s="34" t="str">
        <f t="shared" si="51"/>
        <v>BKN</v>
      </c>
      <c r="X94" s="34">
        <f t="shared" si="52"/>
        <v>1</v>
      </c>
      <c r="Y94" s="34">
        <f t="shared" si="53"/>
        <v>800</v>
      </c>
      <c r="Z94" s="34">
        <f t="shared" si="54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29" t="s">
        <v>39</v>
      </c>
      <c r="D95" s="29"/>
      <c r="E95" s="29">
        <v>30</v>
      </c>
      <c r="F95" s="29">
        <v>2</v>
      </c>
      <c r="G95" s="29">
        <v>0</v>
      </c>
      <c r="H95" s="29">
        <v>8000</v>
      </c>
      <c r="I95" s="29">
        <v>0</v>
      </c>
      <c r="J95" s="29" t="s">
        <v>58</v>
      </c>
      <c r="K95" s="29">
        <v>800</v>
      </c>
      <c r="L95" s="1" t="s">
        <v>280</v>
      </c>
      <c r="M95" s="32">
        <f t="shared" si="42"/>
        <v>0</v>
      </c>
      <c r="N95" s="33">
        <f t="shared" si="43"/>
        <v>1</v>
      </c>
      <c r="O95" s="33">
        <f t="shared" si="44"/>
        <v>0</v>
      </c>
      <c r="P95" s="33">
        <f t="shared" si="45"/>
        <v>1</v>
      </c>
      <c r="Q95" s="34">
        <f t="shared" si="46"/>
        <v>0</v>
      </c>
      <c r="R95" s="33">
        <f t="shared" si="47"/>
        <v>1</v>
      </c>
      <c r="S95" s="34">
        <f t="shared" si="55"/>
        <v>8000</v>
      </c>
      <c r="T95" s="34">
        <f t="shared" si="48"/>
        <v>1</v>
      </c>
      <c r="U95" s="34">
        <f t="shared" si="49"/>
        <v>0</v>
      </c>
      <c r="V95" s="34">
        <f t="shared" si="50"/>
        <v>1</v>
      </c>
      <c r="W95" s="34" t="str">
        <f t="shared" si="51"/>
        <v>BKN</v>
      </c>
      <c r="X95" s="34">
        <f t="shared" si="52"/>
        <v>1</v>
      </c>
      <c r="Y95" s="34">
        <f t="shared" si="53"/>
        <v>800</v>
      </c>
      <c r="Z95" s="34">
        <f t="shared" si="54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29" t="s">
        <v>40</v>
      </c>
      <c r="D96" s="29"/>
      <c r="E96" s="29">
        <v>150</v>
      </c>
      <c r="F96" s="29">
        <v>2</v>
      </c>
      <c r="G96" s="29">
        <v>0</v>
      </c>
      <c r="H96" s="29">
        <v>4000</v>
      </c>
      <c r="I96" s="29" t="s">
        <v>52</v>
      </c>
      <c r="J96" s="29" t="s">
        <v>51</v>
      </c>
      <c r="K96" s="29">
        <v>800</v>
      </c>
      <c r="L96" s="1" t="s">
        <v>281</v>
      </c>
      <c r="M96" s="32">
        <f t="shared" si="42"/>
        <v>0</v>
      </c>
      <c r="N96" s="33">
        <f t="shared" si="43"/>
        <v>1</v>
      </c>
      <c r="O96" s="33">
        <f t="shared" si="44"/>
        <v>0</v>
      </c>
      <c r="P96" s="33">
        <f t="shared" si="45"/>
        <v>1</v>
      </c>
      <c r="Q96" s="34">
        <f t="shared" si="46"/>
        <v>0</v>
      </c>
      <c r="R96" s="33">
        <f t="shared" si="47"/>
        <v>1</v>
      </c>
      <c r="S96" s="34">
        <f t="shared" si="55"/>
        <v>8000</v>
      </c>
      <c r="T96" s="34">
        <f t="shared" si="48"/>
        <v>0</v>
      </c>
      <c r="U96" s="34">
        <f t="shared" si="49"/>
        <v>0</v>
      </c>
      <c r="V96" s="34">
        <f t="shared" si="50"/>
        <v>0</v>
      </c>
      <c r="W96" s="34" t="str">
        <f t="shared" si="51"/>
        <v>OVC</v>
      </c>
      <c r="X96" s="34">
        <f t="shared" si="52"/>
        <v>0</v>
      </c>
      <c r="Y96" s="34">
        <f t="shared" si="53"/>
        <v>800</v>
      </c>
      <c r="Z96" s="34">
        <f t="shared" si="54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29" t="s">
        <v>40</v>
      </c>
      <c r="D97" s="29"/>
      <c r="E97" s="29">
        <v>150</v>
      </c>
      <c r="F97" s="29">
        <v>2</v>
      </c>
      <c r="G97" s="29">
        <v>0</v>
      </c>
      <c r="H97" s="29">
        <v>4000</v>
      </c>
      <c r="I97" s="29" t="s">
        <v>52</v>
      </c>
      <c r="J97" s="29" t="s">
        <v>51</v>
      </c>
      <c r="K97" s="29">
        <v>800</v>
      </c>
      <c r="L97" s="1" t="s">
        <v>282</v>
      </c>
      <c r="M97" s="32">
        <f t="shared" si="42"/>
        <v>0</v>
      </c>
      <c r="N97" s="33">
        <f t="shared" si="43"/>
        <v>1</v>
      </c>
      <c r="O97" s="33">
        <f t="shared" si="44"/>
        <v>0</v>
      </c>
      <c r="P97" s="33">
        <f t="shared" si="45"/>
        <v>1</v>
      </c>
      <c r="Q97" s="34">
        <f t="shared" si="46"/>
        <v>0</v>
      </c>
      <c r="R97" s="33">
        <f t="shared" si="47"/>
        <v>1</v>
      </c>
      <c r="S97" s="34">
        <f t="shared" si="55"/>
        <v>8000</v>
      </c>
      <c r="T97" s="34">
        <f t="shared" si="48"/>
        <v>0</v>
      </c>
      <c r="U97" s="34">
        <f t="shared" si="49"/>
        <v>0</v>
      </c>
      <c r="V97" s="34">
        <f t="shared" si="50"/>
        <v>0</v>
      </c>
      <c r="W97" s="34" t="str">
        <f t="shared" si="51"/>
        <v>OVC</v>
      </c>
      <c r="X97" s="34">
        <f t="shared" si="52"/>
        <v>0</v>
      </c>
      <c r="Y97" s="34">
        <f t="shared" si="53"/>
        <v>800</v>
      </c>
      <c r="Z97" s="34">
        <f t="shared" si="54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29" t="s">
        <v>40</v>
      </c>
      <c r="D98" s="29"/>
      <c r="E98" s="29">
        <v>150</v>
      </c>
      <c r="F98" s="29">
        <v>2</v>
      </c>
      <c r="G98" s="29">
        <v>0</v>
      </c>
      <c r="H98" s="29">
        <v>4000</v>
      </c>
      <c r="I98" s="29" t="s">
        <v>52</v>
      </c>
      <c r="J98" s="29" t="s">
        <v>51</v>
      </c>
      <c r="K98" s="29">
        <v>800</v>
      </c>
      <c r="L98" s="1" t="s">
        <v>283</v>
      </c>
      <c r="M98" s="32">
        <f t="shared" si="42"/>
        <v>330</v>
      </c>
      <c r="N98" s="33">
        <f t="shared" si="43"/>
        <v>1</v>
      </c>
      <c r="O98" s="33">
        <f t="shared" si="44"/>
        <v>2</v>
      </c>
      <c r="P98" s="33">
        <f t="shared" si="45"/>
        <v>1</v>
      </c>
      <c r="Q98" s="34">
        <f t="shared" si="46"/>
        <v>0</v>
      </c>
      <c r="R98" s="33">
        <f t="shared" si="47"/>
        <v>1</v>
      </c>
      <c r="S98" s="34">
        <f t="shared" si="55"/>
        <v>8000</v>
      </c>
      <c r="T98" s="34">
        <f t="shared" si="48"/>
        <v>0</v>
      </c>
      <c r="U98" s="34">
        <f t="shared" si="49"/>
        <v>0</v>
      </c>
      <c r="V98" s="34">
        <f t="shared" si="50"/>
        <v>0</v>
      </c>
      <c r="W98" s="34" t="str">
        <f t="shared" si="51"/>
        <v>BKN</v>
      </c>
      <c r="X98" s="34">
        <f t="shared" si="52"/>
        <v>0</v>
      </c>
      <c r="Y98" s="34">
        <f t="shared" si="53"/>
        <v>900</v>
      </c>
      <c r="Z98" s="34">
        <f t="shared" si="54"/>
        <v>1</v>
      </c>
      <c r="AA98" s="25"/>
      <c r="AB98" s="25"/>
      <c r="AC98" s="25"/>
      <c r="AD98" s="25"/>
      <c r="AE98" s="25"/>
    </row>
    <row r="99" spans="1:31" ht="16.5">
      <c r="A99" s="55">
        <v>9</v>
      </c>
      <c r="B99" s="54">
        <v>0</v>
      </c>
      <c r="C99" s="29" t="s">
        <v>39</v>
      </c>
      <c r="D99" s="29"/>
      <c r="E99" s="29">
        <v>30</v>
      </c>
      <c r="F99" s="29">
        <v>2</v>
      </c>
      <c r="G99" s="29">
        <v>0</v>
      </c>
      <c r="H99" s="29">
        <v>8000</v>
      </c>
      <c r="I99" s="29">
        <v>0</v>
      </c>
      <c r="J99" s="29" t="s">
        <v>58</v>
      </c>
      <c r="K99" s="29">
        <v>800</v>
      </c>
      <c r="L99" s="1" t="s">
        <v>284</v>
      </c>
      <c r="M99" s="32">
        <f t="shared" si="42"/>
        <v>160</v>
      </c>
      <c r="N99" s="33">
        <f t="shared" si="43"/>
        <v>1</v>
      </c>
      <c r="O99" s="33">
        <f t="shared" si="44"/>
        <v>2</v>
      </c>
      <c r="P99" s="33">
        <f t="shared" si="45"/>
        <v>1</v>
      </c>
      <c r="Q99" s="34">
        <f t="shared" si="46"/>
        <v>0</v>
      </c>
      <c r="R99" s="33">
        <f t="shared" si="47"/>
        <v>1</v>
      </c>
      <c r="S99" s="34">
        <f t="shared" si="55"/>
        <v>8000</v>
      </c>
      <c r="T99" s="34">
        <f t="shared" si="48"/>
        <v>1</v>
      </c>
      <c r="U99" s="34">
        <f t="shared" si="49"/>
        <v>0</v>
      </c>
      <c r="V99" s="34">
        <f t="shared" si="50"/>
        <v>1</v>
      </c>
      <c r="W99" s="34" t="str">
        <f t="shared" si="51"/>
        <v>BKN</v>
      </c>
      <c r="X99" s="34">
        <f t="shared" si="52"/>
        <v>1</v>
      </c>
      <c r="Y99" s="34">
        <f t="shared" si="53"/>
        <v>900</v>
      </c>
      <c r="Z99" s="34">
        <f t="shared" si="54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29" t="s">
        <v>39</v>
      </c>
      <c r="D100" s="29"/>
      <c r="E100" s="29">
        <v>30</v>
      </c>
      <c r="F100" s="29">
        <v>2</v>
      </c>
      <c r="G100" s="29">
        <v>0</v>
      </c>
      <c r="H100" s="29">
        <v>8000</v>
      </c>
      <c r="I100" s="29">
        <v>0</v>
      </c>
      <c r="J100" s="29" t="s">
        <v>58</v>
      </c>
      <c r="K100" s="29">
        <v>800</v>
      </c>
      <c r="L100" s="1" t="s">
        <v>285</v>
      </c>
      <c r="M100" s="32">
        <f t="shared" si="42"/>
        <v>240</v>
      </c>
      <c r="N100" s="33">
        <f t="shared" si="43"/>
        <v>1</v>
      </c>
      <c r="O100" s="33">
        <f t="shared" si="44"/>
        <v>4</v>
      </c>
      <c r="P100" s="33">
        <f t="shared" si="45"/>
        <v>1</v>
      </c>
      <c r="Q100" s="34">
        <f t="shared" si="46"/>
        <v>0</v>
      </c>
      <c r="R100" s="33">
        <f t="shared" si="47"/>
        <v>1</v>
      </c>
      <c r="S100" s="34">
        <f t="shared" si="55"/>
        <v>8000</v>
      </c>
      <c r="T100" s="34">
        <f t="shared" si="48"/>
        <v>1</v>
      </c>
      <c r="U100" s="34">
        <f t="shared" si="49"/>
        <v>0</v>
      </c>
      <c r="V100" s="34">
        <f t="shared" si="50"/>
        <v>1</v>
      </c>
      <c r="W100" s="34" t="str">
        <f t="shared" si="51"/>
        <v>BKN</v>
      </c>
      <c r="X100" s="34">
        <f t="shared" si="52"/>
        <v>1</v>
      </c>
      <c r="Y100" s="34">
        <f t="shared" si="53"/>
        <v>900</v>
      </c>
      <c r="Z100" s="34">
        <f t="shared" si="54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29" t="s">
        <v>39</v>
      </c>
      <c r="D101" s="29"/>
      <c r="E101" s="29">
        <v>30</v>
      </c>
      <c r="F101" s="29">
        <v>2</v>
      </c>
      <c r="G101" s="29">
        <v>0</v>
      </c>
      <c r="H101" s="29">
        <v>8000</v>
      </c>
      <c r="I101" s="29">
        <v>0</v>
      </c>
      <c r="J101" s="29" t="s">
        <v>58</v>
      </c>
      <c r="K101" s="29">
        <v>800</v>
      </c>
      <c r="L101" s="1" t="s">
        <v>286</v>
      </c>
      <c r="M101" s="32">
        <f t="shared" si="42"/>
        <v>290</v>
      </c>
      <c r="N101" s="33">
        <f t="shared" si="43"/>
        <v>1</v>
      </c>
      <c r="O101" s="33">
        <f t="shared" si="44"/>
        <v>2</v>
      </c>
      <c r="P101" s="33">
        <f t="shared" si="45"/>
        <v>1</v>
      </c>
      <c r="Q101" s="34">
        <f t="shared" si="46"/>
        <v>0</v>
      </c>
      <c r="R101" s="33">
        <f t="shared" si="47"/>
        <v>1</v>
      </c>
      <c r="S101" s="34">
        <f t="shared" si="55"/>
        <v>5000</v>
      </c>
      <c r="T101" s="34">
        <f t="shared" si="48"/>
        <v>1</v>
      </c>
      <c r="U101" s="34" t="str">
        <f t="shared" si="49"/>
        <v>RA</v>
      </c>
      <c r="V101" s="34">
        <f t="shared" si="50"/>
        <v>0</v>
      </c>
      <c r="W101" s="34" t="str">
        <f t="shared" si="51"/>
        <v>BKN</v>
      </c>
      <c r="X101" s="34">
        <f t="shared" si="52"/>
        <v>1</v>
      </c>
      <c r="Y101" s="34">
        <f t="shared" si="53"/>
        <v>800</v>
      </c>
      <c r="Z101" s="34">
        <f t="shared" si="54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29" t="s">
        <v>39</v>
      </c>
      <c r="D102" s="29"/>
      <c r="E102" s="29">
        <v>30</v>
      </c>
      <c r="F102" s="29">
        <v>2</v>
      </c>
      <c r="G102" s="29">
        <v>0</v>
      </c>
      <c r="H102" s="29">
        <v>8000</v>
      </c>
      <c r="I102" s="29">
        <v>0</v>
      </c>
      <c r="J102" s="29" t="s">
        <v>58</v>
      </c>
      <c r="K102" s="29">
        <v>800</v>
      </c>
      <c r="L102" s="1" t="s">
        <v>287</v>
      </c>
      <c r="M102" s="32">
        <f t="shared" si="42"/>
        <v>260</v>
      </c>
      <c r="N102" s="33">
        <f t="shared" si="43"/>
        <v>1</v>
      </c>
      <c r="O102" s="33">
        <f t="shared" si="44"/>
        <v>2</v>
      </c>
      <c r="P102" s="33">
        <f t="shared" si="45"/>
        <v>1</v>
      </c>
      <c r="Q102" s="34">
        <f t="shared" si="46"/>
        <v>0</v>
      </c>
      <c r="R102" s="33">
        <f t="shared" si="47"/>
        <v>1</v>
      </c>
      <c r="S102" s="34">
        <f t="shared" si="55"/>
        <v>7000</v>
      </c>
      <c r="T102" s="34">
        <f t="shared" si="48"/>
        <v>1</v>
      </c>
      <c r="U102" s="34">
        <f t="shared" si="49"/>
        <v>0</v>
      </c>
      <c r="V102" s="34">
        <f t="shared" si="50"/>
        <v>1</v>
      </c>
      <c r="W102" s="34" t="str">
        <f t="shared" si="51"/>
        <v>BKN</v>
      </c>
      <c r="X102" s="34">
        <f t="shared" si="52"/>
        <v>1</v>
      </c>
      <c r="Y102" s="34">
        <f t="shared" si="53"/>
        <v>900</v>
      </c>
      <c r="Z102" s="34">
        <f t="shared" si="54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29" t="s">
        <v>39</v>
      </c>
      <c r="D103" s="29"/>
      <c r="E103" s="29">
        <v>30</v>
      </c>
      <c r="F103" s="29">
        <v>2</v>
      </c>
      <c r="G103" s="29">
        <v>0</v>
      </c>
      <c r="H103" s="29">
        <v>8000</v>
      </c>
      <c r="I103" s="29">
        <v>0</v>
      </c>
      <c r="J103" s="29" t="s">
        <v>58</v>
      </c>
      <c r="K103" s="29">
        <v>800</v>
      </c>
      <c r="L103" t="s">
        <v>290</v>
      </c>
      <c r="M103" s="32">
        <f t="shared" si="42"/>
        <v>260</v>
      </c>
      <c r="N103" s="33">
        <f t="shared" si="43"/>
        <v>1</v>
      </c>
      <c r="O103" s="33">
        <f t="shared" si="44"/>
        <v>2</v>
      </c>
      <c r="P103" s="33">
        <f t="shared" si="45"/>
        <v>1</v>
      </c>
      <c r="Q103" s="34">
        <f t="shared" si="46"/>
        <v>0</v>
      </c>
      <c r="R103" s="33">
        <f t="shared" si="47"/>
        <v>1</v>
      </c>
      <c r="S103" s="34">
        <f t="shared" si="55"/>
        <v>7000</v>
      </c>
      <c r="T103" s="34">
        <f t="shared" si="48"/>
        <v>1</v>
      </c>
      <c r="U103" s="34">
        <f t="shared" si="49"/>
        <v>0</v>
      </c>
      <c r="V103" s="34">
        <f t="shared" si="50"/>
        <v>1</v>
      </c>
      <c r="W103" s="34" t="str">
        <f t="shared" si="51"/>
        <v>BKN</v>
      </c>
      <c r="X103" s="34">
        <f t="shared" si="52"/>
        <v>1</v>
      </c>
      <c r="Y103" s="34">
        <f t="shared" si="53"/>
        <v>900</v>
      </c>
      <c r="Z103" s="34">
        <f t="shared" si="54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29" t="s">
        <v>39</v>
      </c>
      <c r="D104" s="29"/>
      <c r="E104" s="29">
        <v>30</v>
      </c>
      <c r="F104" s="29">
        <v>2</v>
      </c>
      <c r="G104" s="29">
        <v>0</v>
      </c>
      <c r="H104" s="29">
        <v>8000</v>
      </c>
      <c r="I104" s="29">
        <v>0</v>
      </c>
      <c r="J104" s="29" t="s">
        <v>58</v>
      </c>
      <c r="K104" s="29">
        <v>800</v>
      </c>
      <c r="L104" s="1" t="s">
        <v>288</v>
      </c>
      <c r="M104" s="32">
        <f t="shared" si="42"/>
        <v>340</v>
      </c>
      <c r="N104" s="33">
        <f t="shared" si="43"/>
        <v>1</v>
      </c>
      <c r="O104" s="33">
        <f t="shared" si="44"/>
        <v>3</v>
      </c>
      <c r="P104" s="33">
        <f t="shared" si="45"/>
        <v>1</v>
      </c>
      <c r="Q104" s="34">
        <f t="shared" si="46"/>
        <v>0</v>
      </c>
      <c r="R104" s="33">
        <f t="shared" si="47"/>
        <v>1</v>
      </c>
      <c r="S104" s="34">
        <f t="shared" si="55"/>
        <v>8000</v>
      </c>
      <c r="T104" s="34">
        <f t="shared" si="48"/>
        <v>1</v>
      </c>
      <c r="U104" s="34">
        <f t="shared" si="49"/>
        <v>0</v>
      </c>
      <c r="V104" s="34">
        <f t="shared" si="50"/>
        <v>1</v>
      </c>
      <c r="W104" s="34" t="str">
        <f t="shared" si="51"/>
        <v>BKN</v>
      </c>
      <c r="X104" s="34">
        <f t="shared" si="52"/>
        <v>1</v>
      </c>
      <c r="Y104" s="34">
        <f t="shared" si="53"/>
        <v>900</v>
      </c>
      <c r="Z104" s="34">
        <f t="shared" si="54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9</v>
      </c>
      <c r="U109" s="25"/>
      <c r="V109" s="25">
        <f>SUM(V93:V104)</f>
        <v>8</v>
      </c>
      <c r="W109" s="25"/>
      <c r="X109" s="25">
        <f>SUM(X93:X104)</f>
        <v>9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9</v>
      </c>
      <c r="O110" s="25"/>
      <c r="P110" s="25">
        <f>SUMIF($C93:$C104,"GENERAL",P93:P104)</f>
        <v>9</v>
      </c>
      <c r="Q110" s="25"/>
      <c r="R110" s="25">
        <f>SUMIF($C93:$C104,"GENERAL",R93:R104)</f>
        <v>9</v>
      </c>
      <c r="S110" s="25"/>
      <c r="T110" s="25">
        <f>SUMIF($C93:$C104,"GENERAL",T93:T104)</f>
        <v>9</v>
      </c>
      <c r="U110" s="25"/>
      <c r="V110" s="25">
        <f>SUMIF($C93:$C104,"GENERAL",V93:V104)</f>
        <v>8</v>
      </c>
      <c r="W110" s="25"/>
      <c r="X110" s="25">
        <f>SUMIF($C93:$C104,"GENERAL",X93:X104)</f>
        <v>9</v>
      </c>
      <c r="Y110" s="25"/>
      <c r="Z110" s="25">
        <f>SUMIF($C93:$C104,"GENERAL",Z93:Z104)</f>
        <v>9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3</v>
      </c>
      <c r="M113" s="42">
        <f>SUMIF($C93:$C104,"TEMPO",N93:N104)</f>
        <v>3</v>
      </c>
      <c r="N113" s="42">
        <f>M113</f>
        <v>3</v>
      </c>
      <c r="O113" s="42">
        <f>SUMIF($C93:$C104,"TEMPO",P93:P104)</f>
        <v>3</v>
      </c>
      <c r="P113" s="42">
        <f>O113</f>
        <v>3</v>
      </c>
      <c r="Q113" s="42">
        <f>SUMIF($C93:$C104,"TEMPO",R93:R104)</f>
        <v>3</v>
      </c>
      <c r="R113" s="42">
        <f>Q113</f>
        <v>3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3</v>
      </c>
      <c r="Z113" s="42">
        <f>Y113</f>
        <v>3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75</v>
      </c>
      <c r="U114" s="38"/>
      <c r="V114" s="38">
        <f>(SUM(V110:V113)/COUNTA(V93:V104))*100</f>
        <v>66.666666666666657</v>
      </c>
      <c r="W114" s="38"/>
      <c r="X114" s="38">
        <f>(SUM(X110:X113)/COUNTA(X93:X104))*100</f>
        <v>75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D03F9-9E56-9D4A-BF03-5F525076AA9B}">
  <sheetPr>
    <tabColor theme="0"/>
  </sheetPr>
  <dimension ref="A1:AE115"/>
  <sheetViews>
    <sheetView topLeftCell="I91" workbookViewId="0">
      <selection activeCell="R98" sqref="R98"/>
    </sheetView>
  </sheetViews>
  <sheetFormatPr defaultColWidth="11.5" defaultRowHeight="15.75"/>
  <cols>
    <col min="12" max="12" width="51.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276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9</v>
      </c>
      <c r="B7" s="28">
        <v>0</v>
      </c>
      <c r="C7" s="29" t="s">
        <v>39</v>
      </c>
      <c r="D7" s="29"/>
      <c r="E7" s="29">
        <v>0</v>
      </c>
      <c r="F7" s="29">
        <v>0</v>
      </c>
      <c r="G7" s="29">
        <v>0</v>
      </c>
      <c r="H7" s="29">
        <v>8000</v>
      </c>
      <c r="I7" s="29">
        <v>0</v>
      </c>
      <c r="J7" s="29" t="s">
        <v>58</v>
      </c>
      <c r="K7" s="29">
        <v>800</v>
      </c>
      <c r="L7" s="1" t="s">
        <v>284</v>
      </c>
      <c r="M7" s="32">
        <f t="shared" ref="M7:M14" si="0">IF(ISNUMBER(VALUE(FIND("VRB",L7))),999,VALUE(MID(L7,20,3)))</f>
        <v>160</v>
      </c>
      <c r="N7" s="33">
        <f t="shared" ref="N7:N14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4" si="2">VALUE(MID(L7,23,2))</f>
        <v>2</v>
      </c>
      <c r="P7" s="33">
        <f t="shared" ref="P7:P14" si="3">IF(ABS(O7-F7)&lt;11,1,0)</f>
        <v>1</v>
      </c>
      <c r="Q7" s="34">
        <f t="shared" ref="Q7:Q14" si="4">IF(MID(L7,25,1)="G","GUST",0)</f>
        <v>0</v>
      </c>
      <c r="R7" s="33">
        <f t="shared" ref="R7:R14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4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4" si="7">IF(AND(IFERROR(FIND("RA",L7),0)&gt;0, IFERROR(FIND("RA",L7),0)&lt;38),"RA",0)</f>
        <v>0</v>
      </c>
      <c r="V7" s="34">
        <f t="shared" ref="V7:V14" si="8">IF(U7=I7,1,0)</f>
        <v>1</v>
      </c>
      <c r="W7" s="34" t="str">
        <f t="shared" ref="W7:W14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4" si="10">IF(OR(AND(OR(J7="SKC",J7="FEW",J7="SCT"),OR(W7="SKC",W7="FEW",W7="SCT")),(AND(OR(J7="BKN",J7="OVC"),OR(W7="BKN",W7="OVC")))),1,0)</f>
        <v>1</v>
      </c>
      <c r="Y7" s="34">
        <f t="shared" ref="Y7:Y14" si="11">IF(ISNUMBER(VALUE(FIND("CAVOK",L7))),9999,IF(ISNUMBER(VALUE(FIND("NSC",L7))),9999,(MID(L7,(FIND(W7,L7)+4),2))*100))</f>
        <v>900</v>
      </c>
      <c r="Z7" s="34">
        <f t="shared" ref="Z7:Z14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0</v>
      </c>
      <c r="F8" s="29">
        <v>0</v>
      </c>
      <c r="G8" s="29">
        <v>0</v>
      </c>
      <c r="H8" s="29">
        <v>8000</v>
      </c>
      <c r="I8" s="29">
        <v>0</v>
      </c>
      <c r="J8" s="29" t="s">
        <v>58</v>
      </c>
      <c r="K8" s="29">
        <v>800</v>
      </c>
      <c r="L8" s="1" t="s">
        <v>285</v>
      </c>
      <c r="M8" s="32">
        <f t="shared" si="0"/>
        <v>240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40</v>
      </c>
      <c r="D9" s="29"/>
      <c r="E9" s="29">
        <v>160</v>
      </c>
      <c r="F9" s="29">
        <v>2</v>
      </c>
      <c r="G9" s="29">
        <v>0</v>
      </c>
      <c r="H9" s="29">
        <v>4000</v>
      </c>
      <c r="I9" s="29" t="s">
        <v>52</v>
      </c>
      <c r="J9" s="29" t="s">
        <v>51</v>
      </c>
      <c r="K9" s="29">
        <v>800</v>
      </c>
      <c r="L9" s="1" t="s">
        <v>286</v>
      </c>
      <c r="M9" s="32">
        <f t="shared" si="0"/>
        <v>290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5000</v>
      </c>
      <c r="T9" s="34">
        <f t="shared" si="6"/>
        <v>1</v>
      </c>
      <c r="U9" s="34" t="str">
        <f t="shared" si="7"/>
        <v>RA</v>
      </c>
      <c r="V9" s="34">
        <f t="shared" si="8"/>
        <v>1</v>
      </c>
      <c r="W9" s="34" t="str">
        <f t="shared" si="9"/>
        <v>BKN</v>
      </c>
      <c r="X9" s="34">
        <f t="shared" si="10"/>
        <v>0</v>
      </c>
      <c r="Y9" s="34">
        <f t="shared" si="11"/>
        <v>800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40</v>
      </c>
      <c r="D10" s="29"/>
      <c r="E10" s="29">
        <v>160</v>
      </c>
      <c r="F10" s="29">
        <v>2</v>
      </c>
      <c r="G10" s="29">
        <v>0</v>
      </c>
      <c r="H10" s="29">
        <v>4000</v>
      </c>
      <c r="I10" s="29" t="s">
        <v>52</v>
      </c>
      <c r="J10" s="29" t="s">
        <v>51</v>
      </c>
      <c r="K10" s="29">
        <v>800</v>
      </c>
      <c r="L10" s="1" t="s">
        <v>287</v>
      </c>
      <c r="M10" s="32">
        <f t="shared" si="0"/>
        <v>260</v>
      </c>
      <c r="N10" s="33">
        <f t="shared" si="1"/>
        <v>1</v>
      </c>
      <c r="O10" s="33">
        <f t="shared" si="2"/>
        <v>2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7000</v>
      </c>
      <c r="T10" s="34">
        <f t="shared" si="6"/>
        <v>0</v>
      </c>
      <c r="U10" s="34">
        <f t="shared" si="7"/>
        <v>0</v>
      </c>
      <c r="V10" s="34">
        <f t="shared" si="8"/>
        <v>0</v>
      </c>
      <c r="W10" s="34" t="str">
        <f t="shared" si="9"/>
        <v>BKN</v>
      </c>
      <c r="X10" s="34">
        <f t="shared" si="10"/>
        <v>0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40</v>
      </c>
      <c r="D11" s="29"/>
      <c r="E11" s="29">
        <v>160</v>
      </c>
      <c r="F11" s="29">
        <v>2</v>
      </c>
      <c r="G11" s="29">
        <v>0</v>
      </c>
      <c r="H11" s="29">
        <v>4000</v>
      </c>
      <c r="I11" s="29" t="s">
        <v>52</v>
      </c>
      <c r="J11" s="29" t="s">
        <v>51</v>
      </c>
      <c r="K11" s="29">
        <v>800</v>
      </c>
      <c r="L11" t="s">
        <v>290</v>
      </c>
      <c r="M11" s="32">
        <f t="shared" si="0"/>
        <v>260</v>
      </c>
      <c r="N11" s="33">
        <f t="shared" si="1"/>
        <v>1</v>
      </c>
      <c r="O11" s="33">
        <f t="shared" si="2"/>
        <v>2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7000</v>
      </c>
      <c r="T11" s="34">
        <f t="shared" si="6"/>
        <v>0</v>
      </c>
      <c r="U11" s="34">
        <f t="shared" si="7"/>
        <v>0</v>
      </c>
      <c r="V11" s="34">
        <f t="shared" si="8"/>
        <v>0</v>
      </c>
      <c r="W11" s="34" t="str">
        <f t="shared" si="9"/>
        <v>BKN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40</v>
      </c>
      <c r="D12" s="29"/>
      <c r="E12" s="29">
        <v>160</v>
      </c>
      <c r="F12" s="29">
        <v>2</v>
      </c>
      <c r="G12" s="29">
        <v>0</v>
      </c>
      <c r="H12" s="29">
        <v>4000</v>
      </c>
      <c r="I12" s="29" t="s">
        <v>52</v>
      </c>
      <c r="J12" s="29" t="s">
        <v>51</v>
      </c>
      <c r="K12" s="29">
        <v>800</v>
      </c>
      <c r="L12" s="1" t="s">
        <v>288</v>
      </c>
      <c r="M12" s="32">
        <f t="shared" si="0"/>
        <v>340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0</v>
      </c>
      <c r="U12" s="34">
        <f t="shared" si="7"/>
        <v>0</v>
      </c>
      <c r="V12" s="34">
        <f t="shared" si="8"/>
        <v>0</v>
      </c>
      <c r="W12" s="34" t="str">
        <f t="shared" si="9"/>
        <v>BKN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0</v>
      </c>
      <c r="F13" s="29">
        <v>0</v>
      </c>
      <c r="G13" s="29">
        <v>0</v>
      </c>
      <c r="H13" s="29">
        <v>8000</v>
      </c>
      <c r="I13" s="29">
        <v>0</v>
      </c>
      <c r="J13" s="29" t="s">
        <v>58</v>
      </c>
      <c r="K13" s="29">
        <v>800</v>
      </c>
      <c r="L13" s="1" t="s">
        <v>289</v>
      </c>
      <c r="M13" s="32">
        <f t="shared" si="0"/>
        <v>40</v>
      </c>
      <c r="N13" s="33">
        <f t="shared" si="1"/>
        <v>1</v>
      </c>
      <c r="O13" s="33">
        <f t="shared" si="2"/>
        <v>3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BKN</v>
      </c>
      <c r="X13" s="34">
        <f t="shared" si="10"/>
        <v>1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0</v>
      </c>
      <c r="F14" s="29">
        <v>0</v>
      </c>
      <c r="G14" s="29">
        <v>0</v>
      </c>
      <c r="H14" s="29">
        <v>8000</v>
      </c>
      <c r="I14" s="29">
        <v>0</v>
      </c>
      <c r="J14" s="29" t="s">
        <v>58</v>
      </c>
      <c r="K14" s="29">
        <v>800</v>
      </c>
      <c r="L14" s="1" t="s">
        <v>291</v>
      </c>
      <c r="M14" s="32">
        <f t="shared" si="0"/>
        <v>340</v>
      </c>
      <c r="N14" s="33">
        <f t="shared" si="1"/>
        <v>1</v>
      </c>
      <c r="O14" s="33">
        <f t="shared" si="2"/>
        <v>7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BKN</v>
      </c>
      <c r="X14" s="34">
        <f t="shared" si="10"/>
        <v>1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0</v>
      </c>
      <c r="F15" s="29">
        <v>0</v>
      </c>
      <c r="G15" s="29">
        <v>0</v>
      </c>
      <c r="H15" s="29">
        <v>8000</v>
      </c>
      <c r="I15" s="29">
        <v>0</v>
      </c>
      <c r="J15" s="29" t="s">
        <v>58</v>
      </c>
      <c r="K15" s="29">
        <v>800</v>
      </c>
      <c r="L15" s="29" t="s">
        <v>292</v>
      </c>
      <c r="M15" s="32">
        <f t="shared" ref="M15:M18" si="14">IF(ISNUMBER(VALUE(FIND("VRB",L15))),999,VALUE(MID(L15,20,3)))</f>
        <v>330</v>
      </c>
      <c r="N15" s="33">
        <f t="shared" ref="N15:N18" si="15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8" si="16">VALUE(MID(L15,23,2))</f>
        <v>6</v>
      </c>
      <c r="P15" s="33">
        <f t="shared" ref="P15:P18" si="17">IF(ABS(O15-F15)&lt;11,1,0)</f>
        <v>1</v>
      </c>
      <c r="Q15" s="34">
        <f t="shared" ref="Q15:Q18" si="18">IF(MID(L15,25,1)="G","GUST",0)</f>
        <v>0</v>
      </c>
      <c r="R15" s="33">
        <f t="shared" ref="R15:R18" si="19">IF(G15=Q15,1,0)</f>
        <v>1</v>
      </c>
      <c r="S15" s="34">
        <f t="shared" si="13"/>
        <v>8000</v>
      </c>
      <c r="T15" s="34">
        <f t="shared" ref="T15:T18" si="20">IF(OR(AND(H15&lt;801,S15&lt;801),AND(H15&gt;799,H15&lt;1501,S15&gt;799,S15&lt;1502),AND(H15&gt;1499,H15&lt;3001,S15&gt;1499,S15&lt;3001),AND(H15&gt;2999,H15&lt;5001,S15&gt;2999,S15&lt;5001),AND(H15&gt;4999,S15&gt;4999)),1,0)</f>
        <v>1</v>
      </c>
      <c r="U15" s="34">
        <f t="shared" ref="U15:U18" si="21">IF(AND(IFERROR(FIND("RA",L15),0)&gt;0, IFERROR(FIND("RA",L15),0)&lt;38),"RA",0)</f>
        <v>0</v>
      </c>
      <c r="V15" s="34">
        <f t="shared" ref="V15:V18" si="22">IF(U15=I15,1,0)</f>
        <v>1</v>
      </c>
      <c r="W15" s="34" t="str">
        <f t="shared" ref="W15:W18" si="23"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BKN</v>
      </c>
      <c r="X15" s="34">
        <f t="shared" ref="X15:X18" si="24">IF(OR(AND(OR(J15="SKC",J15="FEW",J15="SCT"),OR(W15="SKC",W15="FEW",W15="SCT")),(AND(OR(J15="BKN",J15="OVC"),OR(W15="BKN",W15="OVC")))),1,0)</f>
        <v>1</v>
      </c>
      <c r="Y15" s="34">
        <f t="shared" ref="Y15:Y18" si="25">IF(ISNUMBER(VALUE(FIND("CAVOK",L15))),9999,IF(ISNUMBER(VALUE(FIND("NSC",L15))),9999,(MID(L15,(FIND(W15,L15)+4),2))*100))</f>
        <v>900</v>
      </c>
      <c r="Z15" s="34">
        <f t="shared" ref="Z15:Z18" si="26">IF(AND(Y15&lt;1001,ABS(K15-Y15)&lt;101),1,IF(AND(Y15&gt;1000,ABS(Y15-K15)/K15&lt;0.30005),1,0))</f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0</v>
      </c>
      <c r="F16" s="29">
        <v>0</v>
      </c>
      <c r="G16" s="29">
        <v>0</v>
      </c>
      <c r="H16" s="29">
        <v>8000</v>
      </c>
      <c r="I16" s="29">
        <v>0</v>
      </c>
      <c r="J16" s="29" t="s">
        <v>58</v>
      </c>
      <c r="K16" s="29">
        <v>800</v>
      </c>
      <c r="L16" s="29" t="s">
        <v>293</v>
      </c>
      <c r="M16" s="32">
        <f t="shared" si="14"/>
        <v>20</v>
      </c>
      <c r="N16" s="33">
        <f t="shared" si="15"/>
        <v>1</v>
      </c>
      <c r="O16" s="33">
        <f t="shared" si="16"/>
        <v>2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20"/>
        <v>1</v>
      </c>
      <c r="U16" s="34">
        <f t="shared" si="21"/>
        <v>0</v>
      </c>
      <c r="V16" s="34">
        <f t="shared" si="22"/>
        <v>1</v>
      </c>
      <c r="W16" s="34" t="str">
        <f t="shared" si="23"/>
        <v>BKN</v>
      </c>
      <c r="X16" s="34">
        <f t="shared" si="24"/>
        <v>1</v>
      </c>
      <c r="Y16" s="34">
        <f t="shared" si="25"/>
        <v>900</v>
      </c>
      <c r="Z16" s="34">
        <f t="shared" si="26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0</v>
      </c>
      <c r="F17" s="29">
        <v>0</v>
      </c>
      <c r="G17" s="29">
        <v>0</v>
      </c>
      <c r="H17" s="29">
        <v>8000</v>
      </c>
      <c r="I17" s="29">
        <v>0</v>
      </c>
      <c r="J17" s="29" t="s">
        <v>58</v>
      </c>
      <c r="K17" s="29">
        <v>800</v>
      </c>
      <c r="L17" s="29" t="s">
        <v>294</v>
      </c>
      <c r="M17" s="32">
        <f t="shared" si="14"/>
        <v>60</v>
      </c>
      <c r="N17" s="33">
        <f t="shared" si="15"/>
        <v>1</v>
      </c>
      <c r="O17" s="33">
        <f t="shared" si="16"/>
        <v>3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8000</v>
      </c>
      <c r="T17" s="34">
        <f t="shared" si="20"/>
        <v>1</v>
      </c>
      <c r="U17" s="34">
        <f t="shared" si="21"/>
        <v>0</v>
      </c>
      <c r="V17" s="34">
        <f t="shared" si="22"/>
        <v>1</v>
      </c>
      <c r="W17" s="34" t="str">
        <f t="shared" si="23"/>
        <v>BKN</v>
      </c>
      <c r="X17" s="34">
        <f t="shared" si="24"/>
        <v>1</v>
      </c>
      <c r="Y17" s="34">
        <f t="shared" si="25"/>
        <v>900</v>
      </c>
      <c r="Z17" s="34">
        <f t="shared" si="26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0</v>
      </c>
      <c r="F18" s="29">
        <v>0</v>
      </c>
      <c r="G18" s="29">
        <v>0</v>
      </c>
      <c r="H18" s="29">
        <v>8000</v>
      </c>
      <c r="I18" s="29">
        <v>0</v>
      </c>
      <c r="J18" s="29" t="s">
        <v>58</v>
      </c>
      <c r="K18" s="29">
        <v>800</v>
      </c>
      <c r="L18" s="29" t="s">
        <v>295</v>
      </c>
      <c r="M18" s="32">
        <f t="shared" si="14"/>
        <v>30</v>
      </c>
      <c r="N18" s="33">
        <f t="shared" si="15"/>
        <v>1</v>
      </c>
      <c r="O18" s="33">
        <f t="shared" si="16"/>
        <v>4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6000</v>
      </c>
      <c r="T18" s="34">
        <f t="shared" si="20"/>
        <v>1</v>
      </c>
      <c r="U18" s="34">
        <f t="shared" si="21"/>
        <v>0</v>
      </c>
      <c r="V18" s="34">
        <f t="shared" si="22"/>
        <v>1</v>
      </c>
      <c r="W18" s="34" t="str">
        <f t="shared" si="23"/>
        <v>BKN</v>
      </c>
      <c r="X18" s="34">
        <f t="shared" si="24"/>
        <v>1</v>
      </c>
      <c r="Y18" s="34">
        <f t="shared" si="25"/>
        <v>900</v>
      </c>
      <c r="Z18" s="34">
        <f t="shared" si="26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 ht="2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56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9</v>
      </c>
      <c r="U23" s="25"/>
      <c r="V23" s="25">
        <f>SUM(V7:V18)</f>
        <v>9</v>
      </c>
      <c r="W23" s="25"/>
      <c r="X23" s="25">
        <f>SUM(X7:X18)</f>
        <v>8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8</v>
      </c>
      <c r="O24" s="25"/>
      <c r="P24" s="25">
        <f>SUMIF($C7:$C18,"GENERAL",P7:P18)</f>
        <v>8</v>
      </c>
      <c r="Q24" s="25"/>
      <c r="R24" s="25">
        <f>SUMIF($C7:$C18,"GENERAL",R7:R18)</f>
        <v>8</v>
      </c>
      <c r="S24" s="25"/>
      <c r="T24" s="25">
        <f>SUMIF($C7:$C18,"GENERAL",T7:T18)</f>
        <v>8</v>
      </c>
      <c r="U24" s="25"/>
      <c r="V24" s="25">
        <f>SUMIF($C7:$C18,"GENERAL",V7:V18)</f>
        <v>8</v>
      </c>
      <c r="W24" s="25"/>
      <c r="X24" s="25">
        <f>SUMIF($C7:$C18,"GENERAL",X7:X18)</f>
        <v>8</v>
      </c>
      <c r="Y24" s="25"/>
      <c r="Z24" s="25">
        <f>SUMIF($C7:$C18,"GENERAL",Z7:Z18)</f>
        <v>8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4</v>
      </c>
      <c r="M27" s="42">
        <f>SUMIF($C7:$C18,"TEMPO",N7:N18)</f>
        <v>4</v>
      </c>
      <c r="N27" s="42">
        <f>M27</f>
        <v>4</v>
      </c>
      <c r="O27" s="42">
        <f>SUMIF($C7:$C18,"TEMPO",P7:P18)</f>
        <v>4</v>
      </c>
      <c r="P27" s="42">
        <f>O27</f>
        <v>4</v>
      </c>
      <c r="Q27" s="42">
        <f>SUMIF($C7:$C18,"TEMPO",R7:R18)</f>
        <v>4</v>
      </c>
      <c r="R27" s="42">
        <f>Q27</f>
        <v>4</v>
      </c>
      <c r="S27" s="42">
        <f>SUMIF($C7:$C18,"TEMPO",T7:T18)</f>
        <v>1</v>
      </c>
      <c r="T27" s="42">
        <f>S27</f>
        <v>1</v>
      </c>
      <c r="U27" s="42">
        <f>SUMIF($C7:$C18,"TEMPO",V7:V18)</f>
        <v>1</v>
      </c>
      <c r="V27" s="42">
        <f>U27</f>
        <v>1</v>
      </c>
      <c r="W27" s="42">
        <f>SUMIF($C7:$C18,"TEMPO",X7:X18)</f>
        <v>0</v>
      </c>
      <c r="X27" s="42">
        <f>W27</f>
        <v>0</v>
      </c>
      <c r="Y27" s="42">
        <f>SUMIF($C7:$C18,"TEMPO",Z7:Z18)</f>
        <v>4</v>
      </c>
      <c r="Z27" s="42">
        <f>Y27</f>
        <v>4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75</v>
      </c>
      <c r="U28" s="38"/>
      <c r="V28" s="38">
        <f>(SUM(V24:V27)/COUNTA(V7:V18))*100</f>
        <v>75</v>
      </c>
      <c r="W28" s="38"/>
      <c r="X28" s="38">
        <f>(SUM(X24:X27)/COUNTA(X7:X18))*100</f>
        <v>66.666666666666657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277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9</v>
      </c>
      <c r="B36" s="28">
        <v>0.25</v>
      </c>
      <c r="C36" s="29" t="s">
        <v>39</v>
      </c>
      <c r="D36" s="29"/>
      <c r="E36" s="29">
        <v>260</v>
      </c>
      <c r="F36" s="29">
        <v>3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1" t="s">
        <v>289</v>
      </c>
      <c r="M36" s="32">
        <f t="shared" ref="M36:M41" si="27">IF(ISNUMBER(VALUE(FIND("VRB",L36))),999,VALUE(MID(L36,20,3)))</f>
        <v>40</v>
      </c>
      <c r="N36" s="33">
        <f t="shared" ref="N36:N41" si="2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9">VALUE(MID(L36,23,2))</f>
        <v>3</v>
      </c>
      <c r="P36" s="33">
        <f t="shared" ref="P36:P41" si="30">IF(ABS(O36-F36)&lt;11,1,0)</f>
        <v>1</v>
      </c>
      <c r="Q36" s="34">
        <f t="shared" ref="Q36:Q41" si="31">IF(MID(L36,25,1)="G","GUST",0)</f>
        <v>0</v>
      </c>
      <c r="R36" s="33">
        <f t="shared" ref="R36:R41" si="32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33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4">IF(AND(IFERROR(FIND("RA",L36),0)&gt;0, IFERROR(FIND("RA",L36),0)&lt;38),"RA",0)</f>
        <v>0</v>
      </c>
      <c r="V36" s="34">
        <f t="shared" ref="V36:V47" si="35">IF(U36=I36,1,0)</f>
        <v>1</v>
      </c>
      <c r="W36" s="34" t="str">
        <f t="shared" ref="W36:W41" si="36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1" si="37">IF(OR(AND(OR(J36="SKC",J36="FEW",J36="SCT"),OR(W36="SKC",W36="FEW",W36="SCT")),(AND(OR(J36="BKN",J36="OVC"),OR(W36="BKN",W36="OVC")))),1,0)</f>
        <v>1</v>
      </c>
      <c r="Y36" s="34">
        <f t="shared" ref="Y36:Y41" si="38">IF(ISNUMBER(VALUE(FIND("CAVOK",L36))),9999,IF(ISNUMBER(VALUE(FIND("NSC",L36))),9999,(MID(L36,(FIND(W36,L36)+4),2))*100))</f>
        <v>900</v>
      </c>
      <c r="Z36" s="34">
        <f t="shared" ref="Z36:Z41" si="39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29"/>
      <c r="E37" s="29">
        <v>260</v>
      </c>
      <c r="F37" s="29">
        <v>3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1" t="s">
        <v>291</v>
      </c>
      <c r="M37" s="32">
        <f t="shared" si="27"/>
        <v>340</v>
      </c>
      <c r="N37" s="33">
        <f t="shared" si="28"/>
        <v>1</v>
      </c>
      <c r="O37" s="33">
        <f t="shared" si="29"/>
        <v>7</v>
      </c>
      <c r="P37" s="33">
        <f t="shared" si="30"/>
        <v>1</v>
      </c>
      <c r="Q37" s="34">
        <f t="shared" si="31"/>
        <v>0</v>
      </c>
      <c r="R37" s="33">
        <f t="shared" si="32"/>
        <v>1</v>
      </c>
      <c r="S37" s="34">
        <f t="shared" ref="S37:S47" si="40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3"/>
        <v>1</v>
      </c>
      <c r="U37" s="34">
        <f t="shared" si="34"/>
        <v>0</v>
      </c>
      <c r="V37" s="34">
        <f t="shared" si="35"/>
        <v>1</v>
      </c>
      <c r="W37" s="34" t="str">
        <f t="shared" si="36"/>
        <v>BKN</v>
      </c>
      <c r="X37" s="34">
        <f t="shared" si="37"/>
        <v>1</v>
      </c>
      <c r="Y37" s="34">
        <f t="shared" si="38"/>
        <v>900</v>
      </c>
      <c r="Z37" s="34">
        <f t="shared" si="39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29"/>
      <c r="E38" s="29">
        <v>260</v>
      </c>
      <c r="F38" s="29">
        <v>3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s="29" t="s">
        <v>292</v>
      </c>
      <c r="M38" s="32">
        <f t="shared" si="27"/>
        <v>330</v>
      </c>
      <c r="N38" s="33">
        <f t="shared" si="28"/>
        <v>1</v>
      </c>
      <c r="O38" s="33">
        <f t="shared" si="29"/>
        <v>6</v>
      </c>
      <c r="P38" s="33">
        <f t="shared" si="30"/>
        <v>1</v>
      </c>
      <c r="Q38" s="34">
        <f t="shared" si="31"/>
        <v>0</v>
      </c>
      <c r="R38" s="33">
        <f t="shared" si="32"/>
        <v>1</v>
      </c>
      <c r="S38" s="34">
        <f t="shared" si="40"/>
        <v>8000</v>
      </c>
      <c r="T38" s="34">
        <f t="shared" si="33"/>
        <v>1</v>
      </c>
      <c r="U38" s="34">
        <f t="shared" si="34"/>
        <v>0</v>
      </c>
      <c r="V38" s="34">
        <f t="shared" si="35"/>
        <v>1</v>
      </c>
      <c r="W38" s="34" t="str">
        <f t="shared" si="36"/>
        <v>BKN</v>
      </c>
      <c r="X38" s="34">
        <f t="shared" si="37"/>
        <v>1</v>
      </c>
      <c r="Y38" s="34">
        <f t="shared" si="38"/>
        <v>900</v>
      </c>
      <c r="Z38" s="34">
        <f t="shared" si="39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29"/>
      <c r="E39" s="29">
        <v>260</v>
      </c>
      <c r="F39" s="29">
        <v>3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s="29" t="s">
        <v>293</v>
      </c>
      <c r="M39" s="32">
        <f t="shared" si="27"/>
        <v>20</v>
      </c>
      <c r="N39" s="33">
        <f t="shared" si="28"/>
        <v>1</v>
      </c>
      <c r="O39" s="33">
        <f t="shared" si="29"/>
        <v>2</v>
      </c>
      <c r="P39" s="33">
        <f t="shared" si="30"/>
        <v>1</v>
      </c>
      <c r="Q39" s="34">
        <f t="shared" si="31"/>
        <v>0</v>
      </c>
      <c r="R39" s="33">
        <f t="shared" si="32"/>
        <v>1</v>
      </c>
      <c r="S39" s="34">
        <f t="shared" si="40"/>
        <v>8000</v>
      </c>
      <c r="T39" s="34">
        <f t="shared" si="33"/>
        <v>1</v>
      </c>
      <c r="U39" s="34">
        <f t="shared" si="34"/>
        <v>0</v>
      </c>
      <c r="V39" s="34">
        <f t="shared" si="35"/>
        <v>1</v>
      </c>
      <c r="W39" s="34" t="str">
        <f t="shared" si="36"/>
        <v>BKN</v>
      </c>
      <c r="X39" s="34">
        <f t="shared" si="37"/>
        <v>1</v>
      </c>
      <c r="Y39" s="34">
        <f t="shared" si="38"/>
        <v>900</v>
      </c>
      <c r="Z39" s="34">
        <f t="shared" si="39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29"/>
      <c r="E40" s="29">
        <v>260</v>
      </c>
      <c r="F40" s="29">
        <v>3</v>
      </c>
      <c r="G40" s="29">
        <v>0</v>
      </c>
      <c r="H40" s="29">
        <v>8000</v>
      </c>
      <c r="I40" s="29">
        <v>0</v>
      </c>
      <c r="J40" s="29" t="s">
        <v>58</v>
      </c>
      <c r="K40" s="29">
        <v>900</v>
      </c>
      <c r="L40" s="29" t="s">
        <v>294</v>
      </c>
      <c r="M40" s="32">
        <f t="shared" si="27"/>
        <v>60</v>
      </c>
      <c r="N40" s="33">
        <f t="shared" si="28"/>
        <v>1</v>
      </c>
      <c r="O40" s="33">
        <f t="shared" si="29"/>
        <v>3</v>
      </c>
      <c r="P40" s="33">
        <f t="shared" si="30"/>
        <v>1</v>
      </c>
      <c r="Q40" s="34">
        <f t="shared" si="31"/>
        <v>0</v>
      </c>
      <c r="R40" s="33">
        <f t="shared" si="32"/>
        <v>1</v>
      </c>
      <c r="S40" s="34">
        <f t="shared" si="40"/>
        <v>8000</v>
      </c>
      <c r="T40" s="34">
        <f t="shared" si="33"/>
        <v>1</v>
      </c>
      <c r="U40" s="34">
        <f t="shared" si="34"/>
        <v>0</v>
      </c>
      <c r="V40" s="34">
        <f t="shared" si="35"/>
        <v>1</v>
      </c>
      <c r="W40" s="34" t="str">
        <f t="shared" si="36"/>
        <v>BKN</v>
      </c>
      <c r="X40" s="34">
        <f t="shared" si="37"/>
        <v>1</v>
      </c>
      <c r="Y40" s="34">
        <f t="shared" si="38"/>
        <v>900</v>
      </c>
      <c r="Z40" s="34">
        <f t="shared" si="39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29"/>
      <c r="E41" s="29">
        <v>260</v>
      </c>
      <c r="F41" s="29">
        <v>3</v>
      </c>
      <c r="G41" s="29">
        <v>0</v>
      </c>
      <c r="H41" s="29">
        <v>8000</v>
      </c>
      <c r="I41" s="29">
        <v>0</v>
      </c>
      <c r="J41" s="29" t="s">
        <v>58</v>
      </c>
      <c r="K41" s="29">
        <v>900</v>
      </c>
      <c r="L41" s="29" t="s">
        <v>295</v>
      </c>
      <c r="M41" s="32">
        <f t="shared" si="27"/>
        <v>30</v>
      </c>
      <c r="N41" s="33">
        <f t="shared" si="28"/>
        <v>1</v>
      </c>
      <c r="O41" s="33">
        <f t="shared" si="29"/>
        <v>4</v>
      </c>
      <c r="P41" s="33">
        <f t="shared" si="30"/>
        <v>1</v>
      </c>
      <c r="Q41" s="34">
        <f t="shared" si="31"/>
        <v>0</v>
      </c>
      <c r="R41" s="33">
        <f t="shared" si="32"/>
        <v>1</v>
      </c>
      <c r="S41" s="34">
        <f t="shared" si="40"/>
        <v>6000</v>
      </c>
      <c r="T41" s="34">
        <f t="shared" si="33"/>
        <v>1</v>
      </c>
      <c r="U41" s="34">
        <f t="shared" si="34"/>
        <v>0</v>
      </c>
      <c r="V41" s="34">
        <f t="shared" si="35"/>
        <v>1</v>
      </c>
      <c r="W41" s="34" t="str">
        <f t="shared" si="36"/>
        <v>BKN</v>
      </c>
      <c r="X41" s="34">
        <f t="shared" si="37"/>
        <v>1</v>
      </c>
      <c r="Y41" s="34">
        <f t="shared" si="38"/>
        <v>900</v>
      </c>
      <c r="Z41" s="34">
        <f t="shared" si="39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29"/>
      <c r="E42" s="29">
        <v>260</v>
      </c>
      <c r="F42" s="29">
        <v>3</v>
      </c>
      <c r="G42" s="29">
        <v>0</v>
      </c>
      <c r="H42" s="29">
        <v>8000</v>
      </c>
      <c r="I42" s="29">
        <v>0</v>
      </c>
      <c r="J42" s="29" t="s">
        <v>58</v>
      </c>
      <c r="K42" s="29">
        <v>900</v>
      </c>
      <c r="L42" s="29" t="s">
        <v>296</v>
      </c>
      <c r="M42" s="32">
        <f t="shared" ref="M42:M47" si="41">IF(ISNUMBER(VALUE(FIND("VRB",L42))),999,VALUE(MID(L42,20,3)))</f>
        <v>10</v>
      </c>
      <c r="N42" s="33">
        <f t="shared" ref="N42:N47" si="42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3">VALUE(MID(L42,23,2))</f>
        <v>3</v>
      </c>
      <c r="P42" s="33">
        <f t="shared" ref="P42:P47" si="44">IF(ABS(O42-F42)&lt;11,1,0)</f>
        <v>1</v>
      </c>
      <c r="Q42" s="34">
        <f t="shared" ref="Q42:Q47" si="45">IF(MID(L42,25,1)="G","GUST",0)</f>
        <v>0</v>
      </c>
      <c r="R42" s="33">
        <f t="shared" ref="R42:R47" si="46">IF(G42=Q42,1,0)</f>
        <v>1</v>
      </c>
      <c r="S42" s="34">
        <f t="shared" si="40"/>
        <v>6000</v>
      </c>
      <c r="T42" s="34">
        <f t="shared" si="33"/>
        <v>1</v>
      </c>
      <c r="U42" s="34">
        <f>IF(AND(IFERROR(FIND("RA",#REF!),0)&gt;0, IFERROR(FIND("RA",#REF!),0)&lt;38),"RA",0)</f>
        <v>0</v>
      </c>
      <c r="V42" s="34">
        <f t="shared" si="35"/>
        <v>1</v>
      </c>
      <c r="W42" s="34" t="str">
        <f t="shared" ref="W42:W47" si="47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BKN</v>
      </c>
      <c r="X42" s="34">
        <f t="shared" ref="X42:X47" si="48">IF(OR(AND(OR(J42="SKC",J42="FEW",J42="SCT"),OR(W42="SKC",W42="FEW",W42="SCT")),(AND(OR(J42="BKN",J42="OVC"),OR(W42="BKN",W42="OVC")))),1,0)</f>
        <v>1</v>
      </c>
      <c r="Y42" s="34">
        <f t="shared" ref="Y42:Y47" si="49">IF(ISNUMBER(VALUE(FIND("CAVOK",L42))),9999,IF(ISNUMBER(VALUE(FIND("NSC",L42))),9999,(MID(L42,(FIND(W42,L42)+4),2))*100))</f>
        <v>900</v>
      </c>
      <c r="Z42" s="34">
        <f t="shared" ref="Z42:Z47" si="50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29"/>
      <c r="E43" s="29">
        <v>260</v>
      </c>
      <c r="F43" s="29">
        <v>3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s="29" t="s">
        <v>297</v>
      </c>
      <c r="M43" s="32">
        <f t="shared" si="41"/>
        <v>350</v>
      </c>
      <c r="N43" s="33">
        <f t="shared" si="42"/>
        <v>1</v>
      </c>
      <c r="O43" s="33">
        <f t="shared" si="43"/>
        <v>3</v>
      </c>
      <c r="P43" s="33">
        <f t="shared" si="44"/>
        <v>1</v>
      </c>
      <c r="Q43" s="34">
        <f t="shared" si="45"/>
        <v>0</v>
      </c>
      <c r="R43" s="33">
        <f t="shared" si="46"/>
        <v>1</v>
      </c>
      <c r="S43" s="34">
        <f t="shared" si="40"/>
        <v>8000</v>
      </c>
      <c r="T43" s="34">
        <f t="shared" si="33"/>
        <v>1</v>
      </c>
      <c r="U43" s="34">
        <f>IF(AND(IFERROR(FIND("RA",#REF!),0)&gt;0, IFERROR(FIND("RA",#REF!),0)&lt;38),"RA",0)</f>
        <v>0</v>
      </c>
      <c r="V43" s="34">
        <f t="shared" si="35"/>
        <v>1</v>
      </c>
      <c r="W43" s="34" t="str">
        <f t="shared" si="47"/>
        <v>BKN</v>
      </c>
      <c r="X43" s="34">
        <f t="shared" si="48"/>
        <v>1</v>
      </c>
      <c r="Y43" s="34">
        <f t="shared" si="49"/>
        <v>900</v>
      </c>
      <c r="Z43" s="34">
        <f t="shared" si="50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29"/>
      <c r="E44" s="29">
        <v>260</v>
      </c>
      <c r="F44" s="29">
        <v>3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s="29" t="s">
        <v>298</v>
      </c>
      <c r="M44" s="32">
        <f t="shared" si="41"/>
        <v>80</v>
      </c>
      <c r="N44" s="33">
        <f t="shared" si="42"/>
        <v>1</v>
      </c>
      <c r="O44" s="33">
        <f t="shared" si="43"/>
        <v>3</v>
      </c>
      <c r="P44" s="33">
        <f t="shared" si="44"/>
        <v>1</v>
      </c>
      <c r="Q44" s="34">
        <f t="shared" si="45"/>
        <v>0</v>
      </c>
      <c r="R44" s="33">
        <f t="shared" si="46"/>
        <v>1</v>
      </c>
      <c r="S44" s="34">
        <f t="shared" si="40"/>
        <v>8000</v>
      </c>
      <c r="T44" s="34">
        <f t="shared" si="33"/>
        <v>1</v>
      </c>
      <c r="U44" s="34">
        <f>IF(AND(IFERROR(FIND("RA",#REF!),0)&gt;0, IFERROR(FIND("RA",#REF!),0)&lt;38),"RA",0)</f>
        <v>0</v>
      </c>
      <c r="V44" s="34">
        <f t="shared" si="35"/>
        <v>1</v>
      </c>
      <c r="W44" s="34" t="str">
        <f t="shared" si="47"/>
        <v>BKN</v>
      </c>
      <c r="X44" s="34">
        <f t="shared" si="48"/>
        <v>1</v>
      </c>
      <c r="Y44" s="34">
        <f t="shared" si="49"/>
        <v>900</v>
      </c>
      <c r="Z44" s="34">
        <f t="shared" si="50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29"/>
      <c r="E45" s="29">
        <v>260</v>
      </c>
      <c r="F45" s="29">
        <v>3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s="29" t="s">
        <v>299</v>
      </c>
      <c r="M45" s="32">
        <f t="shared" si="41"/>
        <v>0</v>
      </c>
      <c r="N45" s="33">
        <f t="shared" si="42"/>
        <v>1</v>
      </c>
      <c r="O45" s="33">
        <f t="shared" si="43"/>
        <v>0</v>
      </c>
      <c r="P45" s="33">
        <f t="shared" si="44"/>
        <v>1</v>
      </c>
      <c r="Q45" s="34">
        <f t="shared" si="45"/>
        <v>0</v>
      </c>
      <c r="R45" s="33">
        <f t="shared" si="46"/>
        <v>1</v>
      </c>
      <c r="S45" s="34">
        <f t="shared" si="40"/>
        <v>8000</v>
      </c>
      <c r="T45" s="34">
        <f t="shared" si="33"/>
        <v>1</v>
      </c>
      <c r="U45" s="34">
        <f>IF(AND(IFERROR(FIND("RA",#REF!),0)&gt;0, IFERROR(FIND("RA",#REF!),0)&lt;38),"RA",0)</f>
        <v>0</v>
      </c>
      <c r="V45" s="34">
        <f t="shared" si="35"/>
        <v>1</v>
      </c>
      <c r="W45" s="34" t="str">
        <f t="shared" si="47"/>
        <v>BKN</v>
      </c>
      <c r="X45" s="34">
        <f t="shared" si="48"/>
        <v>1</v>
      </c>
      <c r="Y45" s="34">
        <f t="shared" si="49"/>
        <v>900</v>
      </c>
      <c r="Z45" s="34">
        <f t="shared" si="50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29"/>
      <c r="E46" s="29">
        <v>260</v>
      </c>
      <c r="F46" s="29">
        <v>3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29" t="s">
        <v>300</v>
      </c>
      <c r="M46" s="32">
        <f t="shared" si="41"/>
        <v>330</v>
      </c>
      <c r="N46" s="33">
        <f t="shared" si="42"/>
        <v>1</v>
      </c>
      <c r="O46" s="33">
        <f t="shared" si="43"/>
        <v>2</v>
      </c>
      <c r="P46" s="33">
        <f t="shared" si="44"/>
        <v>1</v>
      </c>
      <c r="Q46" s="34">
        <f t="shared" si="45"/>
        <v>0</v>
      </c>
      <c r="R46" s="33">
        <f t="shared" si="46"/>
        <v>1</v>
      </c>
      <c r="S46" s="34">
        <f t="shared" si="40"/>
        <v>8000</v>
      </c>
      <c r="T46" s="34">
        <f t="shared" si="33"/>
        <v>1</v>
      </c>
      <c r="U46" s="34">
        <f>IF(AND(IFERROR(FIND("RA",#REF!),0)&gt;0, IFERROR(FIND("RA",#REF!),0)&lt;38),"RA",0)</f>
        <v>0</v>
      </c>
      <c r="V46" s="34">
        <f t="shared" si="35"/>
        <v>1</v>
      </c>
      <c r="W46" s="34" t="str">
        <f t="shared" si="47"/>
        <v>BKN</v>
      </c>
      <c r="X46" s="34">
        <f t="shared" si="48"/>
        <v>1</v>
      </c>
      <c r="Y46" s="34">
        <f t="shared" si="49"/>
        <v>900</v>
      </c>
      <c r="Z46" s="34">
        <f t="shared" si="50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29"/>
      <c r="E47" s="29">
        <v>260</v>
      </c>
      <c r="F47" s="29">
        <v>3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29" t="s">
        <v>301</v>
      </c>
      <c r="M47" s="32">
        <f t="shared" si="41"/>
        <v>0</v>
      </c>
      <c r="N47" s="33">
        <f t="shared" si="42"/>
        <v>1</v>
      </c>
      <c r="O47" s="33">
        <f t="shared" si="43"/>
        <v>0</v>
      </c>
      <c r="P47" s="33">
        <f t="shared" si="44"/>
        <v>1</v>
      </c>
      <c r="Q47" s="34">
        <f t="shared" si="45"/>
        <v>0</v>
      </c>
      <c r="R47" s="33">
        <f t="shared" si="46"/>
        <v>1</v>
      </c>
      <c r="S47" s="34">
        <f t="shared" si="40"/>
        <v>8000</v>
      </c>
      <c r="T47" s="34">
        <f t="shared" si="33"/>
        <v>1</v>
      </c>
      <c r="U47" s="34">
        <f>IF(AND(IFERROR(FIND("RA",#REF!),0)&gt;0, IFERROR(FIND("RA",#REF!),0)&lt;38),"RA",0)</f>
        <v>0</v>
      </c>
      <c r="V47" s="34">
        <f t="shared" si="35"/>
        <v>1</v>
      </c>
      <c r="W47" s="34" t="str">
        <f t="shared" si="47"/>
        <v>BKN</v>
      </c>
      <c r="X47" s="34">
        <f t="shared" si="48"/>
        <v>1</v>
      </c>
      <c r="Y47" s="34">
        <f t="shared" si="49"/>
        <v>900</v>
      </c>
      <c r="Z47" s="34">
        <f t="shared" si="50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12</v>
      </c>
      <c r="W52" s="25"/>
      <c r="X52" s="25">
        <f>SUM(X36:X47)</f>
        <v>12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12</v>
      </c>
      <c r="W53" s="25"/>
      <c r="X53" s="25">
        <f>SUMIF($C36:$C47,"GENERAL",X36:X47)</f>
        <v>12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100</v>
      </c>
      <c r="W57" s="38"/>
      <c r="X57" s="38">
        <f>(SUM(X53:X56)/COUNTA(X36:X47))*100</f>
        <v>100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315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9</v>
      </c>
      <c r="B65" s="50">
        <v>0.5</v>
      </c>
      <c r="C65" s="29" t="s">
        <v>39</v>
      </c>
      <c r="D65" s="29"/>
      <c r="E65" s="29">
        <v>5</v>
      </c>
      <c r="F65" s="29">
        <v>3</v>
      </c>
      <c r="G65" s="29">
        <v>0</v>
      </c>
      <c r="H65" s="29">
        <v>4000</v>
      </c>
      <c r="I65" s="29" t="s">
        <v>52</v>
      </c>
      <c r="J65" s="29" t="s">
        <v>51</v>
      </c>
      <c r="K65" s="29">
        <v>900</v>
      </c>
      <c r="L65" s="29" t="s">
        <v>296</v>
      </c>
      <c r="M65" s="32">
        <f t="shared" ref="M65:M70" si="51">IF(ISNUMBER(VALUE(FIND("VRB",L65))),999,VALUE(MID(L65,20,3)))</f>
        <v>10</v>
      </c>
      <c r="N65" s="33">
        <f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2">VALUE(MID(L65,23,2))</f>
        <v>3</v>
      </c>
      <c r="P65" s="33">
        <f>IF(ABS(O65-F65)&lt;11,1,0)</f>
        <v>1</v>
      </c>
      <c r="Q65" s="34">
        <f t="shared" ref="Q65:Q70" si="53">IF(MID(L65,25,1)="G","GUST",0)</f>
        <v>0</v>
      </c>
      <c r="R65" s="33">
        <f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6000</v>
      </c>
      <c r="T65" s="34">
        <f>IF(OR(AND(H65&lt;801,S65&lt;801),AND(H65&gt;799,H65&lt;1501,S65&gt;799,S65&lt;1502),AND(H65&gt;1499,H65&lt;3001,S65&gt;1499,S65&lt;3001),AND(H65&gt;2999,H65&lt;5001,S65&gt;2999,S65&lt;5001),AND(H65&gt;4999,S65&gt;4999)),1,0)</f>
        <v>0</v>
      </c>
      <c r="U65" s="34">
        <f t="shared" ref="U65:U70" si="54">IF(AND(IFERROR(FIND("RA",L65),0)&gt;0, IFERROR(FIND("RA",L65),0)&lt;38),"RA",0)</f>
        <v>0</v>
      </c>
      <c r="V65" s="34">
        <f>IF(U65=I65,1,0)</f>
        <v>0</v>
      </c>
      <c r="W65" s="34" t="str">
        <f t="shared" ref="W65:W70" si="55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>IF(OR(AND(OR(J65="SKC",J65="FEW",J65="SCT"),OR(W65="SKC",W65="FEW",W65="SCT")),(AND(OR(J65="BKN",J65="OVC"),OR(W65="BKN",W65="OVC")))),1,0)</f>
        <v>0</v>
      </c>
      <c r="Y65" s="34">
        <f t="shared" ref="Y65:Y70" si="56">IF(ISNUMBER(VALUE(FIND("CAVOK",L65))),9999,IF(ISNUMBER(VALUE(FIND("NSC",L65))),9999,(MID(L65,(FIND(W65,L65)+4),2))*100))</f>
        <v>900</v>
      </c>
      <c r="Z65" s="34">
        <f t="shared" ref="Z65:Z70" si="57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29"/>
      <c r="E66" s="29">
        <v>5</v>
      </c>
      <c r="F66" s="29">
        <v>3</v>
      </c>
      <c r="G66" s="29">
        <v>0</v>
      </c>
      <c r="H66" s="29">
        <v>4000</v>
      </c>
      <c r="I66" s="29" t="s">
        <v>52</v>
      </c>
      <c r="J66" s="29" t="s">
        <v>51</v>
      </c>
      <c r="K66" s="29">
        <v>900</v>
      </c>
      <c r="L66" s="29" t="s">
        <v>297</v>
      </c>
      <c r="M66" s="32">
        <f t="shared" si="51"/>
        <v>350</v>
      </c>
      <c r="N66" s="33">
        <f t="shared" ref="N66:N70" si="58">IF(OR(ABS(E66-M66)&lt;61,AND(ABS(E66-M66)&gt;60,O66&lt;10),E66=M66,AND(E66=999,ISNUMBER(VALUE(FIND("TS",L66)))),AND(E66=999,ISNUMBER(VALUE(FIND("CB",L66)))),AND(E66=999,O66&lt;10),AND(F66&lt;10,M66=999,O66&lt;10)),1,0)</f>
        <v>1</v>
      </c>
      <c r="O66" s="33">
        <f t="shared" si="52"/>
        <v>3</v>
      </c>
      <c r="P66" s="33">
        <f t="shared" ref="P66:P70" si="59">IF(ABS(O66-F66)&lt;11,1,0)</f>
        <v>1</v>
      </c>
      <c r="Q66" s="34">
        <f t="shared" si="53"/>
        <v>0</v>
      </c>
      <c r="R66" s="33">
        <f t="shared" ref="R66:R70" si="60">IF(G66=Q66,1,0)</f>
        <v>1</v>
      </c>
      <c r="S66" s="34">
        <f t="shared" ref="S66:S76" si="61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ref="T66:T76" si="62">IF(OR(AND(H66&lt;801,S66&lt;801),AND(H66&gt;799,H66&lt;1501,S66&gt;799,S66&lt;1502),AND(H66&gt;1499,H66&lt;3001,S66&gt;1499,S66&lt;3001),AND(H66&gt;2999,H66&lt;5001,S66&gt;2999,S66&lt;5001),AND(H66&gt;4999,S66&gt;4999)),1,0)</f>
        <v>0</v>
      </c>
      <c r="U66" s="34">
        <f t="shared" si="54"/>
        <v>0</v>
      </c>
      <c r="V66" s="34">
        <f t="shared" ref="V66:V76" si="63">IF(U66=I66,1,0)</f>
        <v>0</v>
      </c>
      <c r="W66" s="34" t="str">
        <f t="shared" si="55"/>
        <v>BKN</v>
      </c>
      <c r="X66" s="34">
        <f t="shared" ref="X66:X70" si="64">IF(OR(AND(OR(J66="SKC",J66="FEW",J66="SCT"),OR(W66="SKC",W66="FEW",W66="SCT")),(AND(OR(J66="BKN",J66="OVC"),OR(W66="BKN",W66="OVC")))),1,0)</f>
        <v>0</v>
      </c>
      <c r="Y66" s="34">
        <f t="shared" si="56"/>
        <v>900</v>
      </c>
      <c r="Z66" s="34">
        <f t="shared" si="57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39</v>
      </c>
      <c r="D67" s="29"/>
      <c r="E67" s="29">
        <v>5</v>
      </c>
      <c r="F67" s="29">
        <v>3</v>
      </c>
      <c r="G67" s="29">
        <v>0</v>
      </c>
      <c r="H67" s="29">
        <v>4000</v>
      </c>
      <c r="I67" s="29" t="s">
        <v>52</v>
      </c>
      <c r="J67" s="29" t="s">
        <v>51</v>
      </c>
      <c r="K67" s="29">
        <v>900</v>
      </c>
      <c r="L67" s="29" t="s">
        <v>298</v>
      </c>
      <c r="M67" s="32">
        <f t="shared" si="51"/>
        <v>80</v>
      </c>
      <c r="N67" s="33">
        <f t="shared" si="58"/>
        <v>1</v>
      </c>
      <c r="O67" s="33">
        <f t="shared" si="52"/>
        <v>3</v>
      </c>
      <c r="P67" s="33">
        <f t="shared" si="59"/>
        <v>1</v>
      </c>
      <c r="Q67" s="34">
        <f t="shared" si="53"/>
        <v>0</v>
      </c>
      <c r="R67" s="33">
        <f t="shared" si="60"/>
        <v>1</v>
      </c>
      <c r="S67" s="34">
        <f t="shared" si="61"/>
        <v>8000</v>
      </c>
      <c r="T67" s="34">
        <f t="shared" si="62"/>
        <v>0</v>
      </c>
      <c r="U67" s="34">
        <f t="shared" si="54"/>
        <v>0</v>
      </c>
      <c r="V67" s="34">
        <f t="shared" si="63"/>
        <v>0</v>
      </c>
      <c r="W67" s="34" t="str">
        <f t="shared" si="55"/>
        <v>BKN</v>
      </c>
      <c r="X67" s="34">
        <f t="shared" si="64"/>
        <v>0</v>
      </c>
      <c r="Y67" s="34">
        <f t="shared" si="56"/>
        <v>900</v>
      </c>
      <c r="Z67" s="34">
        <f t="shared" si="57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39</v>
      </c>
      <c r="D68" s="29"/>
      <c r="E68" s="29">
        <v>5</v>
      </c>
      <c r="F68" s="29">
        <v>3</v>
      </c>
      <c r="G68" s="29">
        <v>0</v>
      </c>
      <c r="H68" s="29">
        <v>4000</v>
      </c>
      <c r="I68" s="29" t="s">
        <v>52</v>
      </c>
      <c r="J68" s="29" t="s">
        <v>51</v>
      </c>
      <c r="K68" s="29">
        <v>900</v>
      </c>
      <c r="L68" s="29" t="s">
        <v>299</v>
      </c>
      <c r="M68" s="32">
        <f t="shared" si="51"/>
        <v>0</v>
      </c>
      <c r="N68" s="33">
        <f t="shared" si="58"/>
        <v>1</v>
      </c>
      <c r="O68" s="33">
        <f t="shared" si="52"/>
        <v>0</v>
      </c>
      <c r="P68" s="33">
        <f t="shared" si="59"/>
        <v>1</v>
      </c>
      <c r="Q68" s="34">
        <f t="shared" si="53"/>
        <v>0</v>
      </c>
      <c r="R68" s="33">
        <f t="shared" si="60"/>
        <v>1</v>
      </c>
      <c r="S68" s="34">
        <f t="shared" si="61"/>
        <v>8000</v>
      </c>
      <c r="T68" s="34">
        <f t="shared" si="62"/>
        <v>0</v>
      </c>
      <c r="U68" s="34">
        <f t="shared" si="54"/>
        <v>0</v>
      </c>
      <c r="V68" s="34">
        <f t="shared" si="63"/>
        <v>0</v>
      </c>
      <c r="W68" s="34" t="str">
        <f t="shared" si="55"/>
        <v>BKN</v>
      </c>
      <c r="X68" s="34">
        <f t="shared" si="64"/>
        <v>0</v>
      </c>
      <c r="Y68" s="34">
        <f t="shared" si="56"/>
        <v>900</v>
      </c>
      <c r="Z68" s="34">
        <f t="shared" si="57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39</v>
      </c>
      <c r="D69" s="29"/>
      <c r="E69" s="29">
        <v>5</v>
      </c>
      <c r="F69" s="29">
        <v>3</v>
      </c>
      <c r="G69" s="29">
        <v>0</v>
      </c>
      <c r="H69" s="29">
        <v>4000</v>
      </c>
      <c r="I69" s="29" t="s">
        <v>52</v>
      </c>
      <c r="J69" s="29" t="s">
        <v>51</v>
      </c>
      <c r="K69" s="29">
        <v>900</v>
      </c>
      <c r="L69" s="29" t="s">
        <v>300</v>
      </c>
      <c r="M69" s="32">
        <f t="shared" si="51"/>
        <v>330</v>
      </c>
      <c r="N69" s="33">
        <f t="shared" si="58"/>
        <v>1</v>
      </c>
      <c r="O69" s="33">
        <f t="shared" si="52"/>
        <v>2</v>
      </c>
      <c r="P69" s="33">
        <f t="shared" si="59"/>
        <v>1</v>
      </c>
      <c r="Q69" s="34">
        <f t="shared" si="53"/>
        <v>0</v>
      </c>
      <c r="R69" s="33">
        <f t="shared" si="60"/>
        <v>1</v>
      </c>
      <c r="S69" s="34">
        <f t="shared" si="61"/>
        <v>8000</v>
      </c>
      <c r="T69" s="34">
        <f t="shared" si="62"/>
        <v>0</v>
      </c>
      <c r="U69" s="34">
        <f t="shared" si="54"/>
        <v>0</v>
      </c>
      <c r="V69" s="34">
        <f t="shared" si="63"/>
        <v>0</v>
      </c>
      <c r="W69" s="34" t="str">
        <f t="shared" si="55"/>
        <v>BKN</v>
      </c>
      <c r="X69" s="34">
        <f t="shared" si="64"/>
        <v>0</v>
      </c>
      <c r="Y69" s="34">
        <f t="shared" si="56"/>
        <v>900</v>
      </c>
      <c r="Z69" s="34">
        <f t="shared" si="57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39</v>
      </c>
      <c r="D70" s="29"/>
      <c r="E70" s="29">
        <v>5</v>
      </c>
      <c r="F70" s="29">
        <v>3</v>
      </c>
      <c r="G70" s="29">
        <v>0</v>
      </c>
      <c r="H70" s="29">
        <v>4000</v>
      </c>
      <c r="I70" s="29" t="s">
        <v>52</v>
      </c>
      <c r="J70" s="29" t="s">
        <v>51</v>
      </c>
      <c r="K70" s="29">
        <v>900</v>
      </c>
      <c r="L70" s="29" t="s">
        <v>301</v>
      </c>
      <c r="M70" s="32">
        <f t="shared" si="51"/>
        <v>0</v>
      </c>
      <c r="N70" s="33">
        <f t="shared" si="58"/>
        <v>1</v>
      </c>
      <c r="O70" s="33">
        <f t="shared" si="52"/>
        <v>0</v>
      </c>
      <c r="P70" s="33">
        <f t="shared" si="59"/>
        <v>1</v>
      </c>
      <c r="Q70" s="34">
        <f t="shared" si="53"/>
        <v>0</v>
      </c>
      <c r="R70" s="33">
        <f t="shared" si="60"/>
        <v>1</v>
      </c>
      <c r="S70" s="34">
        <f t="shared" si="61"/>
        <v>8000</v>
      </c>
      <c r="T70" s="34">
        <f t="shared" si="62"/>
        <v>0</v>
      </c>
      <c r="U70" s="34">
        <f t="shared" si="54"/>
        <v>0</v>
      </c>
      <c r="V70" s="34">
        <f t="shared" si="63"/>
        <v>0</v>
      </c>
      <c r="W70" s="34" t="str">
        <f t="shared" si="55"/>
        <v>BKN</v>
      </c>
      <c r="X70" s="34">
        <f t="shared" si="64"/>
        <v>0</v>
      </c>
      <c r="Y70" s="34">
        <f t="shared" si="56"/>
        <v>900</v>
      </c>
      <c r="Z70" s="34">
        <f t="shared" si="57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39</v>
      </c>
      <c r="D71" s="29"/>
      <c r="E71" s="29">
        <v>5</v>
      </c>
      <c r="F71" s="29">
        <v>3</v>
      </c>
      <c r="G71" s="29">
        <v>0</v>
      </c>
      <c r="H71" s="29">
        <v>4000</v>
      </c>
      <c r="I71" s="29" t="s">
        <v>52</v>
      </c>
      <c r="J71" s="29" t="s">
        <v>51</v>
      </c>
      <c r="K71" s="29">
        <v>900</v>
      </c>
      <c r="L71" s="29" t="s">
        <v>302</v>
      </c>
      <c r="M71" s="32">
        <f t="shared" ref="M71:M76" si="65">IF(ISNUMBER(VALUE(FIND("VRB",L71))),999,VALUE(MID(L71,20,3)))</f>
        <v>0</v>
      </c>
      <c r="N71" s="33">
        <f t="shared" ref="N71:N76" si="66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67">VALUE(MID(L71,23,2))</f>
        <v>0</v>
      </c>
      <c r="P71" s="33">
        <f t="shared" ref="P71:P76" si="68">IF(ABS(O71-F71)&lt;11,1,0)</f>
        <v>1</v>
      </c>
      <c r="Q71" s="34">
        <f t="shared" ref="Q71:Q76" si="69">IF(MID(L71,25,1)="G","GUST",0)</f>
        <v>0</v>
      </c>
      <c r="R71" s="33">
        <f t="shared" ref="R71:R76" si="70">IF(G71=Q71,1,0)</f>
        <v>1</v>
      </c>
      <c r="S71" s="34">
        <f t="shared" si="61"/>
        <v>8000</v>
      </c>
      <c r="T71" s="34">
        <f t="shared" si="62"/>
        <v>0</v>
      </c>
      <c r="U71" s="34">
        <f>IF(AND(IFERROR(FIND("RA",#REF!),0)&gt;0, IFERROR(FIND("RA",#REF!),0)&lt;38),"RA",0)</f>
        <v>0</v>
      </c>
      <c r="V71" s="34">
        <f t="shared" si="63"/>
        <v>0</v>
      </c>
      <c r="W71" s="34" t="str">
        <f t="shared" ref="W71:W76" si="71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2">IF(OR(AND(OR(J71="SKC",J71="FEW",J71="SCT"),OR(W71="SKC",W71="FEW",W71="SCT")),(AND(OR(J71="BKN",J71="OVC"),OR(W71="BKN",W71="OVC")))),1,0)</f>
        <v>0</v>
      </c>
      <c r="Y71" s="34">
        <f t="shared" ref="Y71:Y76" si="73">IF(ISNUMBER(VALUE(FIND("CAVOK",L71))),9999,IF(ISNUMBER(VALUE(FIND("NSC",L71))),9999,(MID(L71,(FIND(W71,L71)+4),2))*100))</f>
        <v>900</v>
      </c>
      <c r="Z71" s="34">
        <f t="shared" ref="Z71:Z76" si="74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34</v>
      </c>
      <c r="D72" s="29"/>
      <c r="E72" s="29">
        <v>0</v>
      </c>
      <c r="F72" s="29">
        <v>0</v>
      </c>
      <c r="G72" s="29">
        <v>0</v>
      </c>
      <c r="H72" s="29">
        <v>8000</v>
      </c>
      <c r="I72" s="29">
        <v>0</v>
      </c>
      <c r="J72" s="29" t="s">
        <v>58</v>
      </c>
      <c r="K72" s="29">
        <v>800</v>
      </c>
      <c r="L72" s="29" t="s">
        <v>303</v>
      </c>
      <c r="M72" s="32">
        <f t="shared" si="65"/>
        <v>0</v>
      </c>
      <c r="N72" s="33">
        <f t="shared" si="66"/>
        <v>1</v>
      </c>
      <c r="O72" s="33">
        <f t="shared" si="67"/>
        <v>0</v>
      </c>
      <c r="P72" s="33">
        <f t="shared" si="68"/>
        <v>1</v>
      </c>
      <c r="Q72" s="34">
        <f t="shared" si="69"/>
        <v>0</v>
      </c>
      <c r="R72" s="33">
        <f t="shared" si="70"/>
        <v>1</v>
      </c>
      <c r="S72" s="34">
        <f t="shared" si="61"/>
        <v>8000</v>
      </c>
      <c r="T72" s="34">
        <f t="shared" si="62"/>
        <v>1</v>
      </c>
      <c r="U72" s="34">
        <f>IF(AND(IFERROR(FIND("RA",#REF!),0)&gt;0, IFERROR(FIND("RA",#REF!),0)&lt;38),"RA",0)</f>
        <v>0</v>
      </c>
      <c r="V72" s="34">
        <f t="shared" si="63"/>
        <v>1</v>
      </c>
      <c r="W72" s="34" t="str">
        <f t="shared" si="71"/>
        <v>BKN</v>
      </c>
      <c r="X72" s="34">
        <f t="shared" si="72"/>
        <v>1</v>
      </c>
      <c r="Y72" s="34">
        <f t="shared" si="73"/>
        <v>900</v>
      </c>
      <c r="Z72" s="34">
        <f t="shared" si="74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34</v>
      </c>
      <c r="D73" s="29"/>
      <c r="E73" s="29">
        <v>0</v>
      </c>
      <c r="F73" s="29">
        <v>0</v>
      </c>
      <c r="G73" s="29">
        <v>0</v>
      </c>
      <c r="H73" s="29">
        <v>8000</v>
      </c>
      <c r="I73" s="29">
        <v>0</v>
      </c>
      <c r="J73" s="29" t="s">
        <v>58</v>
      </c>
      <c r="K73" s="29">
        <v>800</v>
      </c>
      <c r="L73" s="29" t="s">
        <v>304</v>
      </c>
      <c r="M73" s="32">
        <f t="shared" si="65"/>
        <v>180</v>
      </c>
      <c r="N73" s="33">
        <f t="shared" si="66"/>
        <v>1</v>
      </c>
      <c r="O73" s="33">
        <f t="shared" si="67"/>
        <v>1</v>
      </c>
      <c r="P73" s="33">
        <f t="shared" si="68"/>
        <v>1</v>
      </c>
      <c r="Q73" s="34">
        <f t="shared" si="69"/>
        <v>0</v>
      </c>
      <c r="R73" s="33">
        <f t="shared" si="70"/>
        <v>1</v>
      </c>
      <c r="S73" s="34">
        <f t="shared" si="61"/>
        <v>8000</v>
      </c>
      <c r="T73" s="34">
        <f t="shared" si="62"/>
        <v>1</v>
      </c>
      <c r="U73" s="34">
        <f>IF(AND(IFERROR(FIND("RA",#REF!),0)&gt;0, IFERROR(FIND("RA",#REF!),0)&lt;38),"RA",0)</f>
        <v>0</v>
      </c>
      <c r="V73" s="34">
        <f t="shared" si="63"/>
        <v>1</v>
      </c>
      <c r="W73" s="34" t="str">
        <f t="shared" si="71"/>
        <v>BKN</v>
      </c>
      <c r="X73" s="34">
        <f t="shared" si="72"/>
        <v>1</v>
      </c>
      <c r="Y73" s="34">
        <f t="shared" si="73"/>
        <v>900</v>
      </c>
      <c r="Z73" s="34">
        <f t="shared" si="74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34</v>
      </c>
      <c r="D74" s="29"/>
      <c r="E74" s="29">
        <v>0</v>
      </c>
      <c r="F74" s="29">
        <v>0</v>
      </c>
      <c r="G74" s="29">
        <v>0</v>
      </c>
      <c r="H74" s="29">
        <v>8000</v>
      </c>
      <c r="I74" s="29">
        <v>0</v>
      </c>
      <c r="J74" s="29" t="s">
        <v>58</v>
      </c>
      <c r="K74" s="29">
        <v>800</v>
      </c>
      <c r="L74" s="29" t="s">
        <v>305</v>
      </c>
      <c r="M74" s="32">
        <f t="shared" si="65"/>
        <v>180</v>
      </c>
      <c r="N74" s="33">
        <f t="shared" si="66"/>
        <v>1</v>
      </c>
      <c r="O74" s="33">
        <f t="shared" si="67"/>
        <v>1</v>
      </c>
      <c r="P74" s="33">
        <f t="shared" si="68"/>
        <v>1</v>
      </c>
      <c r="Q74" s="34">
        <f t="shared" si="69"/>
        <v>0</v>
      </c>
      <c r="R74" s="33">
        <f t="shared" si="70"/>
        <v>1</v>
      </c>
      <c r="S74" s="34">
        <f t="shared" si="61"/>
        <v>8000</v>
      </c>
      <c r="T74" s="34">
        <f t="shared" si="62"/>
        <v>1</v>
      </c>
      <c r="U74" s="34">
        <f>IF(AND(IFERROR(FIND("RA",#REF!),0)&gt;0, IFERROR(FIND("RA",#REF!),0)&lt;38),"RA",0)</f>
        <v>0</v>
      </c>
      <c r="V74" s="34">
        <f t="shared" si="63"/>
        <v>1</v>
      </c>
      <c r="W74" s="34" t="str">
        <f t="shared" si="71"/>
        <v>BKN</v>
      </c>
      <c r="X74" s="34">
        <f t="shared" si="72"/>
        <v>1</v>
      </c>
      <c r="Y74" s="34">
        <f t="shared" si="73"/>
        <v>900</v>
      </c>
      <c r="Z74" s="34">
        <f t="shared" si="74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34</v>
      </c>
      <c r="D75" s="29"/>
      <c r="E75" s="29">
        <v>0</v>
      </c>
      <c r="F75" s="29">
        <v>0</v>
      </c>
      <c r="G75" s="29">
        <v>0</v>
      </c>
      <c r="H75" s="29">
        <v>8000</v>
      </c>
      <c r="I75" s="29">
        <v>0</v>
      </c>
      <c r="J75" s="29" t="s">
        <v>58</v>
      </c>
      <c r="K75" s="29">
        <v>800</v>
      </c>
      <c r="L75" s="29" t="s">
        <v>306</v>
      </c>
      <c r="M75" s="32">
        <f t="shared" si="65"/>
        <v>0</v>
      </c>
      <c r="N75" s="33">
        <f t="shared" si="66"/>
        <v>1</v>
      </c>
      <c r="O75" s="33">
        <f t="shared" si="67"/>
        <v>0</v>
      </c>
      <c r="P75" s="33">
        <f t="shared" si="68"/>
        <v>1</v>
      </c>
      <c r="Q75" s="34">
        <f t="shared" si="69"/>
        <v>0</v>
      </c>
      <c r="R75" s="33">
        <f t="shared" si="70"/>
        <v>1</v>
      </c>
      <c r="S75" s="34">
        <f t="shared" si="61"/>
        <v>8000</v>
      </c>
      <c r="T75" s="34">
        <f t="shared" si="62"/>
        <v>1</v>
      </c>
      <c r="U75" s="34">
        <f>IF(AND(IFERROR(FIND("RA",#REF!),0)&gt;0, IFERROR(FIND("RA",#REF!),0)&lt;38),"RA",0)</f>
        <v>0</v>
      </c>
      <c r="V75" s="34">
        <f t="shared" si="63"/>
        <v>1</v>
      </c>
      <c r="W75" s="34" t="str">
        <f t="shared" si="71"/>
        <v>BKN</v>
      </c>
      <c r="X75" s="34">
        <f t="shared" si="72"/>
        <v>1</v>
      </c>
      <c r="Y75" s="34">
        <f t="shared" si="73"/>
        <v>900</v>
      </c>
      <c r="Z75" s="34">
        <f t="shared" si="74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34</v>
      </c>
      <c r="D76" s="29"/>
      <c r="E76" s="29">
        <v>0</v>
      </c>
      <c r="F76" s="29">
        <v>0</v>
      </c>
      <c r="G76" s="29">
        <v>0</v>
      </c>
      <c r="H76" s="29">
        <v>8000</v>
      </c>
      <c r="I76" s="29">
        <v>0</v>
      </c>
      <c r="J76" s="29" t="s">
        <v>58</v>
      </c>
      <c r="K76" s="29">
        <v>800</v>
      </c>
      <c r="L76" s="29" t="s">
        <v>307</v>
      </c>
      <c r="M76" s="32">
        <f t="shared" si="65"/>
        <v>0</v>
      </c>
      <c r="N76" s="33">
        <f t="shared" si="66"/>
        <v>1</v>
      </c>
      <c r="O76" s="33">
        <f t="shared" si="67"/>
        <v>0</v>
      </c>
      <c r="P76" s="33">
        <f t="shared" si="68"/>
        <v>1</v>
      </c>
      <c r="Q76" s="34">
        <f t="shared" si="69"/>
        <v>0</v>
      </c>
      <c r="R76" s="33">
        <f t="shared" si="70"/>
        <v>1</v>
      </c>
      <c r="S76" s="34">
        <f t="shared" si="61"/>
        <v>8000</v>
      </c>
      <c r="T76" s="34">
        <f t="shared" si="62"/>
        <v>1</v>
      </c>
      <c r="U76" s="34">
        <f>IF(AND(IFERROR(FIND("RA",#REF!),0)&gt;0, IFERROR(FIND("RA",#REF!),0)&lt;38),"RA",0)</f>
        <v>0</v>
      </c>
      <c r="V76" s="34">
        <f t="shared" si="63"/>
        <v>1</v>
      </c>
      <c r="W76" s="34" t="str">
        <f t="shared" si="71"/>
        <v>BKN</v>
      </c>
      <c r="X76" s="34">
        <f t="shared" si="72"/>
        <v>1</v>
      </c>
      <c r="Y76" s="34">
        <f t="shared" si="73"/>
        <v>800</v>
      </c>
      <c r="Z76" s="34">
        <f t="shared" si="74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5</v>
      </c>
      <c r="U80" s="25"/>
      <c r="V80" s="25">
        <f>SUM(V64:V76)</f>
        <v>5</v>
      </c>
      <c r="W80" s="25"/>
      <c r="X80" s="25">
        <f>SUM(X64:X76)</f>
        <v>5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7</v>
      </c>
      <c r="O81" s="25"/>
      <c r="P81" s="25">
        <f>SUMIF($C64:$C76,"GENERAL",P64:P76)</f>
        <v>7</v>
      </c>
      <c r="Q81" s="25"/>
      <c r="R81" s="25">
        <f>SUMIF($C64:$C76,"GENERAL",R64:R76)</f>
        <v>7</v>
      </c>
      <c r="S81" s="25"/>
      <c r="T81" s="25">
        <f>SUMIF($C64:$C76,"GENERAL",T64:T76)</f>
        <v>0</v>
      </c>
      <c r="U81" s="25"/>
      <c r="V81" s="25">
        <f>SUMIF($C64:$C76,"GENERAL",V64:V76)</f>
        <v>0</v>
      </c>
      <c r="W81" s="25"/>
      <c r="X81" s="25">
        <f>SUMIF($C64:$C76,"GENERAL",X64:X76)</f>
        <v>0</v>
      </c>
      <c r="Y81" s="25"/>
      <c r="Z81" s="25">
        <f>SUMIF($C64:$C76,"GENERAL",Z64:Z76)</f>
        <v>7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5</v>
      </c>
      <c r="O82" s="25"/>
      <c r="P82" s="25">
        <f>SUMIF($C64:$C76,"BECMG",P64:P76)</f>
        <v>5</v>
      </c>
      <c r="Q82" s="25"/>
      <c r="R82" s="25">
        <f>SUMIF($C64:$C76,"BECMG",R64:R76)</f>
        <v>5</v>
      </c>
      <c r="S82" s="25"/>
      <c r="T82" s="25">
        <f>SUMIF($C64:$C76,"BECMG",T64:T76)</f>
        <v>5</v>
      </c>
      <c r="U82" s="25"/>
      <c r="V82" s="25">
        <f>SUMIF($C64:$C76,"BECMG",V64:V76)</f>
        <v>5</v>
      </c>
      <c r="W82" s="25"/>
      <c r="X82" s="25">
        <f>SUMIF($C64:$C76,"BECMG",X64:X76)</f>
        <v>5</v>
      </c>
      <c r="Y82" s="25"/>
      <c r="Z82" s="25">
        <f>SUMIF($C64:$C76,"BECMG",Z64:Z76)</f>
        <v>5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41.666666666666671</v>
      </c>
      <c r="U85" s="38"/>
      <c r="V85" s="38">
        <f>(SUM(V81:V84)/COUNTA(V64:V76))*100</f>
        <v>41.666666666666671</v>
      </c>
      <c r="W85" s="38"/>
      <c r="X85" s="38">
        <f>(SUM(X81:X84)/COUNTA(X64:X76))*100</f>
        <v>41.666666666666671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316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9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s="51" t="s">
        <v>302</v>
      </c>
      <c r="M93" s="32">
        <f t="shared" ref="M93:M98" si="75">IF(ISNUMBER(VALUE(FIND("VRB",L93))),999,VALUE(MID(L93,20,3)))</f>
        <v>0</v>
      </c>
      <c r="N93" s="33">
        <f t="shared" ref="N93:N98" si="76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77">VALUE(MID(L93,23,2))</f>
        <v>0</v>
      </c>
      <c r="P93" s="33">
        <f t="shared" ref="P93:P98" si="78">IF(ABS(O93-F93)&lt;11,1,0)</f>
        <v>1</v>
      </c>
      <c r="Q93" s="34">
        <f t="shared" ref="Q93:Q98" si="79">IF(MID(L93,25,1)="G","GUST",0)</f>
        <v>0</v>
      </c>
      <c r="R93" s="33">
        <f t="shared" ref="R93:R98" si="80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81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2">IF(AND(IFERROR(FIND("RA",L93),0)&gt;0, IFERROR(FIND("RA",L93),0)&lt;38),"RA",0)</f>
        <v>0</v>
      </c>
      <c r="V93" s="34">
        <f t="shared" ref="V93:V98" si="83">IF(U93=I93,1,0)</f>
        <v>1</v>
      </c>
      <c r="W93" s="34" t="str">
        <f t="shared" ref="W93:W98" si="84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85">IF(OR(AND(OR(J93="SKC",J93="FEW",J93="SCT"),OR(W93="SKC",W93="FEW",W93="SCT")),(AND(OR(J93="BKN",J93="OVC"),OR(W93="BKN",W93="OVC")))),1,0)</f>
        <v>1</v>
      </c>
      <c r="Y93" s="34">
        <f t="shared" ref="Y93:Y98" si="86">IF(ISNUMBER(VALUE(FIND("CAVOK",L93))),9999,IF(ISNUMBER(VALUE(FIND("NSC",L93))),9999,(MID(L93,(FIND(W93,L93)+4),2))*100))</f>
        <v>900</v>
      </c>
      <c r="Z93" s="34">
        <f t="shared" ref="Z93:Z98" si="87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s="51" t="s">
        <v>303</v>
      </c>
      <c r="M94" s="32">
        <f t="shared" si="75"/>
        <v>0</v>
      </c>
      <c r="N94" s="33">
        <f t="shared" si="76"/>
        <v>1</v>
      </c>
      <c r="O94" s="33">
        <f t="shared" si="77"/>
        <v>0</v>
      </c>
      <c r="P94" s="33">
        <f t="shared" si="78"/>
        <v>1</v>
      </c>
      <c r="Q94" s="34">
        <f t="shared" si="79"/>
        <v>0</v>
      </c>
      <c r="R94" s="33">
        <f t="shared" si="80"/>
        <v>1</v>
      </c>
      <c r="S94" s="34">
        <f t="shared" ref="S94:S104" si="88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1"/>
        <v>1</v>
      </c>
      <c r="U94" s="34">
        <f t="shared" si="82"/>
        <v>0</v>
      </c>
      <c r="V94" s="34">
        <f t="shared" si="83"/>
        <v>1</v>
      </c>
      <c r="W94" s="34" t="str">
        <f t="shared" si="84"/>
        <v>BKN</v>
      </c>
      <c r="X94" s="34">
        <f t="shared" si="85"/>
        <v>1</v>
      </c>
      <c r="Y94" s="34">
        <f t="shared" si="86"/>
        <v>900</v>
      </c>
      <c r="Z94" s="34">
        <f t="shared" si="87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s="51" t="s">
        <v>304</v>
      </c>
      <c r="M95" s="32">
        <f t="shared" si="75"/>
        <v>180</v>
      </c>
      <c r="N95" s="33">
        <f t="shared" si="76"/>
        <v>1</v>
      </c>
      <c r="O95" s="33">
        <f t="shared" si="77"/>
        <v>1</v>
      </c>
      <c r="P95" s="33">
        <f t="shared" si="78"/>
        <v>1</v>
      </c>
      <c r="Q95" s="34">
        <f t="shared" si="79"/>
        <v>0</v>
      </c>
      <c r="R95" s="33">
        <f t="shared" si="80"/>
        <v>1</v>
      </c>
      <c r="S95" s="34">
        <f t="shared" si="88"/>
        <v>8000</v>
      </c>
      <c r="T95" s="34">
        <f t="shared" si="81"/>
        <v>1</v>
      </c>
      <c r="U95" s="34">
        <f t="shared" si="82"/>
        <v>0</v>
      </c>
      <c r="V95" s="34">
        <f t="shared" si="83"/>
        <v>1</v>
      </c>
      <c r="W95" s="34" t="str">
        <f t="shared" si="84"/>
        <v>BKN</v>
      </c>
      <c r="X95" s="34">
        <f t="shared" si="85"/>
        <v>1</v>
      </c>
      <c r="Y95" s="34">
        <f t="shared" si="86"/>
        <v>900</v>
      </c>
      <c r="Z95" s="34">
        <f t="shared" si="87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s="51" t="s">
        <v>305</v>
      </c>
      <c r="M96" s="32">
        <f t="shared" si="75"/>
        <v>180</v>
      </c>
      <c r="N96" s="33">
        <f t="shared" si="76"/>
        <v>1</v>
      </c>
      <c r="O96" s="33">
        <f t="shared" si="77"/>
        <v>1</v>
      </c>
      <c r="P96" s="33">
        <f t="shared" si="78"/>
        <v>1</v>
      </c>
      <c r="Q96" s="34">
        <f t="shared" si="79"/>
        <v>0</v>
      </c>
      <c r="R96" s="33">
        <f t="shared" si="80"/>
        <v>1</v>
      </c>
      <c r="S96" s="34">
        <f t="shared" si="88"/>
        <v>8000</v>
      </c>
      <c r="T96" s="34">
        <f t="shared" si="81"/>
        <v>1</v>
      </c>
      <c r="U96" s="34">
        <f t="shared" si="82"/>
        <v>0</v>
      </c>
      <c r="V96" s="34">
        <f t="shared" si="83"/>
        <v>1</v>
      </c>
      <c r="W96" s="34" t="str">
        <f t="shared" si="84"/>
        <v>BKN</v>
      </c>
      <c r="X96" s="34">
        <f t="shared" si="85"/>
        <v>1</v>
      </c>
      <c r="Y96" s="34">
        <f t="shared" si="86"/>
        <v>900</v>
      </c>
      <c r="Z96" s="34">
        <f t="shared" si="87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s="51" t="s">
        <v>306</v>
      </c>
      <c r="M97" s="32">
        <f t="shared" si="75"/>
        <v>0</v>
      </c>
      <c r="N97" s="33">
        <f t="shared" si="76"/>
        <v>1</v>
      </c>
      <c r="O97" s="33">
        <f t="shared" si="77"/>
        <v>0</v>
      </c>
      <c r="P97" s="33">
        <f t="shared" si="78"/>
        <v>1</v>
      </c>
      <c r="Q97" s="34">
        <f t="shared" si="79"/>
        <v>0</v>
      </c>
      <c r="R97" s="33">
        <f t="shared" si="80"/>
        <v>1</v>
      </c>
      <c r="S97" s="34">
        <f t="shared" si="88"/>
        <v>8000</v>
      </c>
      <c r="T97" s="34">
        <f t="shared" si="81"/>
        <v>1</v>
      </c>
      <c r="U97" s="34">
        <f t="shared" si="82"/>
        <v>0</v>
      </c>
      <c r="V97" s="34">
        <f t="shared" si="83"/>
        <v>1</v>
      </c>
      <c r="W97" s="34" t="str">
        <f t="shared" si="84"/>
        <v>BKN</v>
      </c>
      <c r="X97" s="34">
        <f t="shared" si="85"/>
        <v>1</v>
      </c>
      <c r="Y97" s="34">
        <f t="shared" si="86"/>
        <v>900</v>
      </c>
      <c r="Z97" s="34">
        <f t="shared" si="87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s="51" t="s">
        <v>307</v>
      </c>
      <c r="M98" s="32">
        <f t="shared" si="75"/>
        <v>0</v>
      </c>
      <c r="N98" s="33">
        <f t="shared" si="76"/>
        <v>1</v>
      </c>
      <c r="O98" s="33">
        <f t="shared" si="77"/>
        <v>0</v>
      </c>
      <c r="P98" s="33">
        <f t="shared" si="78"/>
        <v>1</v>
      </c>
      <c r="Q98" s="34">
        <f t="shared" si="79"/>
        <v>0</v>
      </c>
      <c r="R98" s="33">
        <f t="shared" si="80"/>
        <v>1</v>
      </c>
      <c r="S98" s="34">
        <f t="shared" si="88"/>
        <v>8000</v>
      </c>
      <c r="T98" s="34">
        <f t="shared" si="81"/>
        <v>1</v>
      </c>
      <c r="U98" s="34">
        <f t="shared" si="82"/>
        <v>0</v>
      </c>
      <c r="V98" s="34">
        <f t="shared" si="83"/>
        <v>1</v>
      </c>
      <c r="W98" s="34" t="str">
        <f t="shared" si="84"/>
        <v>BKN</v>
      </c>
      <c r="X98" s="34">
        <f t="shared" si="85"/>
        <v>1</v>
      </c>
      <c r="Y98" s="34">
        <f t="shared" si="86"/>
        <v>800</v>
      </c>
      <c r="Z98" s="34">
        <f t="shared" si="87"/>
        <v>1</v>
      </c>
      <c r="AA98" s="25"/>
      <c r="AB98" s="25"/>
      <c r="AC98" s="25"/>
      <c r="AD98" s="25"/>
      <c r="AE98" s="25"/>
    </row>
    <row r="99" spans="1:31" ht="16.5">
      <c r="A99" s="55">
        <v>10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s="51" t="s">
        <v>308</v>
      </c>
      <c r="M99" s="32">
        <f t="shared" ref="M99:M104" si="89">IF(ISNUMBER(VALUE(FIND("VRB",L99))),999,VALUE(MID(L99,20,3)))</f>
        <v>310</v>
      </c>
      <c r="N99" s="33">
        <f t="shared" ref="N99:N104" si="90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1">VALUE(MID(L99,23,2))</f>
        <v>2</v>
      </c>
      <c r="P99" s="33">
        <f t="shared" ref="P99:P104" si="92">IF(ABS(O99-F99)&lt;11,1,0)</f>
        <v>1</v>
      </c>
      <c r="Q99" s="34">
        <f t="shared" ref="Q99:Q104" si="93">IF(MID(L99,25,1)="G","GUST",0)</f>
        <v>0</v>
      </c>
      <c r="R99" s="33">
        <f t="shared" ref="R99:R104" si="94">IF(G99=Q99,1,0)</f>
        <v>1</v>
      </c>
      <c r="S99" s="34">
        <f t="shared" si="88"/>
        <v>8000</v>
      </c>
      <c r="T99" s="34">
        <f t="shared" ref="T99:T100" si="95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0" si="96">IF(AND(IFERROR(FIND("RA",L99),0)&gt;0, IFERROR(FIND("RA",L99),0)&lt;38),"RA",0)</f>
        <v>0</v>
      </c>
      <c r="V99" s="34">
        <f t="shared" ref="V99:V100" si="97">IF(U99=I99,1,0)</f>
        <v>1</v>
      </c>
      <c r="W99" s="34" t="str">
        <f t="shared" ref="W99:W100" si="98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99">IF(OR(AND(OR(J99="SKC",J99="FEW",J99="SCT"),OR(W99="SKC",W99="FEW",W99="SCT")),(AND(OR(J99="BKN",J99="OVC"),OR(W99="BKN",W99="OVC")))),1,0)</f>
        <v>1</v>
      </c>
      <c r="Y99" s="34">
        <f t="shared" ref="Y99:Y100" si="100">IF(ISNUMBER(VALUE(FIND("CAVOK",L99))),9999,IF(ISNUMBER(VALUE(FIND("NSC",L99))),9999,(MID(L99,(FIND(W99,L99)+4),2))*100))</f>
        <v>900</v>
      </c>
      <c r="Z99" s="34">
        <f t="shared" ref="Z99:Z100" si="101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s="51" t="s">
        <v>309</v>
      </c>
      <c r="M100" s="32">
        <f t="shared" si="89"/>
        <v>320</v>
      </c>
      <c r="N100" s="33">
        <f t="shared" si="90"/>
        <v>1</v>
      </c>
      <c r="O100" s="33">
        <f t="shared" si="91"/>
        <v>2</v>
      </c>
      <c r="P100" s="33">
        <f t="shared" si="92"/>
        <v>1</v>
      </c>
      <c r="Q100" s="34">
        <f t="shared" si="93"/>
        <v>0</v>
      </c>
      <c r="R100" s="33">
        <f t="shared" si="94"/>
        <v>1</v>
      </c>
      <c r="S100" s="34">
        <f t="shared" si="88"/>
        <v>8000</v>
      </c>
      <c r="T100" s="34">
        <f t="shared" si="95"/>
        <v>1</v>
      </c>
      <c r="U100" s="34">
        <f t="shared" si="96"/>
        <v>0</v>
      </c>
      <c r="V100" s="34">
        <f t="shared" si="97"/>
        <v>1</v>
      </c>
      <c r="W100" s="34" t="str">
        <f t="shared" si="98"/>
        <v>BKN</v>
      </c>
      <c r="X100" s="34">
        <f t="shared" si="99"/>
        <v>1</v>
      </c>
      <c r="Y100" s="34">
        <f t="shared" si="100"/>
        <v>900</v>
      </c>
      <c r="Z100" s="34">
        <f t="shared" si="101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s="51" t="s">
        <v>310</v>
      </c>
      <c r="M101" s="32">
        <f t="shared" si="89"/>
        <v>110</v>
      </c>
      <c r="N101" s="33">
        <f t="shared" si="90"/>
        <v>1</v>
      </c>
      <c r="O101" s="33">
        <f t="shared" si="91"/>
        <v>2</v>
      </c>
      <c r="P101" s="33">
        <f t="shared" si="92"/>
        <v>1</v>
      </c>
      <c r="Q101" s="34">
        <f t="shared" si="93"/>
        <v>0</v>
      </c>
      <c r="R101" s="33">
        <f t="shared" si="94"/>
        <v>1</v>
      </c>
      <c r="S101" s="34">
        <f t="shared" si="88"/>
        <v>8000</v>
      </c>
      <c r="T101" s="34">
        <f t="shared" ref="T101:T104" si="102">IF(OR(AND(H101&lt;801,S101&lt;801),AND(H101&gt;799,H101&lt;1501,S101&gt;799,S101&lt;1502),AND(H101&gt;1499,H101&lt;3001,S101&gt;1499,S101&lt;3001),AND(H101&gt;2999,H101&lt;5001,S101&gt;2999,S101&lt;5001),AND(H101&gt;4999,S101&gt;4999)),1,0)</f>
        <v>1</v>
      </c>
      <c r="U101" s="34">
        <f t="shared" ref="U101:U104" si="103">IF(AND(IFERROR(FIND("RA",L101),0)&gt;0, IFERROR(FIND("RA",L101),0)&lt;38),"RA",0)</f>
        <v>0</v>
      </c>
      <c r="V101" s="34">
        <f t="shared" ref="V101:V104" si="104">IF(U101=I101,1,0)</f>
        <v>1</v>
      </c>
      <c r="W101" s="34" t="str">
        <f t="shared" ref="W101:W104" si="105">IF(ISNUMBER(VALUE(FIND("FEW",L101))),"FEW",IF(ISNUMBER(VALUE(FIND("SCT",L101))),"SCT",IF(ISNUMBER(VALUE(FIND("BKN",L101))),"BKN",IF(ISNUMBER(VALUE(FIND("OVC",L101))),"OVC",IF(ISNUMBER(VALUE(FIND("SKC",L101))),"SKC",IF(ISNUMBER(VALUE(FIND("CAVOK",L101))),"SKC",IF(ISNUMBER(VALUE(FIND("NSC",L101))),"SKC","EROR")))))))</f>
        <v>BKN</v>
      </c>
      <c r="X101" s="34">
        <f t="shared" si="99"/>
        <v>1</v>
      </c>
      <c r="Y101" s="34">
        <f t="shared" ref="Y101:Y104" si="106">IF(ISNUMBER(VALUE(FIND("CAVOK",L101))),9999,IF(ISNUMBER(VALUE(FIND("NSC",L101))),9999,(MID(L101,(FIND(W101,L101)+4),2))*100))</f>
        <v>900</v>
      </c>
      <c r="Z101" s="34">
        <f t="shared" ref="Z101:Z104" si="107">IF(AND(Y101&lt;1001,ABS(K101-Y101)&lt;101),1,IF(AND(Y101&gt;1000,ABS(Y101-K101)/K101&lt;0.30005),1,0))</f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s="51" t="s">
        <v>311</v>
      </c>
      <c r="M102" s="32">
        <f t="shared" si="89"/>
        <v>0</v>
      </c>
      <c r="N102" s="33">
        <f t="shared" si="90"/>
        <v>1</v>
      </c>
      <c r="O102" s="33">
        <f t="shared" si="91"/>
        <v>0</v>
      </c>
      <c r="P102" s="33">
        <f t="shared" si="92"/>
        <v>1</v>
      </c>
      <c r="Q102" s="34">
        <f t="shared" si="93"/>
        <v>0</v>
      </c>
      <c r="R102" s="33">
        <f t="shared" si="94"/>
        <v>1</v>
      </c>
      <c r="S102" s="34">
        <f t="shared" si="88"/>
        <v>8000</v>
      </c>
      <c r="T102" s="34">
        <f t="shared" si="102"/>
        <v>1</v>
      </c>
      <c r="U102" s="34">
        <f t="shared" si="103"/>
        <v>0</v>
      </c>
      <c r="V102" s="34">
        <f t="shared" si="104"/>
        <v>1</v>
      </c>
      <c r="W102" s="34" t="str">
        <f t="shared" si="105"/>
        <v>BKN</v>
      </c>
      <c r="X102" s="34">
        <f t="shared" si="99"/>
        <v>1</v>
      </c>
      <c r="Y102" s="34">
        <f t="shared" si="106"/>
        <v>900</v>
      </c>
      <c r="Z102" s="34">
        <f t="shared" si="107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s="51" t="s">
        <v>312</v>
      </c>
      <c r="M103" s="32">
        <f t="shared" si="89"/>
        <v>190</v>
      </c>
      <c r="N103" s="33">
        <f t="shared" si="90"/>
        <v>1</v>
      </c>
      <c r="O103" s="33">
        <f t="shared" si="91"/>
        <v>2</v>
      </c>
      <c r="P103" s="33">
        <f t="shared" si="92"/>
        <v>1</v>
      </c>
      <c r="Q103" s="34">
        <f t="shared" si="93"/>
        <v>0</v>
      </c>
      <c r="R103" s="33">
        <f t="shared" si="94"/>
        <v>1</v>
      </c>
      <c r="S103" s="34">
        <f t="shared" si="88"/>
        <v>8000</v>
      </c>
      <c r="T103" s="34">
        <f t="shared" si="102"/>
        <v>1</v>
      </c>
      <c r="U103" s="34">
        <f t="shared" si="103"/>
        <v>0</v>
      </c>
      <c r="V103" s="34">
        <f t="shared" si="104"/>
        <v>1</v>
      </c>
      <c r="W103" s="34" t="str">
        <f t="shared" si="105"/>
        <v>BKN</v>
      </c>
      <c r="X103" s="34">
        <f t="shared" si="99"/>
        <v>1</v>
      </c>
      <c r="Y103" s="34">
        <f t="shared" si="106"/>
        <v>900</v>
      </c>
      <c r="Z103" s="34">
        <f t="shared" si="107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s="51" t="s">
        <v>908</v>
      </c>
      <c r="M104" s="32">
        <f t="shared" si="89"/>
        <v>130</v>
      </c>
      <c r="N104" s="33">
        <f t="shared" si="90"/>
        <v>1</v>
      </c>
      <c r="O104" s="33">
        <f t="shared" si="91"/>
        <v>5</v>
      </c>
      <c r="P104" s="33">
        <f t="shared" si="92"/>
        <v>1</v>
      </c>
      <c r="Q104" s="34">
        <f t="shared" si="93"/>
        <v>0</v>
      </c>
      <c r="R104" s="33">
        <f t="shared" si="94"/>
        <v>1</v>
      </c>
      <c r="S104" s="34">
        <f t="shared" si="88"/>
        <v>8000</v>
      </c>
      <c r="T104" s="34">
        <f t="shared" si="102"/>
        <v>1</v>
      </c>
      <c r="U104" s="34">
        <f t="shared" si="103"/>
        <v>0</v>
      </c>
      <c r="V104" s="34">
        <f t="shared" si="104"/>
        <v>1</v>
      </c>
      <c r="W104" s="34" t="str">
        <f t="shared" si="105"/>
        <v>BKN</v>
      </c>
      <c r="X104" s="34">
        <f t="shared" si="99"/>
        <v>1</v>
      </c>
      <c r="Y104" s="34">
        <f t="shared" si="106"/>
        <v>900</v>
      </c>
      <c r="Z104" s="34">
        <f t="shared" si="107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12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12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100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B6E77-4ADB-6844-A92F-D0AB07476B94}">
  <sheetPr>
    <tabColor theme="0"/>
  </sheetPr>
  <dimension ref="A1:AE115"/>
  <sheetViews>
    <sheetView topLeftCell="C1" zoomScale="78" zoomScaleNormal="78" workbookViewId="0">
      <selection activeCell="L15" sqref="L15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317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10</v>
      </c>
      <c r="B7" s="28">
        <v>0</v>
      </c>
      <c r="C7" s="29" t="s">
        <v>39</v>
      </c>
      <c r="D7" s="29"/>
      <c r="E7" s="29">
        <v>0</v>
      </c>
      <c r="F7" s="29">
        <v>0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29" t="s">
        <v>308</v>
      </c>
      <c r="M7" s="32">
        <f t="shared" ref="M7:M18" si="0">IF(ISNUMBER(VALUE(FIND("VRB",L7))),999,VALUE(MID(L7,20,3)))</f>
        <v>310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2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>IF(U7=I7,1,0)</f>
        <v>1</v>
      </c>
      <c r="W7" s="34" t="str">
        <f t="shared" ref="W7:W18" si="8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9">IF(OR(AND(OR(J7="SKC",J7="FEW",J7="SCT"),OR(W7="SKC",W7="FEW",W7="SCT")),(AND(OR(J7="BKN",J7="OVC"),OR(W7="BKN",W7="OVC")))),1,0)</f>
        <v>1</v>
      </c>
      <c r="Y7" s="34">
        <f t="shared" ref="Y7:Y18" si="10">IF(ISNUMBER(VALUE(FIND("CAVOK",L7))),9999,IF(ISNUMBER(VALUE(FIND("NSC",L7))),9999,(MID(L7,(FIND(W7,L7)+4),2))*100))</f>
        <v>900</v>
      </c>
      <c r="Z7" s="34">
        <f t="shared" ref="Z7:Z18" si="11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0</v>
      </c>
      <c r="F8" s="29">
        <v>0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29" t="s">
        <v>309</v>
      </c>
      <c r="M8" s="32">
        <f t="shared" si="0"/>
        <v>320</v>
      </c>
      <c r="N8" s="33">
        <f t="shared" si="1"/>
        <v>1</v>
      </c>
      <c r="O8" s="33">
        <f t="shared" si="2"/>
        <v>2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2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ref="V8:V18" si="13">IF(U8=I8,1,0)</f>
        <v>1</v>
      </c>
      <c r="W8" s="34" t="str">
        <f t="shared" si="8"/>
        <v>BKN</v>
      </c>
      <c r="X8" s="34">
        <f t="shared" si="9"/>
        <v>1</v>
      </c>
      <c r="Y8" s="34">
        <f t="shared" si="10"/>
        <v>900</v>
      </c>
      <c r="Z8" s="34">
        <f t="shared" si="11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0</v>
      </c>
      <c r="F9" s="29">
        <v>0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29" t="s">
        <v>310</v>
      </c>
      <c r="M9" s="32">
        <f t="shared" si="0"/>
        <v>110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2"/>
        <v>8000</v>
      </c>
      <c r="T9" s="34">
        <f t="shared" si="6"/>
        <v>1</v>
      </c>
      <c r="U9" s="34">
        <f t="shared" si="7"/>
        <v>0</v>
      </c>
      <c r="V9" s="34">
        <f t="shared" si="13"/>
        <v>1</v>
      </c>
      <c r="W9" s="34" t="str">
        <f t="shared" si="8"/>
        <v>BKN</v>
      </c>
      <c r="X9" s="34">
        <f t="shared" si="9"/>
        <v>1</v>
      </c>
      <c r="Y9" s="34">
        <f t="shared" si="10"/>
        <v>900</v>
      </c>
      <c r="Z9" s="34">
        <f t="shared" si="11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0</v>
      </c>
      <c r="F10" s="29">
        <v>0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29" t="s">
        <v>311</v>
      </c>
      <c r="M10" s="32">
        <f t="shared" si="0"/>
        <v>0</v>
      </c>
      <c r="N10" s="33">
        <f t="shared" si="1"/>
        <v>1</v>
      </c>
      <c r="O10" s="33">
        <f t="shared" si="2"/>
        <v>0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2"/>
        <v>8000</v>
      </c>
      <c r="T10" s="34">
        <f t="shared" si="6"/>
        <v>1</v>
      </c>
      <c r="U10" s="34">
        <f t="shared" si="7"/>
        <v>0</v>
      </c>
      <c r="V10" s="34">
        <f t="shared" si="13"/>
        <v>1</v>
      </c>
      <c r="W10" s="34" t="str">
        <f t="shared" si="8"/>
        <v>BKN</v>
      </c>
      <c r="X10" s="34">
        <f t="shared" si="9"/>
        <v>1</v>
      </c>
      <c r="Y10" s="34">
        <f t="shared" si="10"/>
        <v>900</v>
      </c>
      <c r="Z10" s="34">
        <f t="shared" si="11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0</v>
      </c>
      <c r="F11" s="29">
        <v>0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29" t="s">
        <v>312</v>
      </c>
      <c r="M11" s="32">
        <f t="shared" si="0"/>
        <v>190</v>
      </c>
      <c r="N11" s="33">
        <f t="shared" si="1"/>
        <v>1</v>
      </c>
      <c r="O11" s="33">
        <f t="shared" si="2"/>
        <v>2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2"/>
        <v>8000</v>
      </c>
      <c r="T11" s="34">
        <f t="shared" si="6"/>
        <v>1</v>
      </c>
      <c r="U11" s="34">
        <f t="shared" si="7"/>
        <v>0</v>
      </c>
      <c r="V11" s="34">
        <f t="shared" si="13"/>
        <v>1</v>
      </c>
      <c r="W11" s="34" t="str">
        <f t="shared" si="8"/>
        <v>BKN</v>
      </c>
      <c r="X11" s="34">
        <f t="shared" si="9"/>
        <v>1</v>
      </c>
      <c r="Y11" s="34">
        <f t="shared" si="10"/>
        <v>900</v>
      </c>
      <c r="Z11" s="34">
        <f t="shared" si="11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0</v>
      </c>
      <c r="F12" s="29">
        <v>0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29" t="s">
        <v>908</v>
      </c>
      <c r="M12" s="32">
        <f t="shared" si="0"/>
        <v>130</v>
      </c>
      <c r="N12" s="33">
        <f t="shared" si="1"/>
        <v>1</v>
      </c>
      <c r="O12" s="33">
        <f t="shared" si="2"/>
        <v>5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2"/>
        <v>8000</v>
      </c>
      <c r="T12" s="34">
        <f t="shared" si="6"/>
        <v>1</v>
      </c>
      <c r="U12" s="34">
        <f t="shared" si="7"/>
        <v>0</v>
      </c>
      <c r="V12" s="34">
        <f t="shared" si="13"/>
        <v>1</v>
      </c>
      <c r="W12" s="34" t="str">
        <f t="shared" si="8"/>
        <v>BKN</v>
      </c>
      <c r="X12" s="34">
        <f t="shared" si="9"/>
        <v>1</v>
      </c>
      <c r="Y12" s="34">
        <f t="shared" si="10"/>
        <v>900</v>
      </c>
      <c r="Z12" s="34">
        <f t="shared" si="11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0</v>
      </c>
      <c r="F13" s="29">
        <v>0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29" t="s">
        <v>313</v>
      </c>
      <c r="M13" s="32">
        <f t="shared" si="0"/>
        <v>310</v>
      </c>
      <c r="N13" s="33">
        <f t="shared" si="1"/>
        <v>1</v>
      </c>
      <c r="O13" s="33">
        <f t="shared" si="2"/>
        <v>6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2"/>
        <v>8000</v>
      </c>
      <c r="T13" s="34">
        <f t="shared" si="6"/>
        <v>1</v>
      </c>
      <c r="U13" s="34">
        <f t="shared" si="7"/>
        <v>0</v>
      </c>
      <c r="V13" s="34">
        <f t="shared" si="13"/>
        <v>1</v>
      </c>
      <c r="W13" s="34" t="str">
        <f t="shared" si="8"/>
        <v>BKN</v>
      </c>
      <c r="X13" s="34">
        <f t="shared" si="9"/>
        <v>1</v>
      </c>
      <c r="Y13" s="34">
        <f t="shared" si="10"/>
        <v>800</v>
      </c>
      <c r="Z13" s="34">
        <f t="shared" si="11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0</v>
      </c>
      <c r="F14" s="29">
        <v>0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29" t="s">
        <v>314</v>
      </c>
      <c r="M14" s="32">
        <f t="shared" si="0"/>
        <v>320</v>
      </c>
      <c r="N14" s="33">
        <f t="shared" si="1"/>
        <v>1</v>
      </c>
      <c r="O14" s="33">
        <f t="shared" si="2"/>
        <v>4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2"/>
        <v>9999</v>
      </c>
      <c r="T14" s="34">
        <f t="shared" si="6"/>
        <v>1</v>
      </c>
      <c r="U14" s="34" t="str">
        <f t="shared" si="7"/>
        <v>RA</v>
      </c>
      <c r="V14" s="34">
        <f t="shared" si="13"/>
        <v>0</v>
      </c>
      <c r="W14" s="34" t="str">
        <f t="shared" si="8"/>
        <v>OVC</v>
      </c>
      <c r="X14" s="34">
        <f t="shared" si="9"/>
        <v>1</v>
      </c>
      <c r="Y14" s="34">
        <f t="shared" si="10"/>
        <v>800</v>
      </c>
      <c r="Z14" s="34">
        <f t="shared" si="11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0</v>
      </c>
      <c r="F15" s="29">
        <v>0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t="s">
        <v>319</v>
      </c>
      <c r="M15" s="32">
        <f t="shared" si="0"/>
        <v>170</v>
      </c>
      <c r="N15" s="33">
        <f t="shared" si="1"/>
        <v>1</v>
      </c>
      <c r="O15" s="33">
        <f t="shared" si="2"/>
        <v>5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2"/>
        <v>7000</v>
      </c>
      <c r="T15" s="34">
        <f t="shared" si="6"/>
        <v>1</v>
      </c>
      <c r="U15" s="34">
        <f t="shared" si="7"/>
        <v>0</v>
      </c>
      <c r="V15" s="34">
        <f t="shared" si="13"/>
        <v>1</v>
      </c>
      <c r="W15" s="34" t="str">
        <f t="shared" si="8"/>
        <v>BKN</v>
      </c>
      <c r="X15" s="34">
        <f t="shared" si="9"/>
        <v>1</v>
      </c>
      <c r="Y15" s="34">
        <f t="shared" si="10"/>
        <v>900</v>
      </c>
      <c r="Z15" s="34">
        <f t="shared" si="11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0</v>
      </c>
      <c r="F16" s="29">
        <v>0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t="s">
        <v>320</v>
      </c>
      <c r="M16" s="32">
        <f t="shared" si="0"/>
        <v>80</v>
      </c>
      <c r="N16" s="33">
        <f t="shared" si="1"/>
        <v>1</v>
      </c>
      <c r="O16" s="33">
        <f t="shared" si="2"/>
        <v>3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2"/>
        <v>8000</v>
      </c>
      <c r="T16" s="34">
        <f t="shared" si="6"/>
        <v>1</v>
      </c>
      <c r="U16" s="34">
        <f t="shared" si="7"/>
        <v>0</v>
      </c>
      <c r="V16" s="34">
        <f t="shared" si="13"/>
        <v>1</v>
      </c>
      <c r="W16" s="34" t="str">
        <f t="shared" si="8"/>
        <v>BKN</v>
      </c>
      <c r="X16" s="34">
        <f t="shared" si="9"/>
        <v>1</v>
      </c>
      <c r="Y16" s="34">
        <f t="shared" si="10"/>
        <v>900</v>
      </c>
      <c r="Z16" s="34">
        <f t="shared" si="11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0</v>
      </c>
      <c r="F17" s="29">
        <v>0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t="s">
        <v>321</v>
      </c>
      <c r="M17" s="32">
        <f t="shared" si="0"/>
        <v>80</v>
      </c>
      <c r="N17" s="33">
        <f t="shared" si="1"/>
        <v>1</v>
      </c>
      <c r="O17" s="33">
        <f t="shared" si="2"/>
        <v>5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2"/>
        <v>8000</v>
      </c>
      <c r="T17" s="34">
        <f t="shared" si="6"/>
        <v>1</v>
      </c>
      <c r="U17" s="34">
        <f t="shared" si="7"/>
        <v>0</v>
      </c>
      <c r="V17" s="34">
        <f t="shared" si="13"/>
        <v>1</v>
      </c>
      <c r="W17" s="34" t="str">
        <f t="shared" si="8"/>
        <v>BKN</v>
      </c>
      <c r="X17" s="34">
        <f t="shared" si="9"/>
        <v>1</v>
      </c>
      <c r="Y17" s="34">
        <f t="shared" si="10"/>
        <v>900</v>
      </c>
      <c r="Z17" s="34">
        <f t="shared" si="11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0</v>
      </c>
      <c r="F18" s="29">
        <v>0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t="s">
        <v>322</v>
      </c>
      <c r="M18" s="32">
        <f t="shared" si="0"/>
        <v>40</v>
      </c>
      <c r="N18" s="33">
        <f t="shared" si="1"/>
        <v>1</v>
      </c>
      <c r="O18" s="33">
        <f t="shared" si="2"/>
        <v>2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2"/>
        <v>8000</v>
      </c>
      <c r="T18" s="34">
        <f t="shared" si="6"/>
        <v>1</v>
      </c>
      <c r="U18" s="34">
        <f t="shared" si="7"/>
        <v>0</v>
      </c>
      <c r="V18" s="34">
        <f t="shared" si="13"/>
        <v>1</v>
      </c>
      <c r="W18" s="34" t="str">
        <f t="shared" si="8"/>
        <v>BKN</v>
      </c>
      <c r="X18" s="34">
        <f t="shared" si="9"/>
        <v>1</v>
      </c>
      <c r="Y18" s="34">
        <f t="shared" si="10"/>
        <v>900</v>
      </c>
      <c r="Z18" s="34">
        <f t="shared" si="11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11</v>
      </c>
      <c r="W23" s="25"/>
      <c r="X23" s="25">
        <f>SUM(X7:X18)</f>
        <v>12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12</v>
      </c>
      <c r="U24" s="25"/>
      <c r="V24" s="25">
        <f>SUMIF($C7:$C18,"GENERAL",V7:V18)</f>
        <v>11</v>
      </c>
      <c r="W24" s="25"/>
      <c r="X24" s="25">
        <f>SUMIF($C7:$C18,"GENERAL",X7:X18)</f>
        <v>12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91.666666666666657</v>
      </c>
      <c r="W28" s="38"/>
      <c r="X28" s="38">
        <f>(SUM(X24:X27)/COUNTA(X7:X18))*100</f>
        <v>100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318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</v>
      </c>
      <c r="B36" s="28">
        <v>0.25</v>
      </c>
      <c r="C36" s="29" t="s">
        <v>39</v>
      </c>
      <c r="D36" s="30"/>
      <c r="E36" s="29">
        <v>130</v>
      </c>
      <c r="F36" s="29">
        <v>5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29" t="s">
        <v>313</v>
      </c>
      <c r="M36" s="32">
        <f t="shared" ref="M36:M47" si="14">IF(ISNUMBER(VALUE(FIND("VRB",L36))),999,VALUE(MID(L36,20,3)))</f>
        <v>310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6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1">IF(AND(IFERROR(FIND("RA",L36),0)&gt;0, IFERROR(FIND("RA",L36),0)&lt;38),"RA",0)</f>
        <v>0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7" si="24">IF(OR(AND(OR(J36="SKC",J36="FEW",J36="SCT"),OR(W36="SKC",W36="FEW",W36="SCT")),(AND(OR(J36="BKN",J36="OVC"),OR(W36="BKN",W36="OVC")))),1,0)</f>
        <v>1</v>
      </c>
      <c r="Y36" s="34">
        <f t="shared" ref="Y36:Y47" si="25">IF(ISNUMBER(VALUE(FIND("CAVOK",L36))),9999,IF(ISNUMBER(VALUE(FIND("NSC",L36))),9999,(MID(L36,(FIND(W36,L36)+4),2))*100))</f>
        <v>800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130</v>
      </c>
      <c r="F37" s="29">
        <v>5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29" t="s">
        <v>314</v>
      </c>
      <c r="M37" s="32">
        <f t="shared" si="14"/>
        <v>320</v>
      </c>
      <c r="N37" s="33">
        <f t="shared" si="15"/>
        <v>1</v>
      </c>
      <c r="O37" s="33">
        <f t="shared" si="16"/>
        <v>4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9999</v>
      </c>
      <c r="T37" s="34">
        <f t="shared" si="20"/>
        <v>1</v>
      </c>
      <c r="U37" s="34" t="str">
        <f t="shared" si="21"/>
        <v>RA</v>
      </c>
      <c r="V37" s="34">
        <f t="shared" si="22"/>
        <v>0</v>
      </c>
      <c r="W37" s="34" t="str">
        <f t="shared" si="23"/>
        <v>OVC</v>
      </c>
      <c r="X37" s="34">
        <f t="shared" si="24"/>
        <v>1</v>
      </c>
      <c r="Y37" s="34">
        <f t="shared" si="25"/>
        <v>800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130</v>
      </c>
      <c r="F38" s="29">
        <v>5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t="s">
        <v>319</v>
      </c>
      <c r="M38" s="32">
        <f t="shared" si="14"/>
        <v>170</v>
      </c>
      <c r="N38" s="33">
        <f t="shared" si="15"/>
        <v>1</v>
      </c>
      <c r="O38" s="33">
        <f t="shared" si="16"/>
        <v>5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7000</v>
      </c>
      <c r="T38" s="34">
        <f t="shared" si="20"/>
        <v>1</v>
      </c>
      <c r="U38" s="34">
        <f t="shared" si="21"/>
        <v>0</v>
      </c>
      <c r="V38" s="34">
        <f t="shared" si="22"/>
        <v>1</v>
      </c>
      <c r="W38" s="34" t="str">
        <f t="shared" si="23"/>
        <v>BKN</v>
      </c>
      <c r="X38" s="34">
        <f t="shared" si="24"/>
        <v>1</v>
      </c>
      <c r="Y38" s="34">
        <f t="shared" si="25"/>
        <v>900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130</v>
      </c>
      <c r="F39" s="29">
        <v>5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t="s">
        <v>320</v>
      </c>
      <c r="M39" s="32">
        <f t="shared" si="14"/>
        <v>80</v>
      </c>
      <c r="N39" s="33">
        <f t="shared" si="15"/>
        <v>1</v>
      </c>
      <c r="O39" s="33">
        <f t="shared" si="16"/>
        <v>3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8000</v>
      </c>
      <c r="T39" s="34">
        <f t="shared" si="20"/>
        <v>1</v>
      </c>
      <c r="U39" s="34">
        <f t="shared" si="21"/>
        <v>0</v>
      </c>
      <c r="V39" s="34">
        <f t="shared" si="22"/>
        <v>1</v>
      </c>
      <c r="W39" s="34" t="str">
        <f t="shared" si="23"/>
        <v>BKN</v>
      </c>
      <c r="X39" s="34">
        <f t="shared" si="24"/>
        <v>1</v>
      </c>
      <c r="Y39" s="34">
        <f t="shared" si="25"/>
        <v>900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130</v>
      </c>
      <c r="F40" s="29">
        <v>5</v>
      </c>
      <c r="G40" s="29">
        <v>0</v>
      </c>
      <c r="H40" s="29">
        <v>8000</v>
      </c>
      <c r="I40" s="29">
        <v>0</v>
      </c>
      <c r="J40" s="29" t="s">
        <v>58</v>
      </c>
      <c r="K40" s="29">
        <v>900</v>
      </c>
      <c r="L40" t="s">
        <v>321</v>
      </c>
      <c r="M40" s="32">
        <f t="shared" si="14"/>
        <v>80</v>
      </c>
      <c r="N40" s="33">
        <f t="shared" si="15"/>
        <v>1</v>
      </c>
      <c r="O40" s="33">
        <f t="shared" si="16"/>
        <v>5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8000</v>
      </c>
      <c r="T40" s="34">
        <f t="shared" si="20"/>
        <v>1</v>
      </c>
      <c r="U40" s="34">
        <f t="shared" si="21"/>
        <v>0</v>
      </c>
      <c r="V40" s="34">
        <f t="shared" si="22"/>
        <v>1</v>
      </c>
      <c r="W40" s="34" t="str">
        <f t="shared" si="23"/>
        <v>BKN</v>
      </c>
      <c r="X40" s="34">
        <f t="shared" si="24"/>
        <v>1</v>
      </c>
      <c r="Y40" s="34">
        <f t="shared" si="25"/>
        <v>900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130</v>
      </c>
      <c r="F41" s="29">
        <v>5</v>
      </c>
      <c r="G41" s="29">
        <v>0</v>
      </c>
      <c r="H41" s="29">
        <v>8000</v>
      </c>
      <c r="I41" s="29">
        <v>0</v>
      </c>
      <c r="J41" s="29" t="s">
        <v>58</v>
      </c>
      <c r="K41" s="29">
        <v>900</v>
      </c>
      <c r="L41" t="s">
        <v>322</v>
      </c>
      <c r="M41" s="32">
        <f t="shared" si="14"/>
        <v>40</v>
      </c>
      <c r="N41" s="33">
        <f t="shared" si="15"/>
        <v>1</v>
      </c>
      <c r="O41" s="33">
        <f t="shared" si="16"/>
        <v>2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8000</v>
      </c>
      <c r="T41" s="34">
        <f t="shared" si="20"/>
        <v>1</v>
      </c>
      <c r="U41" s="34">
        <f t="shared" si="21"/>
        <v>0</v>
      </c>
      <c r="V41" s="34">
        <f t="shared" si="22"/>
        <v>1</v>
      </c>
      <c r="W41" s="34" t="str">
        <f t="shared" si="23"/>
        <v>BKN</v>
      </c>
      <c r="X41" s="34">
        <f t="shared" si="24"/>
        <v>1</v>
      </c>
      <c r="Y41" s="34">
        <f t="shared" si="25"/>
        <v>900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130</v>
      </c>
      <c r="F42" s="29">
        <v>5</v>
      </c>
      <c r="G42" s="29">
        <v>0</v>
      </c>
      <c r="H42" s="29">
        <v>8000</v>
      </c>
      <c r="I42" s="29">
        <v>0</v>
      </c>
      <c r="J42" s="29" t="s">
        <v>58</v>
      </c>
      <c r="K42" s="29">
        <v>900</v>
      </c>
      <c r="L42" t="s">
        <v>323</v>
      </c>
      <c r="M42" s="32">
        <f t="shared" si="14"/>
        <v>350</v>
      </c>
      <c r="N42" s="33">
        <f t="shared" si="15"/>
        <v>1</v>
      </c>
      <c r="O42" s="33">
        <f t="shared" si="16"/>
        <v>2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7"/>
        <v>8000</v>
      </c>
      <c r="T42" s="34">
        <f t="shared" si="20"/>
        <v>1</v>
      </c>
      <c r="U42" s="34">
        <f t="shared" si="21"/>
        <v>0</v>
      </c>
      <c r="V42" s="34">
        <f t="shared" si="22"/>
        <v>1</v>
      </c>
      <c r="W42" s="34" t="str">
        <f t="shared" si="23"/>
        <v>BKN</v>
      </c>
      <c r="X42" s="34">
        <f t="shared" si="24"/>
        <v>1</v>
      </c>
      <c r="Y42" s="34">
        <f t="shared" si="25"/>
        <v>900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130</v>
      </c>
      <c r="F43" s="29">
        <v>5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t="s">
        <v>324</v>
      </c>
      <c r="M43" s="32">
        <f t="shared" si="14"/>
        <v>360</v>
      </c>
      <c r="N43" s="33">
        <f t="shared" si="15"/>
        <v>1</v>
      </c>
      <c r="O43" s="33">
        <f t="shared" si="16"/>
        <v>2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7"/>
        <v>8000</v>
      </c>
      <c r="T43" s="34">
        <f t="shared" si="20"/>
        <v>1</v>
      </c>
      <c r="U43" s="34">
        <f t="shared" si="21"/>
        <v>0</v>
      </c>
      <c r="V43" s="34">
        <f t="shared" si="22"/>
        <v>1</v>
      </c>
      <c r="W43" s="34" t="str">
        <f t="shared" si="23"/>
        <v>BKN</v>
      </c>
      <c r="X43" s="34">
        <f t="shared" si="24"/>
        <v>1</v>
      </c>
      <c r="Y43" s="34">
        <f t="shared" si="25"/>
        <v>900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130</v>
      </c>
      <c r="F44" s="29">
        <v>5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t="s">
        <v>325</v>
      </c>
      <c r="M44" s="32">
        <f t="shared" si="14"/>
        <v>90</v>
      </c>
      <c r="N44" s="33">
        <f t="shared" si="15"/>
        <v>1</v>
      </c>
      <c r="O44" s="33">
        <f t="shared" si="16"/>
        <v>2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7"/>
        <v>8000</v>
      </c>
      <c r="T44" s="34">
        <f t="shared" si="20"/>
        <v>1</v>
      </c>
      <c r="U44" s="34">
        <f t="shared" si="21"/>
        <v>0</v>
      </c>
      <c r="V44" s="34">
        <f t="shared" si="22"/>
        <v>1</v>
      </c>
      <c r="W44" s="34" t="str">
        <f t="shared" si="23"/>
        <v>BKN</v>
      </c>
      <c r="X44" s="34">
        <f t="shared" si="24"/>
        <v>1</v>
      </c>
      <c r="Y44" s="34">
        <f t="shared" si="25"/>
        <v>900</v>
      </c>
      <c r="Z44" s="34">
        <f t="shared" si="2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130</v>
      </c>
      <c r="F45" s="29">
        <v>5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t="s">
        <v>326</v>
      </c>
      <c r="M45" s="32">
        <f t="shared" si="14"/>
        <v>250</v>
      </c>
      <c r="N45" s="33">
        <f t="shared" si="15"/>
        <v>1</v>
      </c>
      <c r="O45" s="33">
        <f t="shared" si="16"/>
        <v>4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7"/>
        <v>8000</v>
      </c>
      <c r="T45" s="34">
        <f t="shared" si="20"/>
        <v>1</v>
      </c>
      <c r="U45" s="34">
        <f t="shared" si="21"/>
        <v>0</v>
      </c>
      <c r="V45" s="34">
        <f t="shared" si="22"/>
        <v>1</v>
      </c>
      <c r="W45" s="34" t="str">
        <f t="shared" si="23"/>
        <v>BKN</v>
      </c>
      <c r="X45" s="34">
        <f t="shared" si="24"/>
        <v>1</v>
      </c>
      <c r="Y45" s="34">
        <f t="shared" si="25"/>
        <v>900</v>
      </c>
      <c r="Z45" s="34">
        <f t="shared" si="2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130</v>
      </c>
      <c r="F46" s="29">
        <v>5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t="s">
        <v>327</v>
      </c>
      <c r="M46" s="32">
        <f t="shared" si="14"/>
        <v>0</v>
      </c>
      <c r="N46" s="33">
        <f t="shared" si="15"/>
        <v>1</v>
      </c>
      <c r="O46" s="33">
        <f t="shared" si="16"/>
        <v>0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7"/>
        <v>8000</v>
      </c>
      <c r="T46" s="34">
        <f t="shared" si="20"/>
        <v>1</v>
      </c>
      <c r="U46" s="34">
        <f t="shared" si="21"/>
        <v>0</v>
      </c>
      <c r="V46" s="34">
        <f t="shared" si="22"/>
        <v>1</v>
      </c>
      <c r="W46" s="34" t="str">
        <f t="shared" si="23"/>
        <v>BKN</v>
      </c>
      <c r="X46" s="34">
        <f t="shared" si="24"/>
        <v>1</v>
      </c>
      <c r="Y46" s="34">
        <f t="shared" si="25"/>
        <v>900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130</v>
      </c>
      <c r="F47" s="29">
        <v>5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t="s">
        <v>328</v>
      </c>
      <c r="M47" s="32">
        <f t="shared" si="14"/>
        <v>0</v>
      </c>
      <c r="N47" s="33">
        <f t="shared" si="15"/>
        <v>1</v>
      </c>
      <c r="O47" s="33">
        <f t="shared" si="16"/>
        <v>0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8000</v>
      </c>
      <c r="T47" s="34">
        <f t="shared" si="20"/>
        <v>1</v>
      </c>
      <c r="U47" s="34">
        <f t="shared" si="21"/>
        <v>0</v>
      </c>
      <c r="V47" s="34">
        <f t="shared" si="22"/>
        <v>1</v>
      </c>
      <c r="W47" s="34" t="str">
        <f t="shared" si="23"/>
        <v>BKN</v>
      </c>
      <c r="X47" s="34">
        <f t="shared" si="24"/>
        <v>1</v>
      </c>
      <c r="Y47" s="34">
        <f t="shared" si="25"/>
        <v>900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11</v>
      </c>
      <c r="W52" s="25"/>
      <c r="X52" s="25">
        <f>SUM(X36:X47)</f>
        <v>12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11</v>
      </c>
      <c r="W53" s="25"/>
      <c r="X53" s="25">
        <f>SUMIF($C36:$C47,"GENERAL",X36:X47)</f>
        <v>12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91.666666666666657</v>
      </c>
      <c r="W57" s="38"/>
      <c r="X57" s="38">
        <f>(SUM(X53:X56)/COUNTA(X36:X47))*100</f>
        <v>100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341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</v>
      </c>
      <c r="B65" s="50">
        <v>0.5</v>
      </c>
      <c r="C65" s="29" t="s">
        <v>39</v>
      </c>
      <c r="D65" s="52"/>
      <c r="E65" s="51">
        <v>30</v>
      </c>
      <c r="F65" s="51">
        <v>2</v>
      </c>
      <c r="G65" s="51">
        <v>0</v>
      </c>
      <c r="H65" s="51">
        <v>8000</v>
      </c>
      <c r="I65" s="51">
        <v>0</v>
      </c>
      <c r="J65" s="51" t="s">
        <v>58</v>
      </c>
      <c r="K65" s="51">
        <v>900</v>
      </c>
      <c r="L65" t="s">
        <v>323</v>
      </c>
      <c r="M65" s="32">
        <f t="shared" ref="M65:M76" si="28">IF(ISNUMBER(VALUE(FIND("VRB",L65))),999,VALUE(MID(L65,20,3)))</f>
        <v>350</v>
      </c>
      <c r="N65" s="33">
        <f t="shared" ref="N65:N74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2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3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5">IF(AND(IFERROR(FIND("RA",L65),0)&gt;0, IFERROR(FIND("RA",L65),0)&lt;38),"RA",0)</f>
        <v>0</v>
      </c>
      <c r="V65" s="34">
        <f t="shared" ref="V65:V76" si="36">IF(U65=I65,1,0)</f>
        <v>1</v>
      </c>
      <c r="W65" s="34" t="str">
        <f t="shared" ref="W65:W76" si="3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6" si="38">IF(OR(AND(OR(J65="SKC",J65="FEW",J65="SCT"),OR(W65="SKC",W65="FEW",W65="SCT")),(AND(OR(J65="BKN",J65="OVC"),OR(W65="BKN",W65="OVC")))),1,0)</f>
        <v>1</v>
      </c>
      <c r="Y65" s="34">
        <f t="shared" ref="Y65:Y76" si="39">IF(ISNUMBER(VALUE(FIND("CAVOK",L65))),9999,IF(ISNUMBER(VALUE(FIND("NSC",L65))),9999,(MID(L65,(FIND(W65,L65)+4),2))*100))</f>
        <v>900</v>
      </c>
      <c r="Z65" s="34">
        <f t="shared" ref="Z65:Z76" si="4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52"/>
      <c r="E66" s="51">
        <v>30</v>
      </c>
      <c r="F66" s="51">
        <v>2</v>
      </c>
      <c r="G66" s="51">
        <v>0</v>
      </c>
      <c r="H66" s="51">
        <v>8000</v>
      </c>
      <c r="I66" s="51">
        <v>0</v>
      </c>
      <c r="J66" s="51" t="s">
        <v>58</v>
      </c>
      <c r="K66" s="51">
        <v>900</v>
      </c>
      <c r="L66" t="s">
        <v>324</v>
      </c>
      <c r="M66" s="32">
        <f t="shared" si="28"/>
        <v>360</v>
      </c>
      <c r="N66" s="33">
        <f t="shared" si="29"/>
        <v>1</v>
      </c>
      <c r="O66" s="33">
        <f t="shared" si="30"/>
        <v>2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ref="S66:S76" si="41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34"/>
        <v>1</v>
      </c>
      <c r="U66" s="34">
        <f t="shared" si="35"/>
        <v>0</v>
      </c>
      <c r="V66" s="34">
        <f t="shared" si="36"/>
        <v>1</v>
      </c>
      <c r="W66" s="34" t="str">
        <f t="shared" si="37"/>
        <v>BKN</v>
      </c>
      <c r="X66" s="34">
        <f t="shared" si="38"/>
        <v>1</v>
      </c>
      <c r="Y66" s="34">
        <f t="shared" si="39"/>
        <v>900</v>
      </c>
      <c r="Z66" s="34">
        <f t="shared" si="4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39</v>
      </c>
      <c r="D67" s="52"/>
      <c r="E67" s="51">
        <v>30</v>
      </c>
      <c r="F67" s="51">
        <v>2</v>
      </c>
      <c r="G67" s="51">
        <v>0</v>
      </c>
      <c r="H67" s="51">
        <v>8000</v>
      </c>
      <c r="I67" s="51">
        <v>0</v>
      </c>
      <c r="J67" s="51" t="s">
        <v>58</v>
      </c>
      <c r="K67" s="51">
        <v>900</v>
      </c>
      <c r="L67" t="s">
        <v>325</v>
      </c>
      <c r="M67" s="32">
        <f t="shared" si="28"/>
        <v>90</v>
      </c>
      <c r="N67" s="33">
        <f t="shared" si="29"/>
        <v>1</v>
      </c>
      <c r="O67" s="33">
        <f t="shared" si="30"/>
        <v>2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41"/>
        <v>8000</v>
      </c>
      <c r="T67" s="34">
        <f t="shared" si="34"/>
        <v>1</v>
      </c>
      <c r="U67" s="34">
        <f t="shared" si="35"/>
        <v>0</v>
      </c>
      <c r="V67" s="34">
        <f t="shared" si="36"/>
        <v>1</v>
      </c>
      <c r="W67" s="34" t="str">
        <f t="shared" si="37"/>
        <v>BKN</v>
      </c>
      <c r="X67" s="34">
        <f t="shared" si="38"/>
        <v>1</v>
      </c>
      <c r="Y67" s="34">
        <f t="shared" si="39"/>
        <v>900</v>
      </c>
      <c r="Z67" s="34">
        <f t="shared" si="4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39</v>
      </c>
      <c r="D68" s="52"/>
      <c r="E68" s="51">
        <v>30</v>
      </c>
      <c r="F68" s="51">
        <v>2</v>
      </c>
      <c r="G68" s="51">
        <v>0</v>
      </c>
      <c r="H68" s="51">
        <v>8000</v>
      </c>
      <c r="I68" s="51">
        <v>0</v>
      </c>
      <c r="J68" s="51" t="s">
        <v>58</v>
      </c>
      <c r="K68" s="51">
        <v>900</v>
      </c>
      <c r="L68" t="s">
        <v>326</v>
      </c>
      <c r="M68" s="32">
        <f t="shared" si="28"/>
        <v>250</v>
      </c>
      <c r="N68" s="33">
        <f t="shared" si="29"/>
        <v>1</v>
      </c>
      <c r="O68" s="33">
        <f t="shared" si="30"/>
        <v>4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41"/>
        <v>8000</v>
      </c>
      <c r="T68" s="34">
        <f t="shared" si="34"/>
        <v>1</v>
      </c>
      <c r="U68" s="34">
        <f t="shared" si="35"/>
        <v>0</v>
      </c>
      <c r="V68" s="34">
        <f t="shared" si="36"/>
        <v>1</v>
      </c>
      <c r="W68" s="34" t="str">
        <f t="shared" si="37"/>
        <v>BKN</v>
      </c>
      <c r="X68" s="34">
        <f t="shared" si="38"/>
        <v>1</v>
      </c>
      <c r="Y68" s="34">
        <f t="shared" si="39"/>
        <v>900</v>
      </c>
      <c r="Z68" s="34">
        <f t="shared" si="4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39</v>
      </c>
      <c r="D69" s="52"/>
      <c r="E69" s="51">
        <v>30</v>
      </c>
      <c r="F69" s="51">
        <v>2</v>
      </c>
      <c r="G69" s="51">
        <v>0</v>
      </c>
      <c r="H69" s="51">
        <v>8000</v>
      </c>
      <c r="I69" s="51">
        <v>0</v>
      </c>
      <c r="J69" s="51" t="s">
        <v>58</v>
      </c>
      <c r="K69" s="51">
        <v>900</v>
      </c>
      <c r="L69" t="s">
        <v>327</v>
      </c>
      <c r="M69" s="32">
        <f t="shared" si="28"/>
        <v>0</v>
      </c>
      <c r="N69" s="33">
        <f t="shared" si="29"/>
        <v>1</v>
      </c>
      <c r="O69" s="33">
        <f t="shared" si="30"/>
        <v>0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41"/>
        <v>8000</v>
      </c>
      <c r="T69" s="34">
        <f t="shared" si="34"/>
        <v>1</v>
      </c>
      <c r="U69" s="34">
        <f t="shared" si="35"/>
        <v>0</v>
      </c>
      <c r="V69" s="34">
        <f t="shared" si="36"/>
        <v>1</v>
      </c>
      <c r="W69" s="34" t="str">
        <f t="shared" si="37"/>
        <v>BKN</v>
      </c>
      <c r="X69" s="34">
        <f t="shared" si="38"/>
        <v>1</v>
      </c>
      <c r="Y69" s="34">
        <f t="shared" si="39"/>
        <v>900</v>
      </c>
      <c r="Z69" s="34">
        <f t="shared" si="4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39</v>
      </c>
      <c r="D70" s="52"/>
      <c r="E70" s="51">
        <v>30</v>
      </c>
      <c r="F70" s="51">
        <v>2</v>
      </c>
      <c r="G70" s="51">
        <v>0</v>
      </c>
      <c r="H70" s="51">
        <v>8000</v>
      </c>
      <c r="I70" s="51">
        <v>0</v>
      </c>
      <c r="J70" s="51" t="s">
        <v>58</v>
      </c>
      <c r="K70" s="51">
        <v>900</v>
      </c>
      <c r="L70" t="s">
        <v>328</v>
      </c>
      <c r="M70" s="32">
        <f t="shared" si="28"/>
        <v>0</v>
      </c>
      <c r="N70" s="33">
        <f t="shared" si="29"/>
        <v>1</v>
      </c>
      <c r="O70" s="33">
        <f t="shared" si="30"/>
        <v>0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41"/>
        <v>8000</v>
      </c>
      <c r="T70" s="34">
        <f t="shared" si="34"/>
        <v>1</v>
      </c>
      <c r="U70" s="34">
        <f t="shared" si="35"/>
        <v>0</v>
      </c>
      <c r="V70" s="34">
        <f t="shared" si="36"/>
        <v>1</v>
      </c>
      <c r="W70" s="34" t="str">
        <f t="shared" si="37"/>
        <v>BKN</v>
      </c>
      <c r="X70" s="34">
        <f t="shared" si="38"/>
        <v>1</v>
      </c>
      <c r="Y70" s="34">
        <f t="shared" si="39"/>
        <v>900</v>
      </c>
      <c r="Z70" s="34">
        <f t="shared" si="4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39</v>
      </c>
      <c r="D71" s="52"/>
      <c r="E71" s="51">
        <v>30</v>
      </c>
      <c r="F71" s="51">
        <v>2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t="s">
        <v>329</v>
      </c>
      <c r="M71" s="32">
        <f t="shared" si="28"/>
        <v>0</v>
      </c>
      <c r="N71" s="33">
        <f t="shared" si="29"/>
        <v>1</v>
      </c>
      <c r="O71" s="33">
        <f t="shared" si="30"/>
        <v>0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41"/>
        <v>7000</v>
      </c>
      <c r="T71" s="34">
        <f t="shared" si="34"/>
        <v>1</v>
      </c>
      <c r="U71" s="34">
        <f t="shared" si="35"/>
        <v>0</v>
      </c>
      <c r="V71" s="34">
        <f t="shared" si="36"/>
        <v>1</v>
      </c>
      <c r="W71" s="34" t="str">
        <f t="shared" si="37"/>
        <v>BKN</v>
      </c>
      <c r="X71" s="34">
        <f t="shared" si="38"/>
        <v>1</v>
      </c>
      <c r="Y71" s="34">
        <f t="shared" si="39"/>
        <v>900</v>
      </c>
      <c r="Z71" s="34">
        <f t="shared" si="40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39</v>
      </c>
      <c r="D72" s="52"/>
      <c r="E72" s="51">
        <v>30</v>
      </c>
      <c r="F72" s="51">
        <v>2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t="s">
        <v>330</v>
      </c>
      <c r="M72" s="32">
        <f t="shared" si="28"/>
        <v>220</v>
      </c>
      <c r="N72" s="33">
        <f t="shared" si="29"/>
        <v>1</v>
      </c>
      <c r="O72" s="33">
        <f t="shared" si="30"/>
        <v>2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41"/>
        <v>7000</v>
      </c>
      <c r="T72" s="34">
        <f t="shared" si="34"/>
        <v>1</v>
      </c>
      <c r="U72" s="34">
        <f t="shared" si="35"/>
        <v>0</v>
      </c>
      <c r="V72" s="34">
        <f t="shared" si="36"/>
        <v>1</v>
      </c>
      <c r="W72" s="34" t="str">
        <f t="shared" si="37"/>
        <v>BKN</v>
      </c>
      <c r="X72" s="34">
        <f t="shared" si="38"/>
        <v>1</v>
      </c>
      <c r="Y72" s="34">
        <f t="shared" si="39"/>
        <v>900</v>
      </c>
      <c r="Z72" s="34">
        <f t="shared" si="4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39</v>
      </c>
      <c r="D73" s="52"/>
      <c r="E73" s="51">
        <v>30</v>
      </c>
      <c r="F73" s="51">
        <v>2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t="s">
        <v>331</v>
      </c>
      <c r="M73" s="32">
        <f t="shared" si="28"/>
        <v>160</v>
      </c>
      <c r="N73" s="33">
        <f t="shared" si="29"/>
        <v>1</v>
      </c>
      <c r="O73" s="33">
        <f t="shared" si="30"/>
        <v>2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41"/>
        <v>7000</v>
      </c>
      <c r="T73" s="34">
        <f t="shared" si="34"/>
        <v>1</v>
      </c>
      <c r="U73" s="34">
        <f t="shared" si="35"/>
        <v>0</v>
      </c>
      <c r="V73" s="34">
        <f t="shared" si="36"/>
        <v>1</v>
      </c>
      <c r="W73" s="34" t="str">
        <f t="shared" si="37"/>
        <v>BKN</v>
      </c>
      <c r="X73" s="34">
        <f t="shared" si="38"/>
        <v>1</v>
      </c>
      <c r="Y73" s="34">
        <f t="shared" si="39"/>
        <v>900</v>
      </c>
      <c r="Z73" s="34">
        <f t="shared" si="4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39</v>
      </c>
      <c r="D74" s="52"/>
      <c r="E74" s="51">
        <v>30</v>
      </c>
      <c r="F74" s="51">
        <v>2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t="s">
        <v>332</v>
      </c>
      <c r="M74" s="32">
        <f t="shared" si="28"/>
        <v>30</v>
      </c>
      <c r="N74" s="33">
        <f t="shared" si="29"/>
        <v>1</v>
      </c>
      <c r="O74" s="33">
        <f t="shared" si="30"/>
        <v>2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41"/>
        <v>8000</v>
      </c>
      <c r="T74" s="34">
        <f t="shared" si="34"/>
        <v>1</v>
      </c>
      <c r="U74" s="34">
        <f t="shared" si="35"/>
        <v>0</v>
      </c>
      <c r="V74" s="34">
        <f t="shared" si="36"/>
        <v>1</v>
      </c>
      <c r="W74" s="34" t="str">
        <f t="shared" si="37"/>
        <v>BKN</v>
      </c>
      <c r="X74" s="34">
        <f t="shared" si="38"/>
        <v>1</v>
      </c>
      <c r="Y74" s="34">
        <f t="shared" si="39"/>
        <v>900</v>
      </c>
      <c r="Z74" s="34">
        <f t="shared" si="4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39</v>
      </c>
      <c r="D75" s="52"/>
      <c r="E75" s="51">
        <v>30</v>
      </c>
      <c r="F75" s="51">
        <v>2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t="s">
        <v>333</v>
      </c>
      <c r="M75" s="32">
        <f t="shared" si="28"/>
        <v>10</v>
      </c>
      <c r="N75" s="33">
        <f>IF(OR(ABS(E75-M75)&lt;61,AND(ABS(E75-M75)&gt;60,O75&lt;10),E75=M75,AND(E75=999,ISNUMBER(VALUE(FIND("TS",L75)))),AND(E75=999,ISNUMBER(VALUE(FIND("CB",L75)))),AND(E75=999,O75&lt;10),AND(F75&lt;10,M75=999,O75&lt;10)),1,0)</f>
        <v>1</v>
      </c>
      <c r="O75" s="33">
        <f t="shared" si="30"/>
        <v>2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41"/>
        <v>8000</v>
      </c>
      <c r="T75" s="34">
        <f t="shared" si="34"/>
        <v>1</v>
      </c>
      <c r="U75" s="34">
        <f t="shared" si="35"/>
        <v>0</v>
      </c>
      <c r="V75" s="34">
        <f t="shared" si="36"/>
        <v>1</v>
      </c>
      <c r="W75" s="34" t="str">
        <f t="shared" si="37"/>
        <v>BKN</v>
      </c>
      <c r="X75" s="34">
        <f t="shared" si="38"/>
        <v>1</v>
      </c>
      <c r="Y75" s="34">
        <f t="shared" si="39"/>
        <v>900</v>
      </c>
      <c r="Z75" s="34">
        <f t="shared" si="4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39</v>
      </c>
      <c r="D76" s="52"/>
      <c r="E76" s="51">
        <v>30</v>
      </c>
      <c r="F76" s="51">
        <v>2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t="s">
        <v>334</v>
      </c>
      <c r="M76" s="32">
        <f t="shared" si="28"/>
        <v>0</v>
      </c>
      <c r="N76" s="33">
        <f>IF(OR(ABS(E76-M76)&lt;61,AND(ABS(E76-M76)&gt;60,O76&lt;10),E76=M76,AND(E76=999,ISNUMBER(VALUE(FIND("TS",L76)))),AND(E76=999,ISNUMBER(VALUE(FIND("CB",L76)))),AND(E76=999,O76&lt;10),AND(F76&lt;10,M76=999,O76&lt;10)),1,0)</f>
        <v>1</v>
      </c>
      <c r="O76" s="33">
        <f t="shared" si="30"/>
        <v>0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41"/>
        <v>8000</v>
      </c>
      <c r="T76" s="34">
        <f t="shared" si="34"/>
        <v>1</v>
      </c>
      <c r="U76" s="34">
        <f t="shared" si="35"/>
        <v>0</v>
      </c>
      <c r="V76" s="34">
        <f t="shared" si="36"/>
        <v>1</v>
      </c>
      <c r="W76" s="34" t="str">
        <f t="shared" si="37"/>
        <v>BKN</v>
      </c>
      <c r="X76" s="34">
        <f t="shared" si="38"/>
        <v>1</v>
      </c>
      <c r="Y76" s="34">
        <f t="shared" si="39"/>
        <v>900</v>
      </c>
      <c r="Z76" s="34">
        <f t="shared" si="4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12</v>
      </c>
      <c r="U80" s="25"/>
      <c r="V80" s="25">
        <f>SUM(V64:V76)</f>
        <v>12</v>
      </c>
      <c r="W80" s="25"/>
      <c r="X80" s="25">
        <f>SUM(X64:X76)</f>
        <v>12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12</v>
      </c>
      <c r="U81" s="25"/>
      <c r="V81" s="25">
        <f>SUMIF($C64:$C76,"GENERAL",V64:V76)</f>
        <v>12</v>
      </c>
      <c r="W81" s="25"/>
      <c r="X81" s="25">
        <f>SUMIF($C64:$C76,"GENERAL",X64:X76)</f>
        <v>12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100</v>
      </c>
      <c r="U85" s="38"/>
      <c r="V85" s="38">
        <f>(SUM(V81:V84)/COUNTA(V64:V76))*100</f>
        <v>100</v>
      </c>
      <c r="W85" s="38"/>
      <c r="X85" s="38">
        <f>(SUM(X81:X84)/COUNTA(X64:X76))*100</f>
        <v>100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342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</v>
      </c>
      <c r="B93" s="50">
        <v>0.75</v>
      </c>
      <c r="C93" s="29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t="s">
        <v>329</v>
      </c>
      <c r="M93" s="32">
        <f t="shared" ref="M93:M104" si="42">IF(ISNUMBER(VALUE(FIND("VRB",L93))),999,VALUE(MID(L93,20,3)))</f>
        <v>0</v>
      </c>
      <c r="N93" s="33">
        <f t="shared" ref="N93:N104" si="4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4">VALUE(MID(L93,23,2))</f>
        <v>0</v>
      </c>
      <c r="P93" s="33">
        <f t="shared" ref="P93:P104" si="45">IF(ABS(O93-F93)&lt;11,1,0)</f>
        <v>1</v>
      </c>
      <c r="Q93" s="34">
        <f t="shared" ref="Q93:Q104" si="46">IF(MID(L93,25,1)="G","GUST",0)</f>
        <v>0</v>
      </c>
      <c r="R93" s="33">
        <f t="shared" ref="R93:R104" si="47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7000</v>
      </c>
      <c r="T93" s="34">
        <f t="shared" ref="T93:T104" si="48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49">IF(AND(IFERROR(FIND("RA",L93),0)&gt;0, IFERROR(FIND("RA",L93),0)&lt;38),"RA",0)</f>
        <v>0</v>
      </c>
      <c r="V93" s="34">
        <f t="shared" ref="V93:V104" si="50">IF(U93=I93,1,0)</f>
        <v>1</v>
      </c>
      <c r="W93" s="34" t="str">
        <f t="shared" ref="W93:W104" si="51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104" si="52">IF(OR(AND(OR(J93="SKC",J93="FEW",J93="SCT"),OR(W93="SKC",W93="FEW",W93="SCT")),(AND(OR(J93="BKN",J93="OVC"),OR(W93="BKN",W93="OVC")))),1,0)</f>
        <v>1</v>
      </c>
      <c r="Y93" s="34">
        <f t="shared" ref="Y93:Y104" si="53">IF(ISNUMBER(VALUE(FIND("CAVOK",L93))),9999,IF(ISNUMBER(VALUE(FIND("NSC",L93))),9999,(MID(L93,(FIND(W93,L93)+4),2))*100))</f>
        <v>900</v>
      </c>
      <c r="Z93" s="34">
        <f t="shared" ref="Z93:Z104" si="54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29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t="s">
        <v>330</v>
      </c>
      <c r="M94" s="32">
        <f t="shared" si="42"/>
        <v>220</v>
      </c>
      <c r="N94" s="33">
        <f t="shared" si="43"/>
        <v>1</v>
      </c>
      <c r="O94" s="33">
        <f t="shared" si="44"/>
        <v>2</v>
      </c>
      <c r="P94" s="33">
        <f t="shared" si="45"/>
        <v>1</v>
      </c>
      <c r="Q94" s="34">
        <f t="shared" si="46"/>
        <v>0</v>
      </c>
      <c r="R94" s="33">
        <f t="shared" si="47"/>
        <v>1</v>
      </c>
      <c r="S94" s="34">
        <f t="shared" ref="S94:S104" si="55">IF(ISNUMBER(VALUE(MID(L94,(FIND("KT",L94,FIND("Z",L94))+3),4))),VALUE(MID(L94,(FIND("KT",L94,FIND("Z",L94))+3),4)),IF(ISNUMBER(VALUE(MID(L94,(FIND("0V",L94)+6),4))),VALUE(MID(L94,(FIND("0V",L94)+6),4)),9999))</f>
        <v>7000</v>
      </c>
      <c r="T94" s="34">
        <f t="shared" si="48"/>
        <v>1</v>
      </c>
      <c r="U94" s="34">
        <f t="shared" si="49"/>
        <v>0</v>
      </c>
      <c r="V94" s="34">
        <f t="shared" si="50"/>
        <v>1</v>
      </c>
      <c r="W94" s="34" t="str">
        <f t="shared" si="51"/>
        <v>BKN</v>
      </c>
      <c r="X94" s="34">
        <f t="shared" si="52"/>
        <v>1</v>
      </c>
      <c r="Y94" s="34">
        <f t="shared" si="53"/>
        <v>900</v>
      </c>
      <c r="Z94" s="34">
        <f t="shared" si="54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29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t="s">
        <v>331</v>
      </c>
      <c r="M95" s="32">
        <f t="shared" si="42"/>
        <v>160</v>
      </c>
      <c r="N95" s="33">
        <f t="shared" si="43"/>
        <v>1</v>
      </c>
      <c r="O95" s="33">
        <f t="shared" si="44"/>
        <v>2</v>
      </c>
      <c r="P95" s="33">
        <f t="shared" si="45"/>
        <v>1</v>
      </c>
      <c r="Q95" s="34">
        <f t="shared" si="46"/>
        <v>0</v>
      </c>
      <c r="R95" s="33">
        <f t="shared" si="47"/>
        <v>1</v>
      </c>
      <c r="S95" s="34">
        <f t="shared" si="55"/>
        <v>7000</v>
      </c>
      <c r="T95" s="34">
        <f t="shared" si="48"/>
        <v>1</v>
      </c>
      <c r="U95" s="34">
        <f t="shared" si="49"/>
        <v>0</v>
      </c>
      <c r="V95" s="34">
        <f t="shared" si="50"/>
        <v>1</v>
      </c>
      <c r="W95" s="34" t="str">
        <f t="shared" si="51"/>
        <v>BKN</v>
      </c>
      <c r="X95" s="34">
        <f t="shared" si="52"/>
        <v>1</v>
      </c>
      <c r="Y95" s="34">
        <f t="shared" si="53"/>
        <v>900</v>
      </c>
      <c r="Z95" s="34">
        <f t="shared" si="54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29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t="s">
        <v>332</v>
      </c>
      <c r="M96" s="32">
        <f t="shared" si="42"/>
        <v>30</v>
      </c>
      <c r="N96" s="33">
        <f t="shared" si="43"/>
        <v>1</v>
      </c>
      <c r="O96" s="33">
        <f t="shared" si="44"/>
        <v>2</v>
      </c>
      <c r="P96" s="33">
        <f t="shared" si="45"/>
        <v>1</v>
      </c>
      <c r="Q96" s="34">
        <f t="shared" si="46"/>
        <v>0</v>
      </c>
      <c r="R96" s="33">
        <f t="shared" si="47"/>
        <v>1</v>
      </c>
      <c r="S96" s="34">
        <f t="shared" si="55"/>
        <v>8000</v>
      </c>
      <c r="T96" s="34">
        <f t="shared" si="48"/>
        <v>1</v>
      </c>
      <c r="U96" s="34">
        <f t="shared" si="49"/>
        <v>0</v>
      </c>
      <c r="V96" s="34">
        <f t="shared" si="50"/>
        <v>1</v>
      </c>
      <c r="W96" s="34" t="str">
        <f t="shared" si="51"/>
        <v>BKN</v>
      </c>
      <c r="X96" s="34">
        <f t="shared" si="52"/>
        <v>1</v>
      </c>
      <c r="Y96" s="34">
        <f t="shared" si="53"/>
        <v>900</v>
      </c>
      <c r="Z96" s="34">
        <f t="shared" si="54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29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t="s">
        <v>333</v>
      </c>
      <c r="M97" s="32">
        <f t="shared" si="42"/>
        <v>10</v>
      </c>
      <c r="N97" s="33">
        <f t="shared" si="43"/>
        <v>1</v>
      </c>
      <c r="O97" s="33">
        <f t="shared" si="44"/>
        <v>2</v>
      </c>
      <c r="P97" s="33">
        <f t="shared" si="45"/>
        <v>1</v>
      </c>
      <c r="Q97" s="34">
        <f t="shared" si="46"/>
        <v>0</v>
      </c>
      <c r="R97" s="33">
        <f t="shared" si="47"/>
        <v>1</v>
      </c>
      <c r="S97" s="34">
        <f t="shared" si="55"/>
        <v>8000</v>
      </c>
      <c r="T97" s="34">
        <f t="shared" si="48"/>
        <v>1</v>
      </c>
      <c r="U97" s="34">
        <f t="shared" si="49"/>
        <v>0</v>
      </c>
      <c r="V97" s="34">
        <f t="shared" si="50"/>
        <v>1</v>
      </c>
      <c r="W97" s="34" t="str">
        <f t="shared" si="51"/>
        <v>BKN</v>
      </c>
      <c r="X97" s="34">
        <f t="shared" si="52"/>
        <v>1</v>
      </c>
      <c r="Y97" s="34">
        <f t="shared" si="53"/>
        <v>900</v>
      </c>
      <c r="Z97" s="34">
        <f t="shared" si="54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29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t="s">
        <v>334</v>
      </c>
      <c r="M98" s="32">
        <f t="shared" si="42"/>
        <v>0</v>
      </c>
      <c r="N98" s="33">
        <f t="shared" si="43"/>
        <v>1</v>
      </c>
      <c r="O98" s="33">
        <f t="shared" si="44"/>
        <v>0</v>
      </c>
      <c r="P98" s="33">
        <f t="shared" si="45"/>
        <v>1</v>
      </c>
      <c r="Q98" s="34">
        <f t="shared" si="46"/>
        <v>0</v>
      </c>
      <c r="R98" s="33">
        <f t="shared" si="47"/>
        <v>1</v>
      </c>
      <c r="S98" s="34">
        <f t="shared" si="55"/>
        <v>8000</v>
      </c>
      <c r="T98" s="34">
        <f t="shared" si="48"/>
        <v>1</v>
      </c>
      <c r="U98" s="34">
        <f t="shared" si="49"/>
        <v>0</v>
      </c>
      <c r="V98" s="34">
        <f t="shared" si="50"/>
        <v>1</v>
      </c>
      <c r="W98" s="34" t="str">
        <f t="shared" si="51"/>
        <v>BKN</v>
      </c>
      <c r="X98" s="34">
        <f t="shared" si="52"/>
        <v>1</v>
      </c>
      <c r="Y98" s="34">
        <f t="shared" si="53"/>
        <v>900</v>
      </c>
      <c r="Z98" s="34">
        <f t="shared" si="54"/>
        <v>1</v>
      </c>
      <c r="AA98" s="25"/>
      <c r="AB98" s="25"/>
      <c r="AC98" s="25"/>
      <c r="AD98" s="25"/>
      <c r="AE98" s="25"/>
    </row>
    <row r="99" spans="1:31" ht="16.5">
      <c r="A99" s="55">
        <v>2</v>
      </c>
      <c r="B99" s="54">
        <v>0</v>
      </c>
      <c r="C99" s="29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t="s">
        <v>335</v>
      </c>
      <c r="M99" s="32">
        <f t="shared" si="42"/>
        <v>320</v>
      </c>
      <c r="N99" s="33">
        <f t="shared" si="43"/>
        <v>1</v>
      </c>
      <c r="O99" s="33">
        <f t="shared" si="44"/>
        <v>2</v>
      </c>
      <c r="P99" s="33">
        <f t="shared" si="45"/>
        <v>1</v>
      </c>
      <c r="Q99" s="34">
        <f t="shared" si="46"/>
        <v>0</v>
      </c>
      <c r="R99" s="33">
        <f t="shared" si="47"/>
        <v>1</v>
      </c>
      <c r="S99" s="34">
        <f t="shared" si="55"/>
        <v>9000</v>
      </c>
      <c r="T99" s="34">
        <f t="shared" si="48"/>
        <v>1</v>
      </c>
      <c r="U99" s="34">
        <f t="shared" si="49"/>
        <v>0</v>
      </c>
      <c r="V99" s="34">
        <f t="shared" si="50"/>
        <v>1</v>
      </c>
      <c r="W99" s="34" t="str">
        <f t="shared" si="51"/>
        <v>SCT</v>
      </c>
      <c r="X99" s="34">
        <f t="shared" si="52"/>
        <v>0</v>
      </c>
      <c r="Y99" s="34">
        <f t="shared" si="53"/>
        <v>900</v>
      </c>
      <c r="Z99" s="34">
        <f t="shared" si="54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29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t="s">
        <v>336</v>
      </c>
      <c r="M100" s="32">
        <f t="shared" si="42"/>
        <v>310</v>
      </c>
      <c r="N100" s="33">
        <f t="shared" si="43"/>
        <v>1</v>
      </c>
      <c r="O100" s="33">
        <f t="shared" si="44"/>
        <v>4</v>
      </c>
      <c r="P100" s="33">
        <f t="shared" si="45"/>
        <v>1</v>
      </c>
      <c r="Q100" s="34">
        <f t="shared" si="46"/>
        <v>0</v>
      </c>
      <c r="R100" s="33">
        <f t="shared" si="47"/>
        <v>1</v>
      </c>
      <c r="S100" s="34">
        <f t="shared" si="55"/>
        <v>9999</v>
      </c>
      <c r="T100" s="34">
        <f t="shared" si="48"/>
        <v>1</v>
      </c>
      <c r="U100" s="34">
        <f t="shared" si="49"/>
        <v>0</v>
      </c>
      <c r="V100" s="34">
        <f t="shared" si="50"/>
        <v>1</v>
      </c>
      <c r="W100" s="34" t="str">
        <f t="shared" si="51"/>
        <v>SCT</v>
      </c>
      <c r="X100" s="34">
        <f t="shared" si="52"/>
        <v>0</v>
      </c>
      <c r="Y100" s="34">
        <f t="shared" si="53"/>
        <v>900</v>
      </c>
      <c r="Z100" s="34">
        <f t="shared" si="54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29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t="s">
        <v>337</v>
      </c>
      <c r="M101" s="32">
        <f t="shared" si="42"/>
        <v>330</v>
      </c>
      <c r="N101" s="33">
        <f t="shared" si="43"/>
        <v>1</v>
      </c>
      <c r="O101" s="33">
        <f t="shared" si="44"/>
        <v>4</v>
      </c>
      <c r="P101" s="33">
        <f t="shared" si="45"/>
        <v>1</v>
      </c>
      <c r="Q101" s="34">
        <f t="shared" si="46"/>
        <v>0</v>
      </c>
      <c r="R101" s="33">
        <f t="shared" si="47"/>
        <v>1</v>
      </c>
      <c r="S101" s="34">
        <f t="shared" si="55"/>
        <v>9999</v>
      </c>
      <c r="T101" s="34">
        <f t="shared" si="48"/>
        <v>1</v>
      </c>
      <c r="U101" s="34">
        <f t="shared" si="49"/>
        <v>0</v>
      </c>
      <c r="V101" s="34">
        <f t="shared" si="50"/>
        <v>1</v>
      </c>
      <c r="W101" s="34" t="str">
        <f t="shared" si="51"/>
        <v>SCT</v>
      </c>
      <c r="X101" s="34">
        <f t="shared" si="52"/>
        <v>0</v>
      </c>
      <c r="Y101" s="34">
        <f t="shared" si="53"/>
        <v>900</v>
      </c>
      <c r="Z101" s="34">
        <f t="shared" si="54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29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t="s">
        <v>338</v>
      </c>
      <c r="M102" s="32">
        <f t="shared" si="42"/>
        <v>180</v>
      </c>
      <c r="N102" s="33">
        <f t="shared" si="43"/>
        <v>1</v>
      </c>
      <c r="O102" s="33">
        <f t="shared" si="44"/>
        <v>3</v>
      </c>
      <c r="P102" s="33">
        <f t="shared" si="45"/>
        <v>1</v>
      </c>
      <c r="Q102" s="34">
        <f t="shared" si="46"/>
        <v>0</v>
      </c>
      <c r="R102" s="33">
        <f t="shared" si="47"/>
        <v>1</v>
      </c>
      <c r="S102" s="34">
        <f t="shared" si="55"/>
        <v>6000</v>
      </c>
      <c r="T102" s="34">
        <f t="shared" si="48"/>
        <v>1</v>
      </c>
      <c r="U102" s="34">
        <f t="shared" si="49"/>
        <v>0</v>
      </c>
      <c r="V102" s="34">
        <f t="shared" si="50"/>
        <v>1</v>
      </c>
      <c r="W102" s="34" t="str">
        <f t="shared" si="51"/>
        <v>BKN</v>
      </c>
      <c r="X102" s="34">
        <f t="shared" si="52"/>
        <v>1</v>
      </c>
      <c r="Y102" s="34">
        <f t="shared" si="53"/>
        <v>900</v>
      </c>
      <c r="Z102" s="34">
        <f t="shared" si="54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29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t="s">
        <v>339</v>
      </c>
      <c r="M103" s="32">
        <f t="shared" si="42"/>
        <v>280</v>
      </c>
      <c r="N103" s="33">
        <f t="shared" si="43"/>
        <v>1</v>
      </c>
      <c r="O103" s="33">
        <f t="shared" si="44"/>
        <v>3</v>
      </c>
      <c r="P103" s="33">
        <f t="shared" si="45"/>
        <v>1</v>
      </c>
      <c r="Q103" s="34">
        <f t="shared" si="46"/>
        <v>0</v>
      </c>
      <c r="R103" s="33">
        <f t="shared" si="47"/>
        <v>1</v>
      </c>
      <c r="S103" s="34">
        <f t="shared" si="55"/>
        <v>7000</v>
      </c>
      <c r="T103" s="34">
        <f t="shared" si="48"/>
        <v>1</v>
      </c>
      <c r="U103" s="34">
        <f t="shared" si="49"/>
        <v>0</v>
      </c>
      <c r="V103" s="34">
        <f t="shared" si="50"/>
        <v>1</v>
      </c>
      <c r="W103" s="34" t="str">
        <f t="shared" si="51"/>
        <v>BKN</v>
      </c>
      <c r="X103" s="34">
        <f t="shared" si="52"/>
        <v>1</v>
      </c>
      <c r="Y103" s="34">
        <f t="shared" si="53"/>
        <v>900</v>
      </c>
      <c r="Z103" s="34">
        <f t="shared" si="54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29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t="s">
        <v>340</v>
      </c>
      <c r="M104" s="32">
        <f t="shared" si="42"/>
        <v>280</v>
      </c>
      <c r="N104" s="33">
        <f t="shared" si="43"/>
        <v>1</v>
      </c>
      <c r="O104" s="33">
        <f t="shared" si="44"/>
        <v>5</v>
      </c>
      <c r="P104" s="33">
        <f t="shared" si="45"/>
        <v>1</v>
      </c>
      <c r="Q104" s="34">
        <f t="shared" si="46"/>
        <v>0</v>
      </c>
      <c r="R104" s="33">
        <f t="shared" si="47"/>
        <v>1</v>
      </c>
      <c r="S104" s="34">
        <f t="shared" si="55"/>
        <v>7000</v>
      </c>
      <c r="T104" s="34">
        <f t="shared" si="48"/>
        <v>1</v>
      </c>
      <c r="U104" s="34">
        <f t="shared" si="49"/>
        <v>0</v>
      </c>
      <c r="V104" s="34">
        <f t="shared" si="50"/>
        <v>1</v>
      </c>
      <c r="W104" s="34" t="str">
        <f t="shared" si="51"/>
        <v>BKN</v>
      </c>
      <c r="X104" s="34">
        <f t="shared" si="52"/>
        <v>1</v>
      </c>
      <c r="Y104" s="34">
        <f t="shared" si="53"/>
        <v>900</v>
      </c>
      <c r="Z104" s="34">
        <f t="shared" si="54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9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9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75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41949-FA6D-A046-92EE-4391F22BCF30}">
  <sheetPr>
    <tabColor theme="0"/>
  </sheetPr>
  <dimension ref="A1:AE115"/>
  <sheetViews>
    <sheetView topLeftCell="A85" zoomScale="85" zoomScaleNormal="85" workbookViewId="0">
      <selection activeCell="H110" sqref="H110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343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11</v>
      </c>
      <c r="B7" s="28">
        <v>0</v>
      </c>
      <c r="C7" s="29" t="s">
        <v>39</v>
      </c>
      <c r="D7" s="29"/>
      <c r="E7" s="29">
        <v>0</v>
      </c>
      <c r="F7" s="29">
        <v>0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t="s">
        <v>335</v>
      </c>
      <c r="M7" s="32">
        <f t="shared" ref="M7:M12" si="0">IF(ISNUMBER(VALUE(FIND("VRB",L7))),999,VALUE(MID(L7,20,3)))</f>
        <v>320</v>
      </c>
      <c r="N7" s="33">
        <f t="shared" ref="N7:N12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2" si="2">VALUE(MID(L7,23,2))</f>
        <v>2</v>
      </c>
      <c r="P7" s="33">
        <f t="shared" ref="P7:P12" si="3">IF(ABS(O7-F7)&lt;11,1,0)</f>
        <v>1</v>
      </c>
      <c r="Q7" s="34">
        <f t="shared" ref="Q7:Q12" si="4">IF(MID(L7,25,1)="G","GUST",0)</f>
        <v>0</v>
      </c>
      <c r="R7" s="33">
        <f t="shared" ref="R7:R12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9000</v>
      </c>
      <c r="T7" s="34">
        <f t="shared" ref="T7:T12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2" si="7">IF(AND(IFERROR(FIND("RA",L7),0)&gt;0, IFERROR(FIND("RA",L7),0)&lt;38),"RA",0)</f>
        <v>0</v>
      </c>
      <c r="V7" s="34">
        <f t="shared" ref="V7:V12" si="8">IF(U7=I7,1,0)</f>
        <v>1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SCT</v>
      </c>
      <c r="X7" s="34">
        <f t="shared" ref="X7:X12" si="10">IF(OR(AND(OR(J7="SKC",J7="FEW",J7="SCT"),OR(W7="SKC",W7="FEW",W7="SCT")),(AND(OR(J7="BKN",J7="OVC"),OR(W7="BKN",W7="OVC")))),1,0)</f>
        <v>0</v>
      </c>
      <c r="Y7" s="34">
        <f t="shared" ref="Y7:Y12" si="11">IF(ISNUMBER(VALUE(FIND("CAVOK",L7))),9999,IF(ISNUMBER(VALUE(FIND("NSC",L7))),9999,(MID(L7,(FIND(W7,L7)+4),2))*100))</f>
        <v>900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0</v>
      </c>
      <c r="F8" s="29">
        <v>0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t="s">
        <v>336</v>
      </c>
      <c r="M8" s="32">
        <f t="shared" si="0"/>
        <v>310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4" si="13">IF(ISNUMBER(VALUE(MID(L8,(FIND("KT",L8,FIND("Z",L8))+3),4))),VALUE(MID(L8,(FIND("KT",L8,FIND("Z",L8))+3),4)),IF(ISNUMBER(VALUE(MID(L8,(FIND("0V",L8)+6),4))),VALUE(MID(L8,(FIND("0V",L8)+6),4)),9999))</f>
        <v>9999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SCT</v>
      </c>
      <c r="X8" s="34">
        <f t="shared" si="10"/>
        <v>0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0</v>
      </c>
      <c r="F9" s="29">
        <v>0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t="s">
        <v>337</v>
      </c>
      <c r="M9" s="32">
        <f t="shared" si="0"/>
        <v>330</v>
      </c>
      <c r="N9" s="33">
        <f t="shared" si="1"/>
        <v>1</v>
      </c>
      <c r="O9" s="33">
        <f t="shared" si="2"/>
        <v>4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9999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SCT</v>
      </c>
      <c r="X9" s="34">
        <f t="shared" si="10"/>
        <v>0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0</v>
      </c>
      <c r="F10" s="29">
        <v>0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t="s">
        <v>338</v>
      </c>
      <c r="M10" s="32">
        <f t="shared" si="0"/>
        <v>180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6000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0</v>
      </c>
      <c r="F11" s="29">
        <v>0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t="s">
        <v>339</v>
      </c>
      <c r="M11" s="32">
        <f t="shared" si="0"/>
        <v>280</v>
      </c>
      <c r="N11" s="33">
        <f t="shared" si="1"/>
        <v>1</v>
      </c>
      <c r="O11" s="33">
        <f t="shared" si="2"/>
        <v>3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7000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40</v>
      </c>
      <c r="D12" s="29"/>
      <c r="E12" s="29">
        <v>0</v>
      </c>
      <c r="F12" s="29">
        <v>0</v>
      </c>
      <c r="G12" s="29">
        <v>0</v>
      </c>
      <c r="H12" s="29">
        <v>4000</v>
      </c>
      <c r="I12" s="29" t="s">
        <v>52</v>
      </c>
      <c r="J12" s="29" t="s">
        <v>51</v>
      </c>
      <c r="K12" s="29">
        <v>800</v>
      </c>
      <c r="L12" t="s">
        <v>340</v>
      </c>
      <c r="M12" s="32">
        <f t="shared" si="0"/>
        <v>280</v>
      </c>
      <c r="N12" s="33">
        <f t="shared" si="1"/>
        <v>1</v>
      </c>
      <c r="O12" s="33">
        <f t="shared" si="2"/>
        <v>5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7000</v>
      </c>
      <c r="T12" s="34">
        <f t="shared" si="6"/>
        <v>0</v>
      </c>
      <c r="U12" s="34">
        <f t="shared" si="7"/>
        <v>0</v>
      </c>
      <c r="V12" s="34">
        <f t="shared" si="8"/>
        <v>0</v>
      </c>
      <c r="W12" s="34" t="str">
        <f t="shared" si="9"/>
        <v>BKN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40</v>
      </c>
      <c r="D13" s="29"/>
      <c r="E13" s="29">
        <v>0</v>
      </c>
      <c r="F13" s="29">
        <v>0</v>
      </c>
      <c r="G13" s="29">
        <v>0</v>
      </c>
      <c r="H13" s="29">
        <v>4000</v>
      </c>
      <c r="I13" s="29" t="s">
        <v>52</v>
      </c>
      <c r="J13" s="29" t="s">
        <v>51</v>
      </c>
      <c r="K13" s="29">
        <v>800</v>
      </c>
      <c r="L13" t="s">
        <v>345</v>
      </c>
      <c r="M13" s="32">
        <f t="shared" ref="M13:M14" si="14">IF(ISNUMBER(VALUE(FIND("VRB",L13))),999,VALUE(MID(L13,20,3)))</f>
        <v>360</v>
      </c>
      <c r="N13" s="33">
        <f t="shared" ref="N13:N14" si="15">IF(OR(ABS(E13-M13)&lt;61,AND(ABS(E13-M13)&gt;60,O13&lt;10),E13=M13,AND(E13=999,ISNUMBER(VALUE(FIND("TS",L13)))),AND(E13=999,ISNUMBER(VALUE(FIND("CB",L13)))),AND(E13=999,O13&lt;10),AND(F13&lt;10,M13=999,O13&lt;10)),1,0)</f>
        <v>1</v>
      </c>
      <c r="O13" s="33">
        <f t="shared" ref="O13:O14" si="16">VALUE(MID(L13,23,2))</f>
        <v>2</v>
      </c>
      <c r="P13" s="33">
        <f t="shared" ref="P13:P14" si="17">IF(ABS(O13-F13)&lt;11,1,0)</f>
        <v>1</v>
      </c>
      <c r="Q13" s="34">
        <f t="shared" ref="Q13:Q14" si="18">IF(MID(L13,25,1)="G","GUST",0)</f>
        <v>0</v>
      </c>
      <c r="R13" s="33">
        <f t="shared" ref="R13:R14" si="19">IF(G13=Q13,1,0)</f>
        <v>1</v>
      </c>
      <c r="S13" s="34">
        <f t="shared" si="13"/>
        <v>7000</v>
      </c>
      <c r="T13" s="34">
        <f t="shared" ref="T13:T14" si="20">IF(OR(AND(H13&lt;801,S13&lt;801),AND(H13&gt;799,H13&lt;1501,S13&gt;799,S13&lt;1502),AND(H13&gt;1499,H13&lt;3001,S13&gt;1499,S13&lt;3001),AND(H13&gt;2999,H13&lt;5001,S13&gt;2999,S13&lt;5001),AND(H13&gt;4999,S13&gt;4999)),1,0)</f>
        <v>0</v>
      </c>
      <c r="U13" s="34">
        <f t="shared" ref="U13:U14" si="21">IF(AND(IFERROR(FIND("RA",L13),0)&gt;0, IFERROR(FIND("RA",L13),0)&lt;38),"RA",0)</f>
        <v>0</v>
      </c>
      <c r="V13" s="34">
        <f t="shared" ref="V13:V14" si="22">IF(U13=I13,1,0)</f>
        <v>0</v>
      </c>
      <c r="W13" s="34" t="str">
        <f t="shared" ref="W13:W14" si="23"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BKN</v>
      </c>
      <c r="X13" s="34">
        <f t="shared" ref="X13:X14" si="24">IF(OR(AND(OR(J13="SKC",J13="FEW",J13="SCT"),OR(W13="SKC",W13="FEW",W13="SCT")),(AND(OR(J13="BKN",J13="OVC"),OR(W13="BKN",W13="OVC")))),1,0)</f>
        <v>0</v>
      </c>
      <c r="Y13" s="34">
        <f t="shared" ref="Y13:Y14" si="25">IF(ISNUMBER(VALUE(FIND("CAVOK",L13))),9999,IF(ISNUMBER(VALUE(FIND("NSC",L13))),9999,(MID(L13,(FIND(W13,L13)+4),2))*100))</f>
        <v>900</v>
      </c>
      <c r="Z13" s="34">
        <f t="shared" ref="Z13:Z14" si="26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40</v>
      </c>
      <c r="D14" s="29"/>
      <c r="E14" s="29">
        <v>0</v>
      </c>
      <c r="F14" s="29">
        <v>0</v>
      </c>
      <c r="G14" s="29">
        <v>0</v>
      </c>
      <c r="H14" s="29">
        <v>4000</v>
      </c>
      <c r="I14" s="29" t="s">
        <v>52</v>
      </c>
      <c r="J14" s="29" t="s">
        <v>51</v>
      </c>
      <c r="K14" s="29">
        <v>800</v>
      </c>
      <c r="L14" s="29" t="s">
        <v>346</v>
      </c>
      <c r="M14" s="32">
        <f t="shared" si="14"/>
        <v>0</v>
      </c>
      <c r="N14" s="33">
        <f t="shared" si="15"/>
        <v>1</v>
      </c>
      <c r="O14" s="33">
        <f t="shared" si="16"/>
        <v>0</v>
      </c>
      <c r="P14" s="33">
        <f t="shared" si="17"/>
        <v>1</v>
      </c>
      <c r="Q14" s="34">
        <f t="shared" si="18"/>
        <v>0</v>
      </c>
      <c r="R14" s="33">
        <f t="shared" si="19"/>
        <v>1</v>
      </c>
      <c r="S14" s="34">
        <f t="shared" si="13"/>
        <v>8000</v>
      </c>
      <c r="T14" s="34">
        <f t="shared" si="20"/>
        <v>0</v>
      </c>
      <c r="U14" s="34">
        <f t="shared" si="21"/>
        <v>0</v>
      </c>
      <c r="V14" s="34">
        <f t="shared" si="22"/>
        <v>0</v>
      </c>
      <c r="W14" s="34" t="str">
        <f t="shared" si="23"/>
        <v>BKN</v>
      </c>
      <c r="X14" s="34">
        <f t="shared" si="24"/>
        <v>0</v>
      </c>
      <c r="Y14" s="34">
        <f t="shared" si="25"/>
        <v>900</v>
      </c>
      <c r="Z14" s="34">
        <f t="shared" si="26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0</v>
      </c>
      <c r="F15" s="29">
        <v>0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t="s">
        <v>350</v>
      </c>
      <c r="M15" s="32">
        <f t="shared" ref="M15:M18" si="27">IF(ISNUMBER(VALUE(FIND("VRB",L15))),999,VALUE(MID(L15,20,3)))</f>
        <v>0</v>
      </c>
      <c r="N15" s="33">
        <f t="shared" ref="N15:N18" si="28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8" si="29">VALUE(MID(L15,23,2))</f>
        <v>0</v>
      </c>
      <c r="P15" s="33">
        <f t="shared" ref="P15:P18" si="30">IF(ABS(O15-F15)&lt;11,1,0)</f>
        <v>1</v>
      </c>
      <c r="Q15" s="34">
        <f t="shared" ref="Q15:Q18" si="31">IF(MID(L15,25,1)="G","GUST",0)</f>
        <v>0</v>
      </c>
      <c r="R15" s="33">
        <f t="shared" ref="R15:R18" si="32">IF(G15=Q15,1,0)</f>
        <v>1</v>
      </c>
      <c r="S15" s="34">
        <f t="shared" ref="S15:S18" si="33">IF(ISNUMBER(VALUE(MID(L15,(FIND("KT",L15,FIND("Z",L15))+3),4))),VALUE(MID(L15,(FIND("KT",L15,FIND("Z",L15))+3),4)),IF(ISNUMBER(VALUE(MID(L15,(FIND("0V",L15)+6),4))),VALUE(MID(L15,(FIND("0V",L15)+6),4)),9999))</f>
        <v>8000</v>
      </c>
      <c r="T15" s="34">
        <f t="shared" ref="T15:T18" si="34">IF(OR(AND(H15&lt;801,S15&lt;801),AND(H15&gt;799,H15&lt;1501,S15&gt;799,S15&lt;1502),AND(H15&gt;1499,H15&lt;3001,S15&gt;1499,S15&lt;3001),AND(H15&gt;2999,H15&lt;5001,S15&gt;2999,S15&lt;5001),AND(H15&gt;4999,S15&gt;4999)),1,0)</f>
        <v>1</v>
      </c>
      <c r="U15" s="34">
        <f t="shared" ref="U15:U18" si="35">IF(AND(IFERROR(FIND("RA",L15),0)&gt;0, IFERROR(FIND("RA",L15),0)&lt;38),"RA",0)</f>
        <v>0</v>
      </c>
      <c r="V15" s="34">
        <f t="shared" ref="V15:V18" si="36">IF(U15=I15,1,0)</f>
        <v>1</v>
      </c>
      <c r="W15" s="34" t="str">
        <f t="shared" ref="W15:W18" si="37"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BKN</v>
      </c>
      <c r="X15" s="34">
        <f t="shared" ref="X15:X18" si="38">IF(OR(AND(OR(J15="SKC",J15="FEW",J15="SCT"),OR(W15="SKC",W15="FEW",W15="SCT")),(AND(OR(J15="BKN",J15="OVC"),OR(W15="BKN",W15="OVC")))),1,0)</f>
        <v>1</v>
      </c>
      <c r="Y15" s="34">
        <f t="shared" ref="Y15:Y18" si="39">IF(ISNUMBER(VALUE(FIND("CAVOK",L15))),9999,IF(ISNUMBER(VALUE(FIND("NSC",L15))),9999,(MID(L15,(FIND(W15,L15)+4),2))*100))</f>
        <v>900</v>
      </c>
      <c r="Z15" s="34">
        <f t="shared" ref="Z15:Z18" si="40">IF(AND(Y15&lt;1001,ABS(K15-Y15)&lt;101),1,IF(AND(Y15&gt;1000,ABS(Y15-K15)/K15&lt;0.30005),1,0))</f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0</v>
      </c>
      <c r="F16" s="29">
        <v>0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t="s">
        <v>349</v>
      </c>
      <c r="M16" s="32">
        <f t="shared" si="27"/>
        <v>0</v>
      </c>
      <c r="N16" s="33">
        <f t="shared" si="28"/>
        <v>1</v>
      </c>
      <c r="O16" s="33">
        <f t="shared" si="29"/>
        <v>0</v>
      </c>
      <c r="P16" s="33">
        <f t="shared" si="30"/>
        <v>1</v>
      </c>
      <c r="Q16" s="34">
        <f t="shared" si="31"/>
        <v>0</v>
      </c>
      <c r="R16" s="33">
        <f t="shared" si="32"/>
        <v>1</v>
      </c>
      <c r="S16" s="34">
        <f t="shared" si="33"/>
        <v>8000</v>
      </c>
      <c r="T16" s="34">
        <f t="shared" si="34"/>
        <v>1</v>
      </c>
      <c r="U16" s="34">
        <f t="shared" si="35"/>
        <v>0</v>
      </c>
      <c r="V16" s="34">
        <f t="shared" si="36"/>
        <v>1</v>
      </c>
      <c r="W16" s="34" t="str">
        <f t="shared" si="37"/>
        <v>BKN</v>
      </c>
      <c r="X16" s="34">
        <f t="shared" si="38"/>
        <v>1</v>
      </c>
      <c r="Y16" s="34">
        <f t="shared" si="39"/>
        <v>900</v>
      </c>
      <c r="Z16" s="34">
        <f t="shared" si="40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0</v>
      </c>
      <c r="F17" s="29">
        <v>0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t="s">
        <v>348</v>
      </c>
      <c r="M17" s="32">
        <f t="shared" si="27"/>
        <v>170</v>
      </c>
      <c r="N17" s="33">
        <f t="shared" si="28"/>
        <v>1</v>
      </c>
      <c r="O17" s="33">
        <f t="shared" si="29"/>
        <v>2</v>
      </c>
      <c r="P17" s="33">
        <f t="shared" si="30"/>
        <v>1</v>
      </c>
      <c r="Q17" s="34">
        <f t="shared" si="31"/>
        <v>0</v>
      </c>
      <c r="R17" s="33">
        <f t="shared" si="32"/>
        <v>1</v>
      </c>
      <c r="S17" s="34">
        <f t="shared" si="33"/>
        <v>5000</v>
      </c>
      <c r="T17" s="34">
        <f t="shared" si="34"/>
        <v>1</v>
      </c>
      <c r="U17" s="34" t="str">
        <f t="shared" si="35"/>
        <v>RA</v>
      </c>
      <c r="V17" s="34">
        <f t="shared" si="36"/>
        <v>0</v>
      </c>
      <c r="W17" s="34" t="str">
        <f t="shared" si="37"/>
        <v>FEW</v>
      </c>
      <c r="X17" s="34">
        <f t="shared" si="38"/>
        <v>0</v>
      </c>
      <c r="Y17" s="34">
        <f t="shared" si="39"/>
        <v>900</v>
      </c>
      <c r="Z17" s="34">
        <f t="shared" si="40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0</v>
      </c>
      <c r="F18" s="29">
        <v>0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t="s">
        <v>347</v>
      </c>
      <c r="M18" s="32">
        <f t="shared" si="27"/>
        <v>150</v>
      </c>
      <c r="N18" s="33">
        <f t="shared" si="28"/>
        <v>1</v>
      </c>
      <c r="O18" s="33">
        <f t="shared" si="29"/>
        <v>4</v>
      </c>
      <c r="P18" s="33">
        <f t="shared" si="30"/>
        <v>1</v>
      </c>
      <c r="Q18" s="34">
        <f t="shared" si="31"/>
        <v>0</v>
      </c>
      <c r="R18" s="33">
        <f t="shared" si="32"/>
        <v>1</v>
      </c>
      <c r="S18" s="34">
        <f t="shared" si="33"/>
        <v>8000</v>
      </c>
      <c r="T18" s="34">
        <f t="shared" si="34"/>
        <v>1</v>
      </c>
      <c r="U18" s="34">
        <f t="shared" si="35"/>
        <v>0</v>
      </c>
      <c r="V18" s="34">
        <f t="shared" si="36"/>
        <v>1</v>
      </c>
      <c r="W18" s="34" t="str">
        <f t="shared" si="37"/>
        <v>BKN</v>
      </c>
      <c r="X18" s="34">
        <f t="shared" si="38"/>
        <v>1</v>
      </c>
      <c r="Y18" s="34">
        <f t="shared" si="39"/>
        <v>900</v>
      </c>
      <c r="Z18" s="34">
        <f t="shared" si="40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9</v>
      </c>
      <c r="U23" s="25"/>
      <c r="V23" s="25">
        <f>SUM(V7:V18)</f>
        <v>8</v>
      </c>
      <c r="W23" s="25"/>
      <c r="X23" s="25">
        <f>SUM(X7:X18)</f>
        <v>5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9</v>
      </c>
      <c r="O24" s="25"/>
      <c r="P24" s="25">
        <f>SUMIF($C7:$C18,"GENERAL",P7:P18)</f>
        <v>9</v>
      </c>
      <c r="Q24" s="25"/>
      <c r="R24" s="25">
        <f>SUMIF($C7:$C18,"GENERAL",R7:R18)</f>
        <v>9</v>
      </c>
      <c r="S24" s="25"/>
      <c r="T24" s="25">
        <f>SUMIF($C7:$C18,"GENERAL",T7:T18)</f>
        <v>9</v>
      </c>
      <c r="U24" s="25"/>
      <c r="V24" s="25">
        <f>SUMIF($C7:$C18,"GENERAL",V7:V18)</f>
        <v>8</v>
      </c>
      <c r="W24" s="25"/>
      <c r="X24" s="25">
        <f>SUMIF($C7:$C18,"GENERAL",X7:X18)</f>
        <v>5</v>
      </c>
      <c r="Y24" s="25"/>
      <c r="Z24" s="25">
        <f>SUMIF($C7:$C18,"GENERAL",Z7:Z18)</f>
        <v>9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3</v>
      </c>
      <c r="M27" s="42">
        <f>SUMIF($C7:$C18,"TEMPO",N7:N18)</f>
        <v>3</v>
      </c>
      <c r="N27" s="42">
        <f>M27</f>
        <v>3</v>
      </c>
      <c r="O27" s="42">
        <f>SUMIF($C7:$C18,"TEMPO",P7:P18)</f>
        <v>3</v>
      </c>
      <c r="P27" s="42">
        <f>O27</f>
        <v>3</v>
      </c>
      <c r="Q27" s="42">
        <f>SUMIF($C7:$C18,"TEMPO",R7:R18)</f>
        <v>3</v>
      </c>
      <c r="R27" s="42">
        <f>Q27</f>
        <v>3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3</v>
      </c>
      <c r="Z27" s="42">
        <f>Y27</f>
        <v>3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75</v>
      </c>
      <c r="U28" s="38"/>
      <c r="V28" s="38">
        <f>(SUM(V24:V27)/COUNTA(V7:V18))*100</f>
        <v>66.666666666666657</v>
      </c>
      <c r="W28" s="38"/>
      <c r="X28" s="38">
        <f>(SUM(X24:X27)/COUNTA(X7:X18))*100</f>
        <v>41.666666666666671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344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11</v>
      </c>
      <c r="B36" s="28">
        <v>0.25</v>
      </c>
      <c r="C36" s="29" t="s">
        <v>40</v>
      </c>
      <c r="D36" s="30"/>
      <c r="E36" s="29">
        <v>280</v>
      </c>
      <c r="F36" s="29">
        <v>5</v>
      </c>
      <c r="G36" s="29">
        <v>0</v>
      </c>
      <c r="H36" s="29">
        <v>4000</v>
      </c>
      <c r="I36" s="29" t="s">
        <v>52</v>
      </c>
      <c r="J36" s="29" t="s">
        <v>51</v>
      </c>
      <c r="K36" s="29">
        <v>800</v>
      </c>
      <c r="L36" t="s">
        <v>345</v>
      </c>
      <c r="M36" s="32">
        <f t="shared" ref="M36:M41" si="41">IF(ISNUMBER(VALUE(FIND("VRB",L36))),999,VALUE(MID(L36,20,3)))</f>
        <v>360</v>
      </c>
      <c r="N36" s="33">
        <f t="shared" ref="N36:N41" si="42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43">VALUE(MID(L36,23,2))</f>
        <v>2</v>
      </c>
      <c r="P36" s="33">
        <f t="shared" ref="P36:P41" si="44">IF(ABS(O36-F36)&lt;11,1,0)</f>
        <v>1</v>
      </c>
      <c r="Q36" s="34">
        <f t="shared" ref="Q36:Q41" si="45">IF(MID(L36,25,1)="G","GUST",0)</f>
        <v>0</v>
      </c>
      <c r="R36" s="33">
        <f t="shared" ref="R36:R41" si="46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7000</v>
      </c>
      <c r="T36" s="34">
        <f t="shared" ref="T36:T41" si="47">IF(OR(AND(H36&lt;801,S36&lt;801),AND(H36&gt;799,H36&lt;1501,S36&gt;799,S36&lt;1502),AND(H36&gt;1499,H36&lt;3001,S36&gt;1499,S36&lt;3001),AND(H36&gt;2999,H36&lt;5001,S36&gt;2999,S36&lt;5001),AND(H36&gt;4999,S36&gt;4999)),1,0)</f>
        <v>0</v>
      </c>
      <c r="U36" s="34">
        <f t="shared" ref="U36:U41" si="48">IF(AND(IFERROR(FIND("RA",L36),0)&gt;0, IFERROR(FIND("RA",L36),0)&lt;38),"RA",0)</f>
        <v>0</v>
      </c>
      <c r="V36" s="34">
        <f t="shared" ref="V36:V41" si="49">IF(U36=I36,1,0)</f>
        <v>0</v>
      </c>
      <c r="W36" s="34" t="str">
        <f t="shared" ref="W36:W41" si="50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1" si="51">IF(OR(AND(OR(J36="SKC",J36="FEW",J36="SCT"),OR(W36="SKC",W36="FEW",W36="SCT")),(AND(OR(J36="BKN",J36="OVC"),OR(W36="BKN",W36="OVC")))),1,0)</f>
        <v>0</v>
      </c>
      <c r="Y36" s="34">
        <f t="shared" ref="Y36:Y41" si="52">IF(ISNUMBER(VALUE(FIND("CAVOK",L36))),9999,IF(ISNUMBER(VALUE(FIND("NSC",L36))),9999,(MID(L36,(FIND(W36,L36)+4),2))*100))</f>
        <v>900</v>
      </c>
      <c r="Z36" s="34">
        <f t="shared" ref="Z36:Z41" si="53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40</v>
      </c>
      <c r="D37" s="30"/>
      <c r="E37" s="29">
        <v>280</v>
      </c>
      <c r="F37" s="29">
        <v>5</v>
      </c>
      <c r="G37" s="29">
        <v>0</v>
      </c>
      <c r="H37" s="29">
        <v>4000</v>
      </c>
      <c r="I37" s="29" t="s">
        <v>52</v>
      </c>
      <c r="J37" s="29" t="s">
        <v>51</v>
      </c>
      <c r="K37" s="29">
        <v>800</v>
      </c>
      <c r="L37" s="29" t="s">
        <v>346</v>
      </c>
      <c r="M37" s="32">
        <f t="shared" si="41"/>
        <v>0</v>
      </c>
      <c r="N37" s="33">
        <f t="shared" si="42"/>
        <v>1</v>
      </c>
      <c r="O37" s="33">
        <f t="shared" si="43"/>
        <v>0</v>
      </c>
      <c r="P37" s="33">
        <f t="shared" si="44"/>
        <v>1</v>
      </c>
      <c r="Q37" s="34">
        <f t="shared" si="45"/>
        <v>0</v>
      </c>
      <c r="R37" s="33">
        <f t="shared" si="46"/>
        <v>1</v>
      </c>
      <c r="S37" s="34">
        <f t="shared" ref="S37:S41" si="54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47"/>
        <v>0</v>
      </c>
      <c r="U37" s="34">
        <f t="shared" si="48"/>
        <v>0</v>
      </c>
      <c r="V37" s="34">
        <f t="shared" si="49"/>
        <v>0</v>
      </c>
      <c r="W37" s="34" t="str">
        <f t="shared" si="50"/>
        <v>BKN</v>
      </c>
      <c r="X37" s="34">
        <f t="shared" si="51"/>
        <v>0</v>
      </c>
      <c r="Y37" s="34">
        <f t="shared" si="52"/>
        <v>900</v>
      </c>
      <c r="Z37" s="34">
        <f t="shared" si="53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40</v>
      </c>
      <c r="D38" s="30"/>
      <c r="E38" s="29">
        <v>280</v>
      </c>
      <c r="F38" s="29">
        <v>5</v>
      </c>
      <c r="G38" s="29">
        <v>0</v>
      </c>
      <c r="H38" s="29">
        <v>4000</v>
      </c>
      <c r="I38" s="29" t="s">
        <v>52</v>
      </c>
      <c r="J38" s="29" t="s">
        <v>51</v>
      </c>
      <c r="K38" s="29">
        <v>800</v>
      </c>
      <c r="L38" t="s">
        <v>350</v>
      </c>
      <c r="M38" s="32">
        <f t="shared" si="41"/>
        <v>0</v>
      </c>
      <c r="N38" s="33">
        <f t="shared" si="42"/>
        <v>1</v>
      </c>
      <c r="O38" s="33">
        <f t="shared" si="43"/>
        <v>0</v>
      </c>
      <c r="P38" s="33">
        <f t="shared" si="44"/>
        <v>1</v>
      </c>
      <c r="Q38" s="34">
        <f t="shared" si="45"/>
        <v>0</v>
      </c>
      <c r="R38" s="33">
        <f t="shared" si="46"/>
        <v>1</v>
      </c>
      <c r="S38" s="34">
        <f t="shared" si="54"/>
        <v>8000</v>
      </c>
      <c r="T38" s="34">
        <f t="shared" si="47"/>
        <v>0</v>
      </c>
      <c r="U38" s="34">
        <f t="shared" si="48"/>
        <v>0</v>
      </c>
      <c r="V38" s="34">
        <f t="shared" si="49"/>
        <v>0</v>
      </c>
      <c r="W38" s="34" t="str">
        <f t="shared" si="50"/>
        <v>BKN</v>
      </c>
      <c r="X38" s="34">
        <f t="shared" si="51"/>
        <v>0</v>
      </c>
      <c r="Y38" s="34">
        <f t="shared" si="52"/>
        <v>900</v>
      </c>
      <c r="Z38" s="34">
        <f t="shared" si="53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280</v>
      </c>
      <c r="F39" s="29">
        <v>5</v>
      </c>
      <c r="G39" s="29">
        <v>0</v>
      </c>
      <c r="H39" s="29">
        <v>7000</v>
      </c>
      <c r="I39" s="29">
        <v>0</v>
      </c>
      <c r="J39" s="29" t="s">
        <v>58</v>
      </c>
      <c r="K39" s="29">
        <v>900</v>
      </c>
      <c r="L39" t="s">
        <v>349</v>
      </c>
      <c r="M39" s="32">
        <f t="shared" si="41"/>
        <v>0</v>
      </c>
      <c r="N39" s="33">
        <f t="shared" si="42"/>
        <v>1</v>
      </c>
      <c r="O39" s="33">
        <f t="shared" si="43"/>
        <v>0</v>
      </c>
      <c r="P39" s="33">
        <f t="shared" si="44"/>
        <v>1</v>
      </c>
      <c r="Q39" s="34">
        <f t="shared" si="45"/>
        <v>0</v>
      </c>
      <c r="R39" s="33">
        <f t="shared" si="46"/>
        <v>1</v>
      </c>
      <c r="S39" s="34">
        <f t="shared" si="54"/>
        <v>8000</v>
      </c>
      <c r="T39" s="34">
        <f t="shared" si="47"/>
        <v>1</v>
      </c>
      <c r="U39" s="34">
        <f t="shared" si="48"/>
        <v>0</v>
      </c>
      <c r="V39" s="34">
        <f t="shared" si="49"/>
        <v>1</v>
      </c>
      <c r="W39" s="34" t="str">
        <f t="shared" si="50"/>
        <v>BKN</v>
      </c>
      <c r="X39" s="34">
        <f t="shared" si="51"/>
        <v>1</v>
      </c>
      <c r="Y39" s="34">
        <f t="shared" si="52"/>
        <v>900</v>
      </c>
      <c r="Z39" s="34">
        <f t="shared" si="53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280</v>
      </c>
      <c r="F40" s="29">
        <v>5</v>
      </c>
      <c r="G40" s="29">
        <v>0</v>
      </c>
      <c r="H40" s="29">
        <v>7000</v>
      </c>
      <c r="I40" s="29">
        <v>0</v>
      </c>
      <c r="J40" s="29" t="s">
        <v>58</v>
      </c>
      <c r="K40" s="29">
        <v>900</v>
      </c>
      <c r="L40" t="s">
        <v>348</v>
      </c>
      <c r="M40" s="32">
        <f t="shared" si="41"/>
        <v>170</v>
      </c>
      <c r="N40" s="33">
        <f t="shared" si="42"/>
        <v>1</v>
      </c>
      <c r="O40" s="33">
        <f t="shared" si="43"/>
        <v>2</v>
      </c>
      <c r="P40" s="33">
        <f t="shared" si="44"/>
        <v>1</v>
      </c>
      <c r="Q40" s="34">
        <f t="shared" si="45"/>
        <v>0</v>
      </c>
      <c r="R40" s="33">
        <f t="shared" si="46"/>
        <v>1</v>
      </c>
      <c r="S40" s="34">
        <f t="shared" si="54"/>
        <v>5000</v>
      </c>
      <c r="T40" s="34">
        <f t="shared" si="47"/>
        <v>1</v>
      </c>
      <c r="U40" s="34" t="str">
        <f t="shared" si="48"/>
        <v>RA</v>
      </c>
      <c r="V40" s="34">
        <f t="shared" si="49"/>
        <v>0</v>
      </c>
      <c r="W40" s="34" t="str">
        <f t="shared" si="50"/>
        <v>FEW</v>
      </c>
      <c r="X40" s="34">
        <f t="shared" si="51"/>
        <v>0</v>
      </c>
      <c r="Y40" s="34">
        <f t="shared" si="52"/>
        <v>900</v>
      </c>
      <c r="Z40" s="34">
        <f t="shared" si="53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280</v>
      </c>
      <c r="F41" s="29">
        <v>5</v>
      </c>
      <c r="G41" s="29">
        <v>0</v>
      </c>
      <c r="H41" s="29">
        <v>7000</v>
      </c>
      <c r="I41" s="29">
        <v>0</v>
      </c>
      <c r="J41" s="29" t="s">
        <v>58</v>
      </c>
      <c r="K41" s="29">
        <v>900</v>
      </c>
      <c r="L41" t="s">
        <v>347</v>
      </c>
      <c r="M41" s="32">
        <f t="shared" si="41"/>
        <v>150</v>
      </c>
      <c r="N41" s="33">
        <f t="shared" si="42"/>
        <v>1</v>
      </c>
      <c r="O41" s="33">
        <f t="shared" si="43"/>
        <v>4</v>
      </c>
      <c r="P41" s="33">
        <f t="shared" si="44"/>
        <v>1</v>
      </c>
      <c r="Q41" s="34">
        <f t="shared" si="45"/>
        <v>0</v>
      </c>
      <c r="R41" s="33">
        <f t="shared" si="46"/>
        <v>1</v>
      </c>
      <c r="S41" s="34">
        <f t="shared" si="54"/>
        <v>8000</v>
      </c>
      <c r="T41" s="34">
        <f t="shared" si="47"/>
        <v>1</v>
      </c>
      <c r="U41" s="34">
        <f t="shared" si="48"/>
        <v>0</v>
      </c>
      <c r="V41" s="34">
        <f t="shared" si="49"/>
        <v>1</v>
      </c>
      <c r="W41" s="34" t="str">
        <f t="shared" si="50"/>
        <v>BKN</v>
      </c>
      <c r="X41" s="34">
        <f t="shared" si="51"/>
        <v>1</v>
      </c>
      <c r="Y41" s="34">
        <f t="shared" si="52"/>
        <v>900</v>
      </c>
      <c r="Z41" s="34">
        <f t="shared" si="53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280</v>
      </c>
      <c r="F42" s="29">
        <v>5</v>
      </c>
      <c r="G42" s="29">
        <v>0</v>
      </c>
      <c r="H42" s="29">
        <v>7000</v>
      </c>
      <c r="I42" s="29">
        <v>0</v>
      </c>
      <c r="J42" s="29" t="s">
        <v>58</v>
      </c>
      <c r="K42" s="29">
        <v>900</v>
      </c>
      <c r="L42" t="s">
        <v>356</v>
      </c>
      <c r="M42" s="32">
        <f t="shared" ref="M42:M47" si="55">IF(ISNUMBER(VALUE(FIND("VRB",L42))),999,VALUE(MID(L42,20,3)))</f>
        <v>150</v>
      </c>
      <c r="N42" s="33">
        <f t="shared" ref="N42:N47" si="56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57">VALUE(MID(L42,23,2))</f>
        <v>2</v>
      </c>
      <c r="P42" s="33">
        <f t="shared" ref="P42:P47" si="58">IF(ABS(O42-F42)&lt;11,1,0)</f>
        <v>1</v>
      </c>
      <c r="Q42" s="34">
        <f t="shared" ref="Q42:Q47" si="59">IF(MID(L42,25,1)="G","GUST",0)</f>
        <v>0</v>
      </c>
      <c r="R42" s="33">
        <f t="shared" ref="R42:R47" si="60">IF(G42=Q42,1,0)</f>
        <v>1</v>
      </c>
      <c r="S42" s="34">
        <f t="shared" ref="S42:S47" si="61">IF(ISNUMBER(VALUE(MID(L42,(FIND("KT",L42,FIND("Z",L42))+3),4))),VALUE(MID(L42,(FIND("KT",L42,FIND("Z",L42))+3),4)),IF(ISNUMBER(VALUE(MID(L42,(FIND("0V",L42)+6),4))),VALUE(MID(L42,(FIND("0V",L42)+6),4)),9999))</f>
        <v>8000</v>
      </c>
      <c r="T42" s="34">
        <f t="shared" ref="T42:T47" si="62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>
        <f t="shared" ref="U42:U47" si="63">IF(AND(IFERROR(FIND("RA",L42),0)&gt;0, IFERROR(FIND("RA",L42),0)&lt;38),"RA",0)</f>
        <v>0</v>
      </c>
      <c r="V42" s="34">
        <f t="shared" ref="V42:V47" si="64">IF(U42=I42,1,0)</f>
        <v>1</v>
      </c>
      <c r="W42" s="34" t="str">
        <f t="shared" ref="W42:W47" si="65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BKN</v>
      </c>
      <c r="X42" s="34">
        <f t="shared" ref="X42:X47" si="66">IF(OR(AND(OR(J42="SKC",J42="FEW",J42="SCT"),OR(W42="SKC",W42="FEW",W42="SCT")),(AND(OR(J42="BKN",J42="OVC"),OR(W42="BKN",W42="OVC")))),1,0)</f>
        <v>1</v>
      </c>
      <c r="Y42" s="34">
        <f t="shared" ref="Y42:Y47" si="67">IF(ISNUMBER(VALUE(FIND("CAVOK",L42))),9999,IF(ISNUMBER(VALUE(FIND("NSC",L42))),9999,(MID(L42,(FIND(W42,L42)+4),2))*100))</f>
        <v>900</v>
      </c>
      <c r="Z42" s="34">
        <f t="shared" ref="Z42:Z47" si="68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280</v>
      </c>
      <c r="F43" s="29">
        <v>5</v>
      </c>
      <c r="G43" s="29">
        <v>0</v>
      </c>
      <c r="H43" s="29">
        <v>7000</v>
      </c>
      <c r="I43" s="29">
        <v>0</v>
      </c>
      <c r="J43" s="29" t="s">
        <v>58</v>
      </c>
      <c r="K43" s="29">
        <v>900</v>
      </c>
      <c r="L43" t="s">
        <v>355</v>
      </c>
      <c r="M43" s="32">
        <f t="shared" si="55"/>
        <v>140</v>
      </c>
      <c r="N43" s="33">
        <f t="shared" si="56"/>
        <v>1</v>
      </c>
      <c r="O43" s="33">
        <f t="shared" si="57"/>
        <v>2</v>
      </c>
      <c r="P43" s="33">
        <f t="shared" si="58"/>
        <v>1</v>
      </c>
      <c r="Q43" s="34">
        <f t="shared" si="59"/>
        <v>0</v>
      </c>
      <c r="R43" s="33">
        <f t="shared" si="60"/>
        <v>1</v>
      </c>
      <c r="S43" s="34">
        <f t="shared" si="61"/>
        <v>8000</v>
      </c>
      <c r="T43" s="34">
        <f t="shared" si="62"/>
        <v>1</v>
      </c>
      <c r="U43" s="34">
        <f t="shared" si="63"/>
        <v>0</v>
      </c>
      <c r="V43" s="34">
        <f t="shared" si="64"/>
        <v>1</v>
      </c>
      <c r="W43" s="34" t="str">
        <f t="shared" si="65"/>
        <v>BKN</v>
      </c>
      <c r="X43" s="34">
        <f t="shared" si="66"/>
        <v>1</v>
      </c>
      <c r="Y43" s="34">
        <f t="shared" si="67"/>
        <v>800</v>
      </c>
      <c r="Z43" s="34">
        <f t="shared" si="68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280</v>
      </c>
      <c r="F44" s="29">
        <v>5</v>
      </c>
      <c r="G44" s="29">
        <v>0</v>
      </c>
      <c r="H44" s="29">
        <v>7000</v>
      </c>
      <c r="I44" s="29">
        <v>0</v>
      </c>
      <c r="J44" s="29" t="s">
        <v>58</v>
      </c>
      <c r="K44" s="29">
        <v>900</v>
      </c>
      <c r="L44" t="s">
        <v>354</v>
      </c>
      <c r="M44" s="32">
        <f t="shared" si="55"/>
        <v>0</v>
      </c>
      <c r="N44" s="33">
        <f t="shared" si="56"/>
        <v>1</v>
      </c>
      <c r="O44" s="33">
        <f t="shared" si="57"/>
        <v>0</v>
      </c>
      <c r="P44" s="33">
        <f t="shared" si="58"/>
        <v>1</v>
      </c>
      <c r="Q44" s="34">
        <f t="shared" si="59"/>
        <v>0</v>
      </c>
      <c r="R44" s="33">
        <f t="shared" si="60"/>
        <v>1</v>
      </c>
      <c r="S44" s="34">
        <f t="shared" si="61"/>
        <v>8000</v>
      </c>
      <c r="T44" s="34">
        <f t="shared" si="62"/>
        <v>1</v>
      </c>
      <c r="U44" s="34">
        <f t="shared" si="63"/>
        <v>0</v>
      </c>
      <c r="V44" s="34">
        <f t="shared" si="64"/>
        <v>1</v>
      </c>
      <c r="W44" s="34" t="str">
        <f t="shared" si="65"/>
        <v>BKN</v>
      </c>
      <c r="X44" s="34">
        <f t="shared" si="66"/>
        <v>1</v>
      </c>
      <c r="Y44" s="34">
        <f t="shared" si="67"/>
        <v>900</v>
      </c>
      <c r="Z44" s="34">
        <f t="shared" si="68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280</v>
      </c>
      <c r="F45" s="29">
        <v>5</v>
      </c>
      <c r="G45" s="29">
        <v>0</v>
      </c>
      <c r="H45" s="29">
        <v>7000</v>
      </c>
      <c r="I45" s="29">
        <v>0</v>
      </c>
      <c r="J45" s="29" t="s">
        <v>58</v>
      </c>
      <c r="K45" s="29">
        <v>900</v>
      </c>
      <c r="L45" t="s">
        <v>353</v>
      </c>
      <c r="M45" s="32">
        <f t="shared" si="55"/>
        <v>0</v>
      </c>
      <c r="N45" s="33">
        <f t="shared" si="56"/>
        <v>1</v>
      </c>
      <c r="O45" s="33">
        <f t="shared" si="57"/>
        <v>0</v>
      </c>
      <c r="P45" s="33">
        <f t="shared" si="58"/>
        <v>1</v>
      </c>
      <c r="Q45" s="34">
        <f t="shared" si="59"/>
        <v>0</v>
      </c>
      <c r="R45" s="33">
        <f t="shared" si="60"/>
        <v>1</v>
      </c>
      <c r="S45" s="34">
        <f t="shared" si="61"/>
        <v>8000</v>
      </c>
      <c r="T45" s="34">
        <f t="shared" si="62"/>
        <v>1</v>
      </c>
      <c r="U45" s="34">
        <f t="shared" si="63"/>
        <v>0</v>
      </c>
      <c r="V45" s="34">
        <f t="shared" si="64"/>
        <v>1</v>
      </c>
      <c r="W45" s="34" t="str">
        <f t="shared" si="65"/>
        <v>BKN</v>
      </c>
      <c r="X45" s="34">
        <f t="shared" si="66"/>
        <v>1</v>
      </c>
      <c r="Y45" s="34">
        <f t="shared" si="67"/>
        <v>900</v>
      </c>
      <c r="Z45" s="34">
        <f t="shared" si="68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280</v>
      </c>
      <c r="F46" s="29">
        <v>5</v>
      </c>
      <c r="G46" s="29">
        <v>0</v>
      </c>
      <c r="H46" s="29">
        <v>7000</v>
      </c>
      <c r="I46" s="29">
        <v>0</v>
      </c>
      <c r="J46" s="29" t="s">
        <v>58</v>
      </c>
      <c r="K46" s="29">
        <v>900</v>
      </c>
      <c r="L46" t="s">
        <v>352</v>
      </c>
      <c r="M46" s="32">
        <f t="shared" si="55"/>
        <v>0</v>
      </c>
      <c r="N46" s="33">
        <f t="shared" si="56"/>
        <v>1</v>
      </c>
      <c r="O46" s="33">
        <f t="shared" si="57"/>
        <v>0</v>
      </c>
      <c r="P46" s="33">
        <f t="shared" si="58"/>
        <v>1</v>
      </c>
      <c r="Q46" s="34">
        <f t="shared" si="59"/>
        <v>0</v>
      </c>
      <c r="R46" s="33">
        <f t="shared" si="60"/>
        <v>1</v>
      </c>
      <c r="S46" s="34">
        <f t="shared" si="61"/>
        <v>8000</v>
      </c>
      <c r="T46" s="34">
        <f t="shared" si="62"/>
        <v>1</v>
      </c>
      <c r="U46" s="34">
        <f t="shared" si="63"/>
        <v>0</v>
      </c>
      <c r="V46" s="34">
        <f t="shared" si="64"/>
        <v>1</v>
      </c>
      <c r="W46" s="34" t="str">
        <f t="shared" si="65"/>
        <v>BKN</v>
      </c>
      <c r="X46" s="34">
        <f t="shared" si="66"/>
        <v>1</v>
      </c>
      <c r="Y46" s="34">
        <f t="shared" si="67"/>
        <v>900</v>
      </c>
      <c r="Z46" s="34">
        <f t="shared" si="68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280</v>
      </c>
      <c r="F47" s="29">
        <v>5</v>
      </c>
      <c r="G47" s="29">
        <v>0</v>
      </c>
      <c r="H47" s="29">
        <v>7000</v>
      </c>
      <c r="I47" s="29">
        <v>0</v>
      </c>
      <c r="J47" s="29" t="s">
        <v>58</v>
      </c>
      <c r="K47" s="29">
        <v>900</v>
      </c>
      <c r="L47" t="s">
        <v>351</v>
      </c>
      <c r="M47" s="32">
        <f t="shared" si="55"/>
        <v>0</v>
      </c>
      <c r="N47" s="33">
        <f t="shared" si="56"/>
        <v>1</v>
      </c>
      <c r="O47" s="33">
        <f t="shared" si="57"/>
        <v>0</v>
      </c>
      <c r="P47" s="33">
        <f t="shared" si="58"/>
        <v>1</v>
      </c>
      <c r="Q47" s="34">
        <f t="shared" si="59"/>
        <v>0</v>
      </c>
      <c r="R47" s="33">
        <f t="shared" si="60"/>
        <v>1</v>
      </c>
      <c r="S47" s="34">
        <f t="shared" si="61"/>
        <v>8000</v>
      </c>
      <c r="T47" s="34">
        <f t="shared" si="62"/>
        <v>1</v>
      </c>
      <c r="U47" s="34">
        <f t="shared" si="63"/>
        <v>0</v>
      </c>
      <c r="V47" s="34">
        <f t="shared" si="64"/>
        <v>1</v>
      </c>
      <c r="W47" s="34" t="str">
        <f t="shared" si="65"/>
        <v>BKN</v>
      </c>
      <c r="X47" s="34">
        <f t="shared" si="66"/>
        <v>1</v>
      </c>
      <c r="Y47" s="34">
        <f t="shared" si="67"/>
        <v>900</v>
      </c>
      <c r="Z47" s="34">
        <f t="shared" si="68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8</v>
      </c>
      <c r="W52" s="25"/>
      <c r="X52" s="25">
        <f>SUM(X36:X47)</f>
        <v>8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9</v>
      </c>
      <c r="U53" s="25"/>
      <c r="V53" s="25">
        <f>SUMIF($C36:$C47,"GENERAL",V36:V47)</f>
        <v>8</v>
      </c>
      <c r="W53" s="25"/>
      <c r="X53" s="25">
        <f>SUMIF($C36:$C47,"GENERAL",X36:X47)</f>
        <v>8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66.666666666666657</v>
      </c>
      <c r="W57" s="38"/>
      <c r="X57" s="38">
        <f>(SUM(X53:X56)/COUNTA(X36:X47))*100</f>
        <v>66.666666666666657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357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11</v>
      </c>
      <c r="B65" s="50">
        <v>0.5</v>
      </c>
      <c r="C65" s="51" t="s">
        <v>39</v>
      </c>
      <c r="D65" s="52"/>
      <c r="E65" s="51">
        <v>150</v>
      </c>
      <c r="F65" s="51">
        <v>4</v>
      </c>
      <c r="G65" s="51">
        <v>0</v>
      </c>
      <c r="H65" s="51">
        <v>8000</v>
      </c>
      <c r="I65" s="51">
        <v>0</v>
      </c>
      <c r="J65" s="51" t="s">
        <v>58</v>
      </c>
      <c r="K65" s="51">
        <v>900</v>
      </c>
      <c r="L65" t="s">
        <v>356</v>
      </c>
      <c r="M65" s="32">
        <f t="shared" ref="M65:M70" si="69">IF(ISNUMBER(VALUE(FIND("VRB",L65))),999,VALUE(MID(L65,20,3)))</f>
        <v>150</v>
      </c>
      <c r="N65" s="33">
        <f t="shared" ref="N65:N70" si="70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71">VALUE(MID(L65,23,2))</f>
        <v>2</v>
      </c>
      <c r="P65" s="33">
        <f t="shared" ref="P65:P70" si="72">IF(ABS(O65-F65)&lt;11,1,0)</f>
        <v>1</v>
      </c>
      <c r="Q65" s="34">
        <f t="shared" ref="Q65:Q70" si="73">IF(MID(L65,25,1)="G","GUST",0)</f>
        <v>0</v>
      </c>
      <c r="R65" s="33">
        <f t="shared" ref="R65:R70" si="74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75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76">IF(AND(IFERROR(FIND("RA",L65),0)&gt;0, IFERROR(FIND("RA",L65),0)&lt;38),"RA",0)</f>
        <v>0</v>
      </c>
      <c r="V65" s="34">
        <f t="shared" ref="V65:V70" si="77">IF(U65=I65,1,0)</f>
        <v>1</v>
      </c>
      <c r="W65" s="34" t="str">
        <f t="shared" ref="W65:W70" si="78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0" si="79">IF(OR(AND(OR(J65="SKC",J65="FEW",J65="SCT"),OR(W65="SKC",W65="FEW",W65="SCT")),(AND(OR(J65="BKN",J65="OVC"),OR(W65="BKN",W65="OVC")))),1,0)</f>
        <v>1</v>
      </c>
      <c r="Y65" s="34">
        <f t="shared" ref="Y65:Y70" si="80">IF(ISNUMBER(VALUE(FIND("CAVOK",L65))),9999,IF(ISNUMBER(VALUE(FIND("NSC",L65))),9999,(MID(L65,(FIND(W65,L65)+4),2))*100))</f>
        <v>900</v>
      </c>
      <c r="Z65" s="34">
        <f t="shared" ref="Z65:Z70" si="81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150</v>
      </c>
      <c r="F66" s="51">
        <v>4</v>
      </c>
      <c r="G66" s="51">
        <v>0</v>
      </c>
      <c r="H66" s="51">
        <v>8000</v>
      </c>
      <c r="I66" s="51">
        <v>0</v>
      </c>
      <c r="J66" s="51" t="s">
        <v>58</v>
      </c>
      <c r="K66" s="51">
        <v>900</v>
      </c>
      <c r="L66" t="s">
        <v>355</v>
      </c>
      <c r="M66" s="32">
        <f t="shared" si="69"/>
        <v>140</v>
      </c>
      <c r="N66" s="33">
        <f t="shared" si="70"/>
        <v>1</v>
      </c>
      <c r="O66" s="33">
        <f t="shared" si="71"/>
        <v>2</v>
      </c>
      <c r="P66" s="33">
        <f t="shared" si="72"/>
        <v>1</v>
      </c>
      <c r="Q66" s="34">
        <f t="shared" si="73"/>
        <v>0</v>
      </c>
      <c r="R66" s="33">
        <f t="shared" si="74"/>
        <v>1</v>
      </c>
      <c r="S66" s="34">
        <f t="shared" ref="S66:S70" si="82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75"/>
        <v>1</v>
      </c>
      <c r="U66" s="34">
        <f t="shared" si="76"/>
        <v>0</v>
      </c>
      <c r="V66" s="34">
        <f t="shared" si="77"/>
        <v>1</v>
      </c>
      <c r="W66" s="34" t="str">
        <f t="shared" si="78"/>
        <v>BKN</v>
      </c>
      <c r="X66" s="34">
        <f t="shared" si="79"/>
        <v>1</v>
      </c>
      <c r="Y66" s="34">
        <f t="shared" si="80"/>
        <v>800</v>
      </c>
      <c r="Z66" s="34">
        <f t="shared" si="81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150</v>
      </c>
      <c r="F67" s="51">
        <v>4</v>
      </c>
      <c r="G67" s="51">
        <v>0</v>
      </c>
      <c r="H67" s="51">
        <v>8000</v>
      </c>
      <c r="I67" s="51">
        <v>0</v>
      </c>
      <c r="J67" s="51" t="s">
        <v>58</v>
      </c>
      <c r="K67" s="51">
        <v>900</v>
      </c>
      <c r="L67" t="s">
        <v>354</v>
      </c>
      <c r="M67" s="32">
        <f t="shared" si="69"/>
        <v>0</v>
      </c>
      <c r="N67" s="33">
        <f t="shared" si="70"/>
        <v>1</v>
      </c>
      <c r="O67" s="33">
        <f t="shared" si="71"/>
        <v>0</v>
      </c>
      <c r="P67" s="33">
        <f t="shared" si="72"/>
        <v>1</v>
      </c>
      <c r="Q67" s="34">
        <f t="shared" si="73"/>
        <v>0</v>
      </c>
      <c r="R67" s="33">
        <f t="shared" si="74"/>
        <v>1</v>
      </c>
      <c r="S67" s="34">
        <f t="shared" si="82"/>
        <v>8000</v>
      </c>
      <c r="T67" s="34">
        <f t="shared" si="75"/>
        <v>1</v>
      </c>
      <c r="U67" s="34">
        <f t="shared" si="76"/>
        <v>0</v>
      </c>
      <c r="V67" s="34">
        <f t="shared" si="77"/>
        <v>1</v>
      </c>
      <c r="W67" s="34" t="str">
        <f t="shared" si="78"/>
        <v>BKN</v>
      </c>
      <c r="X67" s="34">
        <f t="shared" si="79"/>
        <v>1</v>
      </c>
      <c r="Y67" s="34">
        <f t="shared" si="80"/>
        <v>900</v>
      </c>
      <c r="Z67" s="34">
        <f t="shared" si="81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150</v>
      </c>
      <c r="F68" s="51">
        <v>4</v>
      </c>
      <c r="G68" s="51">
        <v>0</v>
      </c>
      <c r="H68" s="51">
        <v>8000</v>
      </c>
      <c r="I68" s="51">
        <v>0</v>
      </c>
      <c r="J68" s="51" t="s">
        <v>58</v>
      </c>
      <c r="K68" s="51">
        <v>900</v>
      </c>
      <c r="L68" t="s">
        <v>353</v>
      </c>
      <c r="M68" s="32">
        <f t="shared" si="69"/>
        <v>0</v>
      </c>
      <c r="N68" s="33">
        <f t="shared" si="70"/>
        <v>1</v>
      </c>
      <c r="O68" s="33">
        <f t="shared" si="71"/>
        <v>0</v>
      </c>
      <c r="P68" s="33">
        <f t="shared" si="72"/>
        <v>1</v>
      </c>
      <c r="Q68" s="34">
        <f t="shared" si="73"/>
        <v>0</v>
      </c>
      <c r="R68" s="33">
        <f t="shared" si="74"/>
        <v>1</v>
      </c>
      <c r="S68" s="34">
        <f t="shared" si="82"/>
        <v>8000</v>
      </c>
      <c r="T68" s="34">
        <f t="shared" si="75"/>
        <v>1</v>
      </c>
      <c r="U68" s="34">
        <f t="shared" si="76"/>
        <v>0</v>
      </c>
      <c r="V68" s="34">
        <f t="shared" si="77"/>
        <v>1</v>
      </c>
      <c r="W68" s="34" t="str">
        <f t="shared" si="78"/>
        <v>BKN</v>
      </c>
      <c r="X68" s="34">
        <f t="shared" si="79"/>
        <v>1</v>
      </c>
      <c r="Y68" s="34">
        <f t="shared" si="80"/>
        <v>900</v>
      </c>
      <c r="Z68" s="34">
        <f t="shared" si="81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150</v>
      </c>
      <c r="F69" s="51">
        <v>4</v>
      </c>
      <c r="G69" s="51">
        <v>0</v>
      </c>
      <c r="H69" s="51">
        <v>8000</v>
      </c>
      <c r="I69" s="51">
        <v>0</v>
      </c>
      <c r="J69" s="51" t="s">
        <v>58</v>
      </c>
      <c r="K69" s="51">
        <v>900</v>
      </c>
      <c r="L69" t="s">
        <v>352</v>
      </c>
      <c r="M69" s="32">
        <f t="shared" si="69"/>
        <v>0</v>
      </c>
      <c r="N69" s="33">
        <f t="shared" si="70"/>
        <v>1</v>
      </c>
      <c r="O69" s="33">
        <f t="shared" si="71"/>
        <v>0</v>
      </c>
      <c r="P69" s="33">
        <f t="shared" si="72"/>
        <v>1</v>
      </c>
      <c r="Q69" s="34">
        <f t="shared" si="73"/>
        <v>0</v>
      </c>
      <c r="R69" s="33">
        <f t="shared" si="74"/>
        <v>1</v>
      </c>
      <c r="S69" s="34">
        <f t="shared" si="82"/>
        <v>8000</v>
      </c>
      <c r="T69" s="34">
        <f t="shared" si="75"/>
        <v>1</v>
      </c>
      <c r="U69" s="34">
        <f t="shared" si="76"/>
        <v>0</v>
      </c>
      <c r="V69" s="34">
        <f t="shared" si="77"/>
        <v>1</v>
      </c>
      <c r="W69" s="34" t="str">
        <f t="shared" si="78"/>
        <v>BKN</v>
      </c>
      <c r="X69" s="34">
        <f t="shared" si="79"/>
        <v>1</v>
      </c>
      <c r="Y69" s="34">
        <f t="shared" si="80"/>
        <v>900</v>
      </c>
      <c r="Z69" s="34">
        <f t="shared" si="81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150</v>
      </c>
      <c r="F70" s="51">
        <v>4</v>
      </c>
      <c r="G70" s="51">
        <v>0</v>
      </c>
      <c r="H70" s="51">
        <v>8000</v>
      </c>
      <c r="I70" s="51">
        <v>0</v>
      </c>
      <c r="J70" s="51" t="s">
        <v>58</v>
      </c>
      <c r="K70" s="51">
        <v>900</v>
      </c>
      <c r="L70" t="s">
        <v>351</v>
      </c>
      <c r="M70" s="32">
        <f t="shared" si="69"/>
        <v>0</v>
      </c>
      <c r="N70" s="33">
        <f t="shared" si="70"/>
        <v>1</v>
      </c>
      <c r="O70" s="33">
        <f t="shared" si="71"/>
        <v>0</v>
      </c>
      <c r="P70" s="33">
        <f t="shared" si="72"/>
        <v>1</v>
      </c>
      <c r="Q70" s="34">
        <f t="shared" si="73"/>
        <v>0</v>
      </c>
      <c r="R70" s="33">
        <f t="shared" si="74"/>
        <v>1</v>
      </c>
      <c r="S70" s="34">
        <f t="shared" si="82"/>
        <v>8000</v>
      </c>
      <c r="T70" s="34">
        <f t="shared" si="75"/>
        <v>1</v>
      </c>
      <c r="U70" s="34">
        <f t="shared" si="76"/>
        <v>0</v>
      </c>
      <c r="V70" s="34">
        <f t="shared" si="77"/>
        <v>1</v>
      </c>
      <c r="W70" s="34" t="str">
        <f t="shared" si="78"/>
        <v>BKN</v>
      </c>
      <c r="X70" s="34">
        <f t="shared" si="79"/>
        <v>1</v>
      </c>
      <c r="Y70" s="34">
        <f t="shared" si="80"/>
        <v>900</v>
      </c>
      <c r="Z70" s="34">
        <f t="shared" si="81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150</v>
      </c>
      <c r="F71" s="51">
        <v>4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t="s">
        <v>364</v>
      </c>
      <c r="M71" s="32">
        <f t="shared" ref="M71:M76" si="83">IF(ISNUMBER(VALUE(FIND("VRB",L71))),999,VALUE(MID(L71,20,3)))</f>
        <v>0</v>
      </c>
      <c r="N71" s="33">
        <f t="shared" ref="N71:N76" si="84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85">VALUE(MID(L71,23,2))</f>
        <v>0</v>
      </c>
      <c r="P71" s="33">
        <f t="shared" ref="P71:P76" si="86">IF(ABS(O71-F71)&lt;11,1,0)</f>
        <v>1</v>
      </c>
      <c r="Q71" s="34">
        <f t="shared" ref="Q71:Q76" si="87">IF(MID(L71,25,1)="G","GUST",0)</f>
        <v>0</v>
      </c>
      <c r="R71" s="33">
        <f t="shared" ref="R71:R76" si="88">IF(G71=Q71,1,0)</f>
        <v>1</v>
      </c>
      <c r="S71" s="34">
        <f t="shared" ref="S71:S76" si="89">IF(ISNUMBER(VALUE(MID(L71,(FIND("KT",L71,FIND("Z",L71))+3),4))),VALUE(MID(L71,(FIND("KT",L71,FIND("Z",L71))+3),4)),IF(ISNUMBER(VALUE(MID(L71,(FIND("0V",L71)+6),4))),VALUE(MID(L71,(FIND("0V",L71)+6),4)),9999))</f>
        <v>2000</v>
      </c>
      <c r="T71" s="34">
        <f t="shared" ref="T71:T76" si="90">IF(OR(AND(H71&lt;801,S71&lt;801),AND(H71&gt;799,H71&lt;1501,S71&gt;799,S71&lt;1502),AND(H71&gt;1499,H71&lt;3001,S71&gt;1499,S71&lt;3001),AND(H71&gt;2999,H71&lt;5001,S71&gt;2999,S71&lt;5001),AND(H71&gt;4999,S71&gt;4999)),1,0)</f>
        <v>0</v>
      </c>
      <c r="U71" s="34" t="str">
        <f t="shared" ref="U71:U76" si="91">IF(AND(IFERROR(FIND("RA",L71),0)&gt;0, IFERROR(FIND("RA",L71),0)&lt;38),"RA",0)</f>
        <v>RA</v>
      </c>
      <c r="V71" s="34">
        <f t="shared" ref="V71:V76" si="92">IF(U71=I71,1,0)</f>
        <v>0</v>
      </c>
      <c r="W71" s="34" t="str">
        <f t="shared" ref="W71:W76" si="93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OVC</v>
      </c>
      <c r="X71" s="34">
        <f t="shared" ref="X71:X76" si="94">IF(OR(AND(OR(J71="SKC",J71="FEW",J71="SCT"),OR(W71="SKC",W71="FEW",W71="SCT")),(AND(OR(J71="BKN",J71="OVC"),OR(W71="BKN",W71="OVC")))),1,0)</f>
        <v>1</v>
      </c>
      <c r="Y71" s="34">
        <f t="shared" ref="Y71:Y76" si="95">IF(ISNUMBER(VALUE(FIND("CAVOK",L71))),9999,IF(ISNUMBER(VALUE(FIND("NSC",L71))),9999,(MID(L71,(FIND(W71,L71)+4),2))*100))</f>
        <v>900</v>
      </c>
      <c r="Z71" s="34">
        <f t="shared" ref="Z71:Z76" si="96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150</v>
      </c>
      <c r="F72" s="51">
        <v>4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t="s">
        <v>363</v>
      </c>
      <c r="M72" s="32">
        <f t="shared" si="83"/>
        <v>0</v>
      </c>
      <c r="N72" s="33">
        <f t="shared" si="84"/>
        <v>1</v>
      </c>
      <c r="O72" s="33">
        <f t="shared" si="85"/>
        <v>0</v>
      </c>
      <c r="P72" s="33">
        <f t="shared" si="86"/>
        <v>1</v>
      </c>
      <c r="Q72" s="34">
        <f t="shared" si="87"/>
        <v>0</v>
      </c>
      <c r="R72" s="33">
        <f t="shared" si="88"/>
        <v>1</v>
      </c>
      <c r="S72" s="34">
        <f t="shared" si="89"/>
        <v>6000</v>
      </c>
      <c r="T72" s="34">
        <f t="shared" si="90"/>
        <v>1</v>
      </c>
      <c r="U72" s="34">
        <f t="shared" si="91"/>
        <v>0</v>
      </c>
      <c r="V72" s="34">
        <f t="shared" si="92"/>
        <v>1</v>
      </c>
      <c r="W72" s="34" t="str">
        <f t="shared" si="93"/>
        <v>BKN</v>
      </c>
      <c r="X72" s="34">
        <f t="shared" si="94"/>
        <v>1</v>
      </c>
      <c r="Y72" s="34">
        <f t="shared" si="95"/>
        <v>900</v>
      </c>
      <c r="Z72" s="34">
        <f t="shared" si="96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150</v>
      </c>
      <c r="F73" s="51">
        <v>4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t="s">
        <v>362</v>
      </c>
      <c r="M73" s="32">
        <f t="shared" si="83"/>
        <v>0</v>
      </c>
      <c r="N73" s="33">
        <f t="shared" si="84"/>
        <v>1</v>
      </c>
      <c r="O73" s="33">
        <f t="shared" si="85"/>
        <v>0</v>
      </c>
      <c r="P73" s="33">
        <f t="shared" si="86"/>
        <v>1</v>
      </c>
      <c r="Q73" s="34">
        <f t="shared" si="87"/>
        <v>0</v>
      </c>
      <c r="R73" s="33">
        <f t="shared" si="88"/>
        <v>1</v>
      </c>
      <c r="S73" s="34">
        <f t="shared" si="89"/>
        <v>8000</v>
      </c>
      <c r="T73" s="34">
        <f t="shared" si="90"/>
        <v>1</v>
      </c>
      <c r="U73" s="34">
        <f t="shared" si="91"/>
        <v>0</v>
      </c>
      <c r="V73" s="34">
        <f t="shared" si="92"/>
        <v>1</v>
      </c>
      <c r="W73" s="34" t="str">
        <f t="shared" si="93"/>
        <v>BKN</v>
      </c>
      <c r="X73" s="34">
        <f t="shared" si="94"/>
        <v>1</v>
      </c>
      <c r="Y73" s="34">
        <f t="shared" si="95"/>
        <v>900</v>
      </c>
      <c r="Z73" s="34">
        <f t="shared" si="96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150</v>
      </c>
      <c r="F74" s="51">
        <v>4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t="s">
        <v>361</v>
      </c>
      <c r="M74" s="32">
        <f t="shared" si="83"/>
        <v>0</v>
      </c>
      <c r="N74" s="33">
        <f t="shared" si="84"/>
        <v>1</v>
      </c>
      <c r="O74" s="33">
        <f t="shared" si="85"/>
        <v>0</v>
      </c>
      <c r="P74" s="33">
        <f t="shared" si="86"/>
        <v>1</v>
      </c>
      <c r="Q74" s="34">
        <f t="shared" si="87"/>
        <v>0</v>
      </c>
      <c r="R74" s="33">
        <f t="shared" si="88"/>
        <v>1</v>
      </c>
      <c r="S74" s="34">
        <f t="shared" si="89"/>
        <v>7000</v>
      </c>
      <c r="T74" s="34">
        <f t="shared" si="90"/>
        <v>1</v>
      </c>
      <c r="U74" s="34">
        <f t="shared" si="91"/>
        <v>0</v>
      </c>
      <c r="V74" s="34">
        <f t="shared" si="92"/>
        <v>1</v>
      </c>
      <c r="W74" s="34" t="str">
        <f t="shared" si="93"/>
        <v>BKN</v>
      </c>
      <c r="X74" s="34">
        <f t="shared" si="94"/>
        <v>1</v>
      </c>
      <c r="Y74" s="34">
        <f t="shared" si="95"/>
        <v>800</v>
      </c>
      <c r="Z74" s="34">
        <f t="shared" si="96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150</v>
      </c>
      <c r="F75" s="51">
        <v>4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t="s">
        <v>360</v>
      </c>
      <c r="M75" s="32">
        <f t="shared" si="83"/>
        <v>360</v>
      </c>
      <c r="N75" s="33">
        <f t="shared" si="84"/>
        <v>1</v>
      </c>
      <c r="O75" s="33">
        <f t="shared" si="85"/>
        <v>2</v>
      </c>
      <c r="P75" s="33">
        <f t="shared" si="86"/>
        <v>1</v>
      </c>
      <c r="Q75" s="34">
        <f t="shared" si="87"/>
        <v>0</v>
      </c>
      <c r="R75" s="33">
        <f t="shared" si="88"/>
        <v>1</v>
      </c>
      <c r="S75" s="34">
        <f t="shared" si="89"/>
        <v>8000</v>
      </c>
      <c r="T75" s="34">
        <f t="shared" si="90"/>
        <v>1</v>
      </c>
      <c r="U75" s="34">
        <f t="shared" si="91"/>
        <v>0</v>
      </c>
      <c r="V75" s="34">
        <f t="shared" si="92"/>
        <v>1</v>
      </c>
      <c r="W75" s="34" t="str">
        <f t="shared" si="93"/>
        <v>BKN</v>
      </c>
      <c r="X75" s="34">
        <f t="shared" si="94"/>
        <v>1</v>
      </c>
      <c r="Y75" s="34">
        <f t="shared" si="95"/>
        <v>900</v>
      </c>
      <c r="Z75" s="34">
        <f t="shared" si="96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150</v>
      </c>
      <c r="F76" s="51">
        <v>4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t="s">
        <v>359</v>
      </c>
      <c r="M76" s="32">
        <f t="shared" si="83"/>
        <v>40</v>
      </c>
      <c r="N76" s="33">
        <f t="shared" si="84"/>
        <v>1</v>
      </c>
      <c r="O76" s="33">
        <f t="shared" si="85"/>
        <v>2</v>
      </c>
      <c r="P76" s="33">
        <f t="shared" si="86"/>
        <v>1</v>
      </c>
      <c r="Q76" s="34">
        <f t="shared" si="87"/>
        <v>0</v>
      </c>
      <c r="R76" s="33">
        <f t="shared" si="88"/>
        <v>1</v>
      </c>
      <c r="S76" s="34">
        <f t="shared" si="89"/>
        <v>8000</v>
      </c>
      <c r="T76" s="34">
        <f t="shared" si="90"/>
        <v>1</v>
      </c>
      <c r="U76" s="34">
        <f t="shared" si="91"/>
        <v>0</v>
      </c>
      <c r="V76" s="34">
        <f t="shared" si="92"/>
        <v>1</v>
      </c>
      <c r="W76" s="34" t="str">
        <f t="shared" si="93"/>
        <v>BKN</v>
      </c>
      <c r="X76" s="34">
        <f t="shared" si="94"/>
        <v>1</v>
      </c>
      <c r="Y76" s="34">
        <f t="shared" si="95"/>
        <v>800</v>
      </c>
      <c r="Z76" s="34">
        <f t="shared" si="96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11</v>
      </c>
      <c r="U80" s="25"/>
      <c r="V80" s="25">
        <f>SUM(V64:V76)</f>
        <v>11</v>
      </c>
      <c r="W80" s="25"/>
      <c r="X80" s="25">
        <f>SUM(X64:X76)</f>
        <v>12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11</v>
      </c>
      <c r="U81" s="25"/>
      <c r="V81" s="25">
        <f>SUMIF($C64:$C76,"GENERAL",V64:V76)</f>
        <v>11</v>
      </c>
      <c r="W81" s="25"/>
      <c r="X81" s="25">
        <f>SUMIF($C64:$C76,"GENERAL",X64:X76)</f>
        <v>12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91.666666666666657</v>
      </c>
      <c r="U85" s="38"/>
      <c r="V85" s="38">
        <f>(SUM(V81:V84)/COUNTA(V64:V76))*100</f>
        <v>91.666666666666657</v>
      </c>
      <c r="W85" s="38"/>
      <c r="X85" s="38">
        <f>(SUM(X81:X84)/COUNTA(X64:X76))*100</f>
        <v>100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358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11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t="s">
        <v>364</v>
      </c>
      <c r="M93" s="32">
        <f t="shared" ref="M93:M98" si="97">IF(ISNUMBER(VALUE(FIND("VRB",L93))),999,VALUE(MID(L93,20,3)))</f>
        <v>0</v>
      </c>
      <c r="N93" s="33">
        <f t="shared" ref="N93:N98" si="98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99">VALUE(MID(L93,23,2))</f>
        <v>0</v>
      </c>
      <c r="P93" s="33">
        <f t="shared" ref="P93:P98" si="100">IF(ABS(O93-F93)&lt;11,1,0)</f>
        <v>1</v>
      </c>
      <c r="Q93" s="34">
        <f t="shared" ref="Q93:Q98" si="101">IF(MID(L93,25,1)="G","GUST",0)</f>
        <v>0</v>
      </c>
      <c r="R93" s="33">
        <f t="shared" ref="R93:R98" si="102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2000</v>
      </c>
      <c r="T93" s="34">
        <f t="shared" ref="T93:T98" si="103">IF(OR(AND(H93&lt;801,S93&lt;801),AND(H93&gt;799,H93&lt;1501,S93&gt;799,S93&lt;1502),AND(H93&gt;1499,H93&lt;3001,S93&gt;1499,S93&lt;3001),AND(H93&gt;2999,H93&lt;5001,S93&gt;2999,S93&lt;5001),AND(H93&gt;4999,S93&gt;4999)),1,0)</f>
        <v>0</v>
      </c>
      <c r="U93" s="34" t="str">
        <f t="shared" ref="U93:U98" si="104">IF(AND(IFERROR(FIND("RA",L93),0)&gt;0, IFERROR(FIND("RA",L93),0)&lt;38),"RA",0)</f>
        <v>RA</v>
      </c>
      <c r="V93" s="34">
        <f t="shared" ref="V93:V98" si="105">IF(U93=I93,1,0)</f>
        <v>0</v>
      </c>
      <c r="W93" s="34" t="str">
        <f t="shared" ref="W93:W98" si="106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OVC</v>
      </c>
      <c r="X93" s="34">
        <f t="shared" ref="X93:X98" si="107">IF(OR(AND(OR(J93="SKC",J93="FEW",J93="SCT"),OR(W93="SKC",W93="FEW",W93="SCT")),(AND(OR(J93="BKN",J93="OVC"),OR(W93="BKN",W93="OVC")))),1,0)</f>
        <v>1</v>
      </c>
      <c r="Y93" s="34">
        <f t="shared" ref="Y93:Y98" si="108">IF(ISNUMBER(VALUE(FIND("CAVOK",L93))),9999,IF(ISNUMBER(VALUE(FIND("NSC",L93))),9999,(MID(L93,(FIND(W93,L93)+4),2))*100))</f>
        <v>900</v>
      </c>
      <c r="Z93" s="34">
        <f t="shared" ref="Z93:Z98" si="109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t="s">
        <v>363</v>
      </c>
      <c r="M94" s="32">
        <f t="shared" si="97"/>
        <v>0</v>
      </c>
      <c r="N94" s="33">
        <f t="shared" si="98"/>
        <v>1</v>
      </c>
      <c r="O94" s="33">
        <f t="shared" si="99"/>
        <v>0</v>
      </c>
      <c r="P94" s="33">
        <f t="shared" si="100"/>
        <v>1</v>
      </c>
      <c r="Q94" s="34">
        <f t="shared" si="101"/>
        <v>0</v>
      </c>
      <c r="R94" s="33">
        <f t="shared" si="102"/>
        <v>1</v>
      </c>
      <c r="S94" s="34">
        <f t="shared" ref="S94:S99" si="110">IF(ISNUMBER(VALUE(MID(L94,(FIND("KT",L94,FIND("Z",L94))+3),4))),VALUE(MID(L94,(FIND("KT",L94,FIND("Z",L94))+3),4)),IF(ISNUMBER(VALUE(MID(L94,(FIND("0V",L94)+6),4))),VALUE(MID(L94,(FIND("0V",L94)+6),4)),9999))</f>
        <v>6000</v>
      </c>
      <c r="T94" s="34">
        <f t="shared" si="103"/>
        <v>1</v>
      </c>
      <c r="U94" s="34">
        <f t="shared" si="104"/>
        <v>0</v>
      </c>
      <c r="V94" s="34">
        <f t="shared" si="105"/>
        <v>1</v>
      </c>
      <c r="W94" s="34" t="str">
        <f t="shared" si="106"/>
        <v>BKN</v>
      </c>
      <c r="X94" s="34">
        <f t="shared" si="107"/>
        <v>1</v>
      </c>
      <c r="Y94" s="34">
        <f t="shared" si="108"/>
        <v>900</v>
      </c>
      <c r="Z94" s="34">
        <f t="shared" si="109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t="s">
        <v>362</v>
      </c>
      <c r="M95" s="32">
        <f t="shared" si="97"/>
        <v>0</v>
      </c>
      <c r="N95" s="33">
        <f t="shared" si="98"/>
        <v>1</v>
      </c>
      <c r="O95" s="33">
        <f t="shared" si="99"/>
        <v>0</v>
      </c>
      <c r="P95" s="33">
        <f t="shared" si="100"/>
        <v>1</v>
      </c>
      <c r="Q95" s="34">
        <f t="shared" si="101"/>
        <v>0</v>
      </c>
      <c r="R95" s="33">
        <f t="shared" si="102"/>
        <v>1</v>
      </c>
      <c r="S95" s="34">
        <f t="shared" si="110"/>
        <v>8000</v>
      </c>
      <c r="T95" s="34">
        <f t="shared" si="103"/>
        <v>1</v>
      </c>
      <c r="U95" s="34">
        <f t="shared" si="104"/>
        <v>0</v>
      </c>
      <c r="V95" s="34">
        <f t="shared" si="105"/>
        <v>1</v>
      </c>
      <c r="W95" s="34" t="str">
        <f t="shared" si="106"/>
        <v>BKN</v>
      </c>
      <c r="X95" s="34">
        <f t="shared" si="107"/>
        <v>1</v>
      </c>
      <c r="Y95" s="34">
        <f t="shared" si="108"/>
        <v>900</v>
      </c>
      <c r="Z95" s="34">
        <f t="shared" si="109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t="s">
        <v>361</v>
      </c>
      <c r="M96" s="32">
        <f t="shared" si="97"/>
        <v>0</v>
      </c>
      <c r="N96" s="33">
        <f t="shared" si="98"/>
        <v>1</v>
      </c>
      <c r="O96" s="33">
        <f t="shared" si="99"/>
        <v>0</v>
      </c>
      <c r="P96" s="33">
        <f t="shared" si="100"/>
        <v>1</v>
      </c>
      <c r="Q96" s="34">
        <f t="shared" si="101"/>
        <v>0</v>
      </c>
      <c r="R96" s="33">
        <f t="shared" si="102"/>
        <v>1</v>
      </c>
      <c r="S96" s="34">
        <f t="shared" si="110"/>
        <v>7000</v>
      </c>
      <c r="T96" s="34">
        <f t="shared" si="103"/>
        <v>1</v>
      </c>
      <c r="U96" s="34">
        <f t="shared" si="104"/>
        <v>0</v>
      </c>
      <c r="V96" s="34">
        <f t="shared" si="105"/>
        <v>1</v>
      </c>
      <c r="W96" s="34" t="str">
        <f t="shared" si="106"/>
        <v>BKN</v>
      </c>
      <c r="X96" s="34">
        <f t="shared" si="107"/>
        <v>1</v>
      </c>
      <c r="Y96" s="34">
        <f t="shared" si="108"/>
        <v>800</v>
      </c>
      <c r="Z96" s="34">
        <f t="shared" si="109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t="s">
        <v>360</v>
      </c>
      <c r="M97" s="32">
        <f t="shared" si="97"/>
        <v>360</v>
      </c>
      <c r="N97" s="33">
        <f t="shared" si="98"/>
        <v>1</v>
      </c>
      <c r="O97" s="33">
        <f t="shared" si="99"/>
        <v>2</v>
      </c>
      <c r="P97" s="33">
        <f t="shared" si="100"/>
        <v>1</v>
      </c>
      <c r="Q97" s="34">
        <f t="shared" si="101"/>
        <v>0</v>
      </c>
      <c r="R97" s="33">
        <f t="shared" si="102"/>
        <v>1</v>
      </c>
      <c r="S97" s="34">
        <f t="shared" si="110"/>
        <v>8000</v>
      </c>
      <c r="T97" s="34">
        <f t="shared" si="103"/>
        <v>1</v>
      </c>
      <c r="U97" s="34">
        <f t="shared" si="104"/>
        <v>0</v>
      </c>
      <c r="V97" s="34">
        <f t="shared" si="105"/>
        <v>1</v>
      </c>
      <c r="W97" s="34" t="str">
        <f t="shared" si="106"/>
        <v>BKN</v>
      </c>
      <c r="X97" s="34">
        <f t="shared" si="107"/>
        <v>1</v>
      </c>
      <c r="Y97" s="34">
        <f t="shared" si="108"/>
        <v>900</v>
      </c>
      <c r="Z97" s="34">
        <f t="shared" si="109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t="s">
        <v>359</v>
      </c>
      <c r="M98" s="32">
        <f t="shared" si="97"/>
        <v>40</v>
      </c>
      <c r="N98" s="33">
        <f t="shared" si="98"/>
        <v>1</v>
      </c>
      <c r="O98" s="33">
        <f t="shared" si="99"/>
        <v>2</v>
      </c>
      <c r="P98" s="33">
        <f t="shared" si="100"/>
        <v>1</v>
      </c>
      <c r="Q98" s="34">
        <f t="shared" si="101"/>
        <v>0</v>
      </c>
      <c r="R98" s="33">
        <f t="shared" si="102"/>
        <v>1</v>
      </c>
      <c r="S98" s="34">
        <f t="shared" si="110"/>
        <v>8000</v>
      </c>
      <c r="T98" s="34">
        <f t="shared" si="103"/>
        <v>1</v>
      </c>
      <c r="U98" s="34">
        <f t="shared" si="104"/>
        <v>0</v>
      </c>
      <c r="V98" s="34">
        <f t="shared" si="105"/>
        <v>1</v>
      </c>
      <c r="W98" s="34" t="str">
        <f t="shared" si="106"/>
        <v>BKN</v>
      </c>
      <c r="X98" s="34">
        <f t="shared" si="107"/>
        <v>1</v>
      </c>
      <c r="Y98" s="34">
        <f t="shared" si="108"/>
        <v>800</v>
      </c>
      <c r="Z98" s="34">
        <f t="shared" si="109"/>
        <v>1</v>
      </c>
      <c r="AA98" s="25"/>
      <c r="AB98" s="25"/>
      <c r="AC98" s="25"/>
      <c r="AD98" s="25"/>
      <c r="AE98" s="25"/>
    </row>
    <row r="99" spans="1:31" ht="16.5">
      <c r="A99" s="55">
        <v>12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t="s">
        <v>370</v>
      </c>
      <c r="M99" s="32">
        <f t="shared" ref="M99" si="111">IF(ISNUMBER(VALUE(FIND("VRB",L99))),999,VALUE(MID(L99,20,3)))</f>
        <v>30</v>
      </c>
      <c r="N99" s="33">
        <f t="shared" ref="N99" si="112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" si="113">VALUE(MID(L99,23,2))</f>
        <v>3</v>
      </c>
      <c r="P99" s="33">
        <f t="shared" ref="P99" si="114">IF(ABS(O99-F99)&lt;11,1,0)</f>
        <v>1</v>
      </c>
      <c r="Q99" s="34">
        <f t="shared" ref="Q99" si="115">IF(MID(L99,25,1)="G","GUST",0)</f>
        <v>0</v>
      </c>
      <c r="R99" s="33">
        <f t="shared" ref="R99" si="116">IF(G99=Q99,1,0)</f>
        <v>1</v>
      </c>
      <c r="S99" s="34">
        <f t="shared" si="110"/>
        <v>8000</v>
      </c>
      <c r="T99" s="34">
        <f t="shared" ref="T99" si="117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" si="118">IF(AND(IFERROR(FIND("RA",L99),0)&gt;0, IFERROR(FIND("RA",L99),0)&lt;38),"RA",0)</f>
        <v>0</v>
      </c>
      <c r="V99" s="34">
        <f t="shared" ref="V99" si="119">IF(U99=I99,1,0)</f>
        <v>1</v>
      </c>
      <c r="W99" s="34" t="str">
        <f t="shared" ref="W99" si="120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" si="121">IF(OR(AND(OR(J99="SKC",J99="FEW",J99="SCT"),OR(W99="SKC",W99="FEW",W99="SCT")),(AND(OR(J99="BKN",J99="OVC"),OR(W99="BKN",W99="OVC")))),1,0)</f>
        <v>1</v>
      </c>
      <c r="Y99" s="34">
        <f t="shared" ref="Y99" si="122">IF(ISNUMBER(VALUE(FIND("CAVOK",L99))),9999,IF(ISNUMBER(VALUE(FIND("NSC",L99))),9999,(MID(L99,(FIND(W99,L99)+4),2))*100))</f>
        <v>800</v>
      </c>
      <c r="Z99" s="34">
        <f t="shared" ref="Z99" si="123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t="s">
        <v>369</v>
      </c>
      <c r="M100" s="32">
        <f t="shared" ref="M100:M104" si="124">IF(ISNUMBER(VALUE(FIND("VRB",L100))),999,VALUE(MID(L100,20,3)))</f>
        <v>20</v>
      </c>
      <c r="N100" s="33">
        <f t="shared" ref="N100:N104" si="125">IF(OR(ABS(E100-M100)&lt;61,AND(ABS(E100-M100)&gt;60,O100&lt;10),E100=M100,AND(E100=999,ISNUMBER(VALUE(FIND("TS",L100)))),AND(E100=999,ISNUMBER(VALUE(FIND("CB",L100)))),AND(E100=999,O100&lt;10),AND(F100&lt;10,M100=999,O100&lt;10)),1,0)</f>
        <v>1</v>
      </c>
      <c r="O100" s="33">
        <f t="shared" ref="O100:O104" si="126">VALUE(MID(L100,23,2))</f>
        <v>3</v>
      </c>
      <c r="P100" s="33">
        <f t="shared" ref="P100:P104" si="127">IF(ABS(O100-F100)&lt;11,1,0)</f>
        <v>1</v>
      </c>
      <c r="Q100" s="34">
        <f t="shared" ref="Q100:Q104" si="128">IF(MID(L100,25,1)="G","GUST",0)</f>
        <v>0</v>
      </c>
      <c r="R100" s="33">
        <f t="shared" ref="R100:R104" si="129">IF(G100=Q100,1,0)</f>
        <v>1</v>
      </c>
      <c r="S100" s="34">
        <f t="shared" ref="S100:S104" si="130">IF(ISNUMBER(VALUE(MID(L100,(FIND("KT",L100,FIND("Z",L100))+3),4))),VALUE(MID(L100,(FIND("KT",L100,FIND("Z",L100))+3),4)),IF(ISNUMBER(VALUE(MID(L100,(FIND("0V",L100)+6),4))),VALUE(MID(L100,(FIND("0V",L100)+6),4)),9999))</f>
        <v>8000</v>
      </c>
      <c r="T100" s="34">
        <f t="shared" ref="T100:T104" si="131">IF(OR(AND(H100&lt;801,S100&lt;801),AND(H100&gt;799,H100&lt;1501,S100&gt;799,S100&lt;1502),AND(H100&gt;1499,H100&lt;3001,S100&gt;1499,S100&lt;3001),AND(H100&gt;2999,H100&lt;5001,S100&gt;2999,S100&lt;5001),AND(H100&gt;4999,S100&gt;4999)),1,0)</f>
        <v>1</v>
      </c>
      <c r="U100" s="34">
        <f t="shared" ref="U100:U104" si="132">IF(AND(IFERROR(FIND("RA",L100),0)&gt;0, IFERROR(FIND("RA",L100),0)&lt;38),"RA",0)</f>
        <v>0</v>
      </c>
      <c r="V100" s="34">
        <f t="shared" ref="V100:V104" si="133">IF(U100=I100,1,0)</f>
        <v>1</v>
      </c>
      <c r="W100" s="34" t="str">
        <f t="shared" ref="W100:W104" si="134">IF(ISNUMBER(VALUE(FIND("FEW",L100))),"FEW",IF(ISNUMBER(VALUE(FIND("SCT",L100))),"SCT",IF(ISNUMBER(VALUE(FIND("BKN",L100))),"BKN",IF(ISNUMBER(VALUE(FIND("OVC",L100))),"OVC",IF(ISNUMBER(VALUE(FIND("SKC",L100))),"SKC",IF(ISNUMBER(VALUE(FIND("CAVOK",L100))),"SKC",IF(ISNUMBER(VALUE(FIND("NSC",L100))),"SKC","EROR")))))))</f>
        <v>BKN</v>
      </c>
      <c r="X100" s="34">
        <f t="shared" ref="X100:X104" si="135">IF(OR(AND(OR(J100="SKC",J100="FEW",J100="SCT"),OR(W100="SKC",W100="FEW",W100="SCT")),(AND(OR(J100="BKN",J100="OVC"),OR(W100="BKN",W100="OVC")))),1,0)</f>
        <v>1</v>
      </c>
      <c r="Y100" s="34">
        <f t="shared" ref="Y100:Y104" si="136">IF(ISNUMBER(VALUE(FIND("CAVOK",L100))),9999,IF(ISNUMBER(VALUE(FIND("NSC",L100))),9999,(MID(L100,(FIND(W100,L100)+4),2))*100))</f>
        <v>800</v>
      </c>
      <c r="Z100" s="34">
        <f t="shared" ref="Z100:Z104" si="137">IF(AND(Y100&lt;1001,ABS(K100-Y100)&lt;101),1,IF(AND(Y100&gt;1000,ABS(Y100-K100)/K100&lt;0.30005),1,0))</f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t="s">
        <v>368</v>
      </c>
      <c r="M101" s="32">
        <f t="shared" si="124"/>
        <v>20</v>
      </c>
      <c r="N101" s="33">
        <f t="shared" si="125"/>
        <v>1</v>
      </c>
      <c r="O101" s="33">
        <f t="shared" si="126"/>
        <v>4</v>
      </c>
      <c r="P101" s="33">
        <f t="shared" si="127"/>
        <v>1</v>
      </c>
      <c r="Q101" s="34">
        <f t="shared" si="128"/>
        <v>0</v>
      </c>
      <c r="R101" s="33">
        <f t="shared" si="129"/>
        <v>1</v>
      </c>
      <c r="S101" s="34">
        <f t="shared" si="130"/>
        <v>8000</v>
      </c>
      <c r="T101" s="34">
        <f t="shared" si="131"/>
        <v>1</v>
      </c>
      <c r="U101" s="34">
        <f t="shared" si="132"/>
        <v>0</v>
      </c>
      <c r="V101" s="34">
        <f t="shared" si="133"/>
        <v>1</v>
      </c>
      <c r="W101" s="34" t="str">
        <f t="shared" si="134"/>
        <v>SCT</v>
      </c>
      <c r="X101" s="34">
        <f t="shared" si="135"/>
        <v>0</v>
      </c>
      <c r="Y101" s="34">
        <f t="shared" si="136"/>
        <v>900</v>
      </c>
      <c r="Z101" s="34">
        <f t="shared" si="137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t="s">
        <v>367</v>
      </c>
      <c r="M102" s="32">
        <f t="shared" si="124"/>
        <v>10</v>
      </c>
      <c r="N102" s="33">
        <f t="shared" si="125"/>
        <v>1</v>
      </c>
      <c r="O102" s="33">
        <f t="shared" si="126"/>
        <v>2</v>
      </c>
      <c r="P102" s="33">
        <f t="shared" si="127"/>
        <v>1</v>
      </c>
      <c r="Q102" s="34">
        <f t="shared" si="128"/>
        <v>0</v>
      </c>
      <c r="R102" s="33">
        <f t="shared" si="129"/>
        <v>1</v>
      </c>
      <c r="S102" s="34">
        <f t="shared" si="130"/>
        <v>8000</v>
      </c>
      <c r="T102" s="34">
        <f t="shared" si="131"/>
        <v>1</v>
      </c>
      <c r="U102" s="34">
        <f t="shared" si="132"/>
        <v>0</v>
      </c>
      <c r="V102" s="34">
        <f t="shared" si="133"/>
        <v>1</v>
      </c>
      <c r="W102" s="34" t="str">
        <f t="shared" si="134"/>
        <v>BKN</v>
      </c>
      <c r="X102" s="34">
        <f t="shared" si="135"/>
        <v>1</v>
      </c>
      <c r="Y102" s="34">
        <f t="shared" si="136"/>
        <v>800</v>
      </c>
      <c r="Z102" s="34">
        <f t="shared" si="137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t="s">
        <v>366</v>
      </c>
      <c r="M103" s="32">
        <f t="shared" si="124"/>
        <v>180</v>
      </c>
      <c r="N103" s="33">
        <f t="shared" si="125"/>
        <v>1</v>
      </c>
      <c r="O103" s="33">
        <f t="shared" si="126"/>
        <v>4</v>
      </c>
      <c r="P103" s="33">
        <f t="shared" si="127"/>
        <v>1</v>
      </c>
      <c r="Q103" s="34">
        <f t="shared" si="128"/>
        <v>0</v>
      </c>
      <c r="R103" s="33">
        <f t="shared" si="129"/>
        <v>1</v>
      </c>
      <c r="S103" s="34">
        <f t="shared" si="130"/>
        <v>8000</v>
      </c>
      <c r="T103" s="34">
        <f t="shared" si="131"/>
        <v>1</v>
      </c>
      <c r="U103" s="34">
        <f t="shared" si="132"/>
        <v>0</v>
      </c>
      <c r="V103" s="34">
        <f t="shared" si="133"/>
        <v>1</v>
      </c>
      <c r="W103" s="34" t="str">
        <f t="shared" si="134"/>
        <v>BKN</v>
      </c>
      <c r="X103" s="34">
        <f t="shared" si="135"/>
        <v>1</v>
      </c>
      <c r="Y103" s="34">
        <f t="shared" si="136"/>
        <v>800</v>
      </c>
      <c r="Z103" s="34">
        <f t="shared" si="137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t="s">
        <v>365</v>
      </c>
      <c r="M104" s="32">
        <f t="shared" si="124"/>
        <v>170</v>
      </c>
      <c r="N104" s="33">
        <f t="shared" si="125"/>
        <v>1</v>
      </c>
      <c r="O104" s="33">
        <f t="shared" si="126"/>
        <v>4</v>
      </c>
      <c r="P104" s="33">
        <f t="shared" si="127"/>
        <v>1</v>
      </c>
      <c r="Q104" s="34">
        <f t="shared" si="128"/>
        <v>0</v>
      </c>
      <c r="R104" s="33">
        <f t="shared" si="129"/>
        <v>1</v>
      </c>
      <c r="S104" s="34">
        <f t="shared" si="130"/>
        <v>7000</v>
      </c>
      <c r="T104" s="34">
        <f t="shared" si="131"/>
        <v>1</v>
      </c>
      <c r="U104" s="34">
        <f t="shared" si="132"/>
        <v>0</v>
      </c>
      <c r="V104" s="34">
        <f t="shared" si="133"/>
        <v>1</v>
      </c>
      <c r="W104" s="34" t="str">
        <f t="shared" si="134"/>
        <v>FEW</v>
      </c>
      <c r="X104" s="34">
        <f t="shared" si="135"/>
        <v>0</v>
      </c>
      <c r="Y104" s="34">
        <f t="shared" si="136"/>
        <v>800</v>
      </c>
      <c r="Z104" s="34">
        <f t="shared" si="137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11</v>
      </c>
      <c r="U109" s="25"/>
      <c r="V109" s="25">
        <f>SUM(V93:V104)</f>
        <v>11</v>
      </c>
      <c r="W109" s="25"/>
      <c r="X109" s="25">
        <f>SUM(X93:X104)</f>
        <v>10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11</v>
      </c>
      <c r="U110" s="25"/>
      <c r="V110" s="25">
        <f>SUMIF($C93:$C104,"GENERAL",V93:V104)</f>
        <v>11</v>
      </c>
      <c r="W110" s="25"/>
      <c r="X110" s="25">
        <f>SUMIF($C93:$C104,"GENERAL",X93:X104)</f>
        <v>10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91.666666666666657</v>
      </c>
      <c r="U114" s="38"/>
      <c r="V114" s="38">
        <f>(SUM(V110:V113)/COUNTA(V93:V104))*100</f>
        <v>91.666666666666657</v>
      </c>
      <c r="W114" s="38"/>
      <c r="X114" s="38">
        <f>(SUM(X110:X113)/COUNTA(X93:X104))*100</f>
        <v>83.333333333333343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32C04-BE3F-D94C-BE70-73EA54EB32DE}">
  <sheetPr>
    <tabColor theme="0"/>
  </sheetPr>
  <dimension ref="A1:AE115"/>
  <sheetViews>
    <sheetView topLeftCell="D91" zoomScale="85" zoomScaleNormal="85" workbookViewId="0">
      <selection activeCell="L111" sqref="L111"/>
    </sheetView>
  </sheetViews>
  <sheetFormatPr defaultColWidth="11.5" defaultRowHeight="15.75"/>
  <cols>
    <col min="12" max="12" width="56.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371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12</v>
      </c>
      <c r="B7" s="28">
        <v>0</v>
      </c>
      <c r="C7" s="29" t="s">
        <v>39</v>
      </c>
      <c r="D7" s="29"/>
      <c r="E7" s="29">
        <v>320</v>
      </c>
      <c r="F7" s="29">
        <v>3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1" t="s">
        <v>370</v>
      </c>
      <c r="M7" s="32">
        <f t="shared" ref="M7:M12" si="0">IF(ISNUMBER(VALUE(FIND("VRB",L7))),999,VALUE(MID(L7,20,3)))</f>
        <v>30</v>
      </c>
      <c r="N7" s="33">
        <f t="shared" ref="N7:N12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2" si="2">VALUE(MID(L7,23,2))</f>
        <v>3</v>
      </c>
      <c r="P7" s="33">
        <f t="shared" ref="P7:P12" si="3">IF(ABS(O7-F7)&lt;11,1,0)</f>
        <v>1</v>
      </c>
      <c r="Q7" s="34">
        <f t="shared" ref="Q7:Q12" si="4">IF(MID(L7,25,1)="G","GUST",0)</f>
        <v>0</v>
      </c>
      <c r="R7" s="33">
        <f t="shared" ref="R7:R12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2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2" si="7">IF(AND(IFERROR(FIND("RA",L7),0)&gt;0, IFERROR(FIND("RA",L7),0)&lt;38),"RA",0)</f>
        <v>0</v>
      </c>
      <c r="V7" s="34">
        <f t="shared" ref="V7:V12" si="8">IF(U7=I7,1,0)</f>
        <v>1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2" si="10">IF(OR(AND(OR(J7="SKC",J7="FEW",J7="SCT"),OR(W7="SKC",W7="FEW",W7="SCT")),(AND(OR(J7="BKN",J7="OVC"),OR(W7="BKN",W7="OVC")))),1,0)</f>
        <v>1</v>
      </c>
      <c r="Y7" s="34">
        <f t="shared" ref="Y7:Y12" si="11">IF(ISNUMBER(VALUE(FIND("CAVOK",L7))),9999,IF(ISNUMBER(VALUE(FIND("NSC",L7))),9999,(MID(L7,(FIND(W7,L7)+4),2))*100))</f>
        <v>800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320</v>
      </c>
      <c r="F8" s="29">
        <v>3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1" t="s">
        <v>369</v>
      </c>
      <c r="M8" s="32">
        <f t="shared" si="0"/>
        <v>20</v>
      </c>
      <c r="N8" s="33">
        <f t="shared" si="1"/>
        <v>1</v>
      </c>
      <c r="O8" s="33">
        <f t="shared" si="2"/>
        <v>3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320</v>
      </c>
      <c r="F9" s="29">
        <v>3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1" t="s">
        <v>368</v>
      </c>
      <c r="M9" s="32">
        <f t="shared" si="0"/>
        <v>20</v>
      </c>
      <c r="N9" s="33">
        <f t="shared" si="1"/>
        <v>1</v>
      </c>
      <c r="O9" s="33">
        <f t="shared" si="2"/>
        <v>4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SCT</v>
      </c>
      <c r="X9" s="34">
        <f t="shared" si="10"/>
        <v>0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320</v>
      </c>
      <c r="F10" s="29">
        <v>3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1" t="s">
        <v>367</v>
      </c>
      <c r="M10" s="32">
        <f t="shared" si="0"/>
        <v>10</v>
      </c>
      <c r="N10" s="33">
        <f t="shared" si="1"/>
        <v>1</v>
      </c>
      <c r="O10" s="33">
        <f t="shared" si="2"/>
        <v>2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800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320</v>
      </c>
      <c r="F11" s="29">
        <v>3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1" t="s">
        <v>366</v>
      </c>
      <c r="M11" s="32">
        <f t="shared" si="0"/>
        <v>180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800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320</v>
      </c>
      <c r="F12" s="29">
        <v>3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1" t="s">
        <v>365</v>
      </c>
      <c r="M12" s="32">
        <f t="shared" si="0"/>
        <v>170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7000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FEW</v>
      </c>
      <c r="X12" s="34">
        <f t="shared" si="10"/>
        <v>0</v>
      </c>
      <c r="Y12" s="34">
        <f t="shared" si="11"/>
        <v>800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40</v>
      </c>
      <c r="D13" s="29"/>
      <c r="E13" s="29">
        <v>320</v>
      </c>
      <c r="F13" s="29">
        <v>3</v>
      </c>
      <c r="G13" s="29">
        <v>0</v>
      </c>
      <c r="H13" s="29">
        <v>5000</v>
      </c>
      <c r="I13" s="29" t="s">
        <v>52</v>
      </c>
      <c r="J13" s="29" t="s">
        <v>58</v>
      </c>
      <c r="K13" s="29">
        <v>900</v>
      </c>
      <c r="L13" s="1" t="s">
        <v>373</v>
      </c>
      <c r="M13" s="32">
        <f t="shared" ref="M13:M18" si="14">IF(ISNUMBER(VALUE(FIND("VRB",L13))),999,VALUE(MID(L13,20,3)))</f>
        <v>150</v>
      </c>
      <c r="N13" s="33">
        <f t="shared" ref="N13:N18" si="15">IF(OR(ABS(E13-M13)&lt;61,AND(ABS(E13-M13)&gt;60,O13&lt;10),E13=M13,AND(E13=999,ISNUMBER(VALUE(FIND("TS",L13)))),AND(E13=999,ISNUMBER(VALUE(FIND("CB",L13)))),AND(E13=999,O13&lt;10),AND(F13&lt;10,M13=999,O13&lt;10)),1,0)</f>
        <v>1</v>
      </c>
      <c r="O13" s="33">
        <f t="shared" ref="O13:O18" si="16">VALUE(MID(L13,23,2))</f>
        <v>3</v>
      </c>
      <c r="P13" s="33">
        <f t="shared" ref="P13:P18" si="17">IF(ABS(O13-F13)&lt;11,1,0)</f>
        <v>1</v>
      </c>
      <c r="Q13" s="34">
        <f t="shared" ref="Q13:Q18" si="18">IF(MID(L13,25,1)="G","GUST",0)</f>
        <v>0</v>
      </c>
      <c r="R13" s="33">
        <f t="shared" ref="R13:R18" si="19">IF(G13=Q13,1,0)</f>
        <v>1</v>
      </c>
      <c r="S13" s="34">
        <f t="shared" si="13"/>
        <v>8000</v>
      </c>
      <c r="T13" s="34">
        <f t="shared" ref="T13:T18" si="20">IF(OR(AND(H13&lt;801,S13&lt;801),AND(H13&gt;799,H13&lt;1501,S13&gt;799,S13&lt;1502),AND(H13&gt;1499,H13&lt;3001,S13&gt;1499,S13&lt;3001),AND(H13&gt;2999,H13&lt;5001,S13&gt;2999,S13&lt;5001),AND(H13&gt;4999,S13&gt;4999)),1,0)</f>
        <v>1</v>
      </c>
      <c r="U13" s="34">
        <f t="shared" ref="U13:U18" si="21">IF(AND(IFERROR(FIND("RA",L13),0)&gt;0, IFERROR(FIND("RA",L13),0)&lt;38),"RA",0)</f>
        <v>0</v>
      </c>
      <c r="V13" s="34">
        <f t="shared" ref="V13:V18" si="22">IF(U13=I13,1,0)</f>
        <v>0</v>
      </c>
      <c r="W13" s="34" t="str">
        <f t="shared" ref="W13:W18" si="23"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FEW</v>
      </c>
      <c r="X13" s="34">
        <f t="shared" ref="X13:X18" si="24">IF(OR(AND(OR(J13="SKC",J13="FEW",J13="SCT"),OR(W13="SKC",W13="FEW",W13="SCT")),(AND(OR(J13="BKN",J13="OVC"),OR(W13="BKN",W13="OVC")))),1,0)</f>
        <v>0</v>
      </c>
      <c r="Y13" s="34">
        <f t="shared" ref="Y13:Y18" si="25">IF(ISNUMBER(VALUE(FIND("CAVOK",L13))),9999,IF(ISNUMBER(VALUE(FIND("NSC",L13))),9999,(MID(L13,(FIND(W13,L13)+4),2))*100))</f>
        <v>800</v>
      </c>
      <c r="Z13" s="34">
        <f t="shared" ref="Z13:Z18" si="26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40</v>
      </c>
      <c r="D14" s="29"/>
      <c r="E14" s="29">
        <v>320</v>
      </c>
      <c r="F14" s="29">
        <v>3</v>
      </c>
      <c r="G14" s="29">
        <v>0</v>
      </c>
      <c r="H14" s="29">
        <v>5000</v>
      </c>
      <c r="I14" s="29" t="s">
        <v>52</v>
      </c>
      <c r="J14" s="29" t="s">
        <v>58</v>
      </c>
      <c r="K14" s="29">
        <v>900</v>
      </c>
      <c r="L14" s="1" t="s">
        <v>374</v>
      </c>
      <c r="M14" s="32">
        <f t="shared" si="14"/>
        <v>180</v>
      </c>
      <c r="N14" s="33">
        <f t="shared" si="15"/>
        <v>1</v>
      </c>
      <c r="O14" s="33">
        <f t="shared" si="16"/>
        <v>3</v>
      </c>
      <c r="P14" s="33">
        <f t="shared" si="17"/>
        <v>1</v>
      </c>
      <c r="Q14" s="34">
        <f t="shared" si="18"/>
        <v>0</v>
      </c>
      <c r="R14" s="33">
        <f t="shared" si="19"/>
        <v>1</v>
      </c>
      <c r="S14" s="34">
        <f t="shared" si="13"/>
        <v>8000</v>
      </c>
      <c r="T14" s="34">
        <f t="shared" si="20"/>
        <v>1</v>
      </c>
      <c r="U14" s="34">
        <f t="shared" si="21"/>
        <v>0</v>
      </c>
      <c r="V14" s="34">
        <f t="shared" si="22"/>
        <v>0</v>
      </c>
      <c r="W14" s="34" t="str">
        <f t="shared" si="23"/>
        <v>FEW</v>
      </c>
      <c r="X14" s="34">
        <f t="shared" si="24"/>
        <v>0</v>
      </c>
      <c r="Y14" s="34">
        <f t="shared" si="25"/>
        <v>800</v>
      </c>
      <c r="Z14" s="34">
        <f t="shared" si="26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40</v>
      </c>
      <c r="D15" s="29"/>
      <c r="E15" s="29">
        <v>320</v>
      </c>
      <c r="F15" s="29">
        <v>3</v>
      </c>
      <c r="G15" s="29">
        <v>0</v>
      </c>
      <c r="H15" s="29">
        <v>5000</v>
      </c>
      <c r="I15" s="29" t="s">
        <v>52</v>
      </c>
      <c r="J15" s="29" t="s">
        <v>58</v>
      </c>
      <c r="K15" s="29">
        <v>900</v>
      </c>
      <c r="L15" s="1" t="s">
        <v>380</v>
      </c>
      <c r="M15" s="32">
        <f t="shared" si="14"/>
        <v>110</v>
      </c>
      <c r="N15" s="33">
        <f t="shared" si="15"/>
        <v>1</v>
      </c>
      <c r="O15" s="33">
        <f t="shared" si="16"/>
        <v>2</v>
      </c>
      <c r="P15" s="33">
        <f t="shared" si="17"/>
        <v>1</v>
      </c>
      <c r="Q15" s="34">
        <f t="shared" si="18"/>
        <v>0</v>
      </c>
      <c r="R15" s="33">
        <f t="shared" si="19"/>
        <v>1</v>
      </c>
      <c r="S15" s="34">
        <f t="shared" si="13"/>
        <v>8000</v>
      </c>
      <c r="T15" s="34">
        <f t="shared" si="20"/>
        <v>1</v>
      </c>
      <c r="U15" s="34">
        <f t="shared" si="21"/>
        <v>0</v>
      </c>
      <c r="V15" s="34">
        <f t="shared" si="22"/>
        <v>0</v>
      </c>
      <c r="W15" s="34" t="str">
        <f t="shared" si="23"/>
        <v>FEW</v>
      </c>
      <c r="X15" s="34">
        <f t="shared" si="24"/>
        <v>0</v>
      </c>
      <c r="Y15" s="34">
        <f t="shared" si="25"/>
        <v>800</v>
      </c>
      <c r="Z15" s="34">
        <f t="shared" si="26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320</v>
      </c>
      <c r="F16" s="29">
        <v>3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1" t="s">
        <v>381</v>
      </c>
      <c r="M16" s="32">
        <f t="shared" si="14"/>
        <v>0</v>
      </c>
      <c r="N16" s="33">
        <f t="shared" si="15"/>
        <v>1</v>
      </c>
      <c r="O16" s="33">
        <f t="shared" si="16"/>
        <v>0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20"/>
        <v>1</v>
      </c>
      <c r="U16" s="34">
        <f t="shared" si="21"/>
        <v>0</v>
      </c>
      <c r="V16" s="34">
        <f t="shared" si="22"/>
        <v>1</v>
      </c>
      <c r="W16" s="34" t="str">
        <f t="shared" si="23"/>
        <v>FEW</v>
      </c>
      <c r="X16" s="34">
        <f t="shared" si="24"/>
        <v>0</v>
      </c>
      <c r="Y16" s="34">
        <f t="shared" si="25"/>
        <v>800</v>
      </c>
      <c r="Z16" s="34">
        <f t="shared" si="26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320</v>
      </c>
      <c r="F17" s="29">
        <v>3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1" t="s">
        <v>382</v>
      </c>
      <c r="M17" s="32">
        <f t="shared" si="14"/>
        <v>0</v>
      </c>
      <c r="N17" s="33">
        <f t="shared" si="15"/>
        <v>1</v>
      </c>
      <c r="O17" s="33">
        <f t="shared" si="16"/>
        <v>0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8000</v>
      </c>
      <c r="T17" s="34">
        <f t="shared" si="20"/>
        <v>1</v>
      </c>
      <c r="U17" s="34">
        <f t="shared" si="21"/>
        <v>0</v>
      </c>
      <c r="V17" s="34">
        <f t="shared" si="22"/>
        <v>1</v>
      </c>
      <c r="W17" s="34" t="str">
        <f t="shared" si="23"/>
        <v>FEW</v>
      </c>
      <c r="X17" s="34">
        <f t="shared" si="24"/>
        <v>0</v>
      </c>
      <c r="Y17" s="34">
        <f t="shared" si="25"/>
        <v>800</v>
      </c>
      <c r="Z17" s="34">
        <f t="shared" si="26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320</v>
      </c>
      <c r="F18" s="29">
        <v>3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1" t="s">
        <v>383</v>
      </c>
      <c r="M18" s="32">
        <f t="shared" si="14"/>
        <v>0</v>
      </c>
      <c r="N18" s="33">
        <f t="shared" si="15"/>
        <v>1</v>
      </c>
      <c r="O18" s="33">
        <f t="shared" si="16"/>
        <v>0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8000</v>
      </c>
      <c r="T18" s="34">
        <f t="shared" si="20"/>
        <v>1</v>
      </c>
      <c r="U18" s="34">
        <f t="shared" si="21"/>
        <v>0</v>
      </c>
      <c r="V18" s="34">
        <f t="shared" si="22"/>
        <v>1</v>
      </c>
      <c r="W18" s="34" t="str">
        <f t="shared" si="23"/>
        <v>FEW</v>
      </c>
      <c r="X18" s="34">
        <f t="shared" si="24"/>
        <v>0</v>
      </c>
      <c r="Y18" s="34">
        <f t="shared" si="25"/>
        <v>800</v>
      </c>
      <c r="Z18" s="34">
        <f t="shared" si="26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9</v>
      </c>
      <c r="W23" s="25"/>
      <c r="X23" s="25">
        <f>SUM(X7:X18)</f>
        <v>4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9</v>
      </c>
      <c r="O24" s="25"/>
      <c r="P24" s="25">
        <f>SUMIF($C7:$C18,"GENERAL",P7:P18)</f>
        <v>9</v>
      </c>
      <c r="Q24" s="25"/>
      <c r="R24" s="25">
        <f>SUMIF($C7:$C18,"GENERAL",R7:R18)</f>
        <v>9</v>
      </c>
      <c r="S24" s="25"/>
      <c r="T24" s="25">
        <f>SUMIF($C7:$C18,"GENERAL",T7:T18)</f>
        <v>9</v>
      </c>
      <c r="U24" s="25"/>
      <c r="V24" s="25">
        <f>SUMIF($C7:$C18,"GENERAL",V7:V18)</f>
        <v>9</v>
      </c>
      <c r="W24" s="25"/>
      <c r="X24" s="25">
        <f>SUMIF($C7:$C18,"GENERAL",X7:X18)</f>
        <v>4</v>
      </c>
      <c r="Y24" s="25"/>
      <c r="Z24" s="25">
        <f>SUMIF($C7:$C18,"GENERAL",Z7:Z18)</f>
        <v>9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3</v>
      </c>
      <c r="M27" s="42">
        <f>SUMIF($C7:$C18,"TEMPO",N7:N18)</f>
        <v>3</v>
      </c>
      <c r="N27" s="42">
        <f>M27</f>
        <v>3</v>
      </c>
      <c r="O27" s="42">
        <f>SUMIF($C7:$C18,"TEMPO",P7:P18)</f>
        <v>3</v>
      </c>
      <c r="P27" s="42">
        <f>O27</f>
        <v>3</v>
      </c>
      <c r="Q27" s="42">
        <f>SUMIF($C7:$C18,"TEMPO",R7:R18)</f>
        <v>3</v>
      </c>
      <c r="R27" s="42">
        <f>Q27</f>
        <v>3</v>
      </c>
      <c r="S27" s="42">
        <f>SUMIF($C7:$C18,"TEMPO",T7:T18)</f>
        <v>3</v>
      </c>
      <c r="T27" s="42">
        <f>S27</f>
        <v>3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3</v>
      </c>
      <c r="Z27" s="42">
        <f>Y27</f>
        <v>3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75</v>
      </c>
      <c r="W28" s="38"/>
      <c r="X28" s="38">
        <f>(SUM(X24:X27)/COUNTA(X7:X18))*100</f>
        <v>33.333333333333329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372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12</v>
      </c>
      <c r="B36" s="28">
        <v>0.25</v>
      </c>
      <c r="C36" s="29" t="s">
        <v>39</v>
      </c>
      <c r="D36" s="30"/>
      <c r="E36" s="29">
        <v>150</v>
      </c>
      <c r="F36" s="29">
        <v>3</v>
      </c>
      <c r="G36" s="29">
        <v>0</v>
      </c>
      <c r="H36" s="29">
        <v>8000</v>
      </c>
      <c r="I36" s="29">
        <v>0</v>
      </c>
      <c r="J36" s="29" t="s">
        <v>51</v>
      </c>
      <c r="K36" s="29">
        <v>800</v>
      </c>
      <c r="L36" s="1" t="s">
        <v>373</v>
      </c>
      <c r="M36" s="32">
        <f t="shared" ref="M36:M41" si="27">IF(ISNUMBER(VALUE(FIND("VRB",L36))),999,VALUE(MID(L36,20,3)))</f>
        <v>150</v>
      </c>
      <c r="N36" s="33">
        <f t="shared" ref="N36:N41" si="2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9">VALUE(MID(L36,23,2))</f>
        <v>3</v>
      </c>
      <c r="P36" s="33">
        <f t="shared" ref="P36:P41" si="30">IF(ABS(O36-F36)&lt;11,1,0)</f>
        <v>1</v>
      </c>
      <c r="Q36" s="34">
        <f t="shared" ref="Q36:Q41" si="31">IF(MID(L36,25,1)="G","GUST",0)</f>
        <v>0</v>
      </c>
      <c r="R36" s="33">
        <f t="shared" ref="R36:R41" si="32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33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4">IF(AND(IFERROR(FIND("RA",L36),0)&gt;0, IFERROR(FIND("RA",L36),0)&lt;38),"RA",0)</f>
        <v>0</v>
      </c>
      <c r="V36" s="34">
        <f t="shared" ref="V36:V41" si="35">IF(U36=I36,1,0)</f>
        <v>1</v>
      </c>
      <c r="W36" s="34" t="str">
        <f t="shared" ref="W36:W41" si="36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FEW</v>
      </c>
      <c r="X36" s="34">
        <f t="shared" ref="X36:X41" si="37">IF(OR(AND(OR(J36="SKC",J36="FEW",J36="SCT"),OR(W36="SKC",W36="FEW",W36="SCT")),(AND(OR(J36="BKN",J36="OVC"),OR(W36="BKN",W36="OVC")))),1,0)</f>
        <v>1</v>
      </c>
      <c r="Y36" s="34">
        <f t="shared" ref="Y36:Y41" si="38">IF(ISNUMBER(VALUE(FIND("CAVOK",L36))),9999,IF(ISNUMBER(VALUE(FIND("NSC",L36))),9999,(MID(L36,(FIND(W36,L36)+4),2))*100))</f>
        <v>800</v>
      </c>
      <c r="Z36" s="34">
        <f t="shared" ref="Z36:Z41" si="39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150</v>
      </c>
      <c r="F37" s="29">
        <v>3</v>
      </c>
      <c r="G37" s="29">
        <v>0</v>
      </c>
      <c r="H37" s="29">
        <v>8000</v>
      </c>
      <c r="I37" s="29">
        <v>0</v>
      </c>
      <c r="J37" s="29" t="s">
        <v>51</v>
      </c>
      <c r="K37" s="29">
        <v>800</v>
      </c>
      <c r="L37" s="1" t="s">
        <v>374</v>
      </c>
      <c r="M37" s="32">
        <f t="shared" si="27"/>
        <v>180</v>
      </c>
      <c r="N37" s="33">
        <f t="shared" si="28"/>
        <v>1</v>
      </c>
      <c r="O37" s="33">
        <f t="shared" si="29"/>
        <v>3</v>
      </c>
      <c r="P37" s="33">
        <f t="shared" si="30"/>
        <v>1</v>
      </c>
      <c r="Q37" s="34">
        <f t="shared" si="31"/>
        <v>0</v>
      </c>
      <c r="R37" s="33">
        <f t="shared" si="32"/>
        <v>1</v>
      </c>
      <c r="S37" s="34">
        <f t="shared" ref="S37:S47" si="40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3"/>
        <v>1</v>
      </c>
      <c r="U37" s="34">
        <f t="shared" si="34"/>
        <v>0</v>
      </c>
      <c r="V37" s="34">
        <f t="shared" si="35"/>
        <v>1</v>
      </c>
      <c r="W37" s="34" t="str">
        <f t="shared" si="36"/>
        <v>FEW</v>
      </c>
      <c r="X37" s="34">
        <f t="shared" si="37"/>
        <v>1</v>
      </c>
      <c r="Y37" s="34">
        <f t="shared" si="38"/>
        <v>800</v>
      </c>
      <c r="Z37" s="34">
        <f t="shared" si="39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40</v>
      </c>
      <c r="D38" s="30"/>
      <c r="E38" s="29">
        <v>150</v>
      </c>
      <c r="F38" s="29">
        <v>3</v>
      </c>
      <c r="G38" s="29">
        <v>0</v>
      </c>
      <c r="H38" s="29">
        <v>5000</v>
      </c>
      <c r="I38" s="29" t="s">
        <v>52</v>
      </c>
      <c r="J38" s="29" t="s">
        <v>51</v>
      </c>
      <c r="K38" s="29">
        <v>800</v>
      </c>
      <c r="L38" s="1" t="s">
        <v>380</v>
      </c>
      <c r="M38" s="32">
        <f t="shared" si="27"/>
        <v>110</v>
      </c>
      <c r="N38" s="33">
        <f t="shared" si="28"/>
        <v>1</v>
      </c>
      <c r="O38" s="33">
        <f t="shared" si="29"/>
        <v>2</v>
      </c>
      <c r="P38" s="33">
        <f t="shared" si="30"/>
        <v>1</v>
      </c>
      <c r="Q38" s="34">
        <f t="shared" si="31"/>
        <v>0</v>
      </c>
      <c r="R38" s="33">
        <f t="shared" si="32"/>
        <v>1</v>
      </c>
      <c r="S38" s="34">
        <f t="shared" si="40"/>
        <v>8000</v>
      </c>
      <c r="T38" s="34">
        <f t="shared" si="33"/>
        <v>1</v>
      </c>
      <c r="U38" s="34">
        <f t="shared" si="34"/>
        <v>0</v>
      </c>
      <c r="V38" s="34">
        <f t="shared" si="35"/>
        <v>0</v>
      </c>
      <c r="W38" s="34" t="str">
        <f t="shared" si="36"/>
        <v>FEW</v>
      </c>
      <c r="X38" s="34">
        <f t="shared" si="37"/>
        <v>1</v>
      </c>
      <c r="Y38" s="34">
        <f t="shared" si="38"/>
        <v>800</v>
      </c>
      <c r="Z38" s="34">
        <f t="shared" si="39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30"/>
      <c r="E39" s="29">
        <v>150</v>
      </c>
      <c r="F39" s="29">
        <v>3</v>
      </c>
      <c r="G39" s="29">
        <v>0</v>
      </c>
      <c r="H39" s="29">
        <v>5000</v>
      </c>
      <c r="I39" s="29" t="s">
        <v>52</v>
      </c>
      <c r="J39" s="29" t="s">
        <v>51</v>
      </c>
      <c r="K39" s="29">
        <v>800</v>
      </c>
      <c r="L39" s="1" t="s">
        <v>381</v>
      </c>
      <c r="M39" s="32">
        <f t="shared" si="27"/>
        <v>0</v>
      </c>
      <c r="N39" s="33">
        <f t="shared" si="28"/>
        <v>1</v>
      </c>
      <c r="O39" s="33">
        <f t="shared" si="29"/>
        <v>0</v>
      </c>
      <c r="P39" s="33">
        <f t="shared" si="30"/>
        <v>1</v>
      </c>
      <c r="Q39" s="34">
        <f t="shared" si="31"/>
        <v>0</v>
      </c>
      <c r="R39" s="33">
        <f t="shared" si="32"/>
        <v>1</v>
      </c>
      <c r="S39" s="34">
        <f t="shared" si="40"/>
        <v>8000</v>
      </c>
      <c r="T39" s="34">
        <f t="shared" si="33"/>
        <v>1</v>
      </c>
      <c r="U39" s="34">
        <f t="shared" si="34"/>
        <v>0</v>
      </c>
      <c r="V39" s="34">
        <f t="shared" si="35"/>
        <v>0</v>
      </c>
      <c r="W39" s="34" t="str">
        <f t="shared" si="36"/>
        <v>FEW</v>
      </c>
      <c r="X39" s="34">
        <f t="shared" si="37"/>
        <v>1</v>
      </c>
      <c r="Y39" s="34">
        <f t="shared" si="38"/>
        <v>800</v>
      </c>
      <c r="Z39" s="34">
        <f t="shared" si="39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30"/>
      <c r="E40" s="29">
        <v>150</v>
      </c>
      <c r="F40" s="29">
        <v>3</v>
      </c>
      <c r="G40" s="29">
        <v>0</v>
      </c>
      <c r="H40" s="29">
        <v>5000</v>
      </c>
      <c r="I40" s="29" t="s">
        <v>52</v>
      </c>
      <c r="J40" s="29" t="s">
        <v>51</v>
      </c>
      <c r="K40" s="29">
        <v>800</v>
      </c>
      <c r="L40" s="1" t="s">
        <v>382</v>
      </c>
      <c r="M40" s="32">
        <f t="shared" si="27"/>
        <v>0</v>
      </c>
      <c r="N40" s="33">
        <f t="shared" si="28"/>
        <v>1</v>
      </c>
      <c r="O40" s="33">
        <f t="shared" si="29"/>
        <v>0</v>
      </c>
      <c r="P40" s="33">
        <f t="shared" si="30"/>
        <v>1</v>
      </c>
      <c r="Q40" s="34">
        <f t="shared" si="31"/>
        <v>0</v>
      </c>
      <c r="R40" s="33">
        <f t="shared" si="32"/>
        <v>1</v>
      </c>
      <c r="S40" s="34">
        <f t="shared" si="40"/>
        <v>8000</v>
      </c>
      <c r="T40" s="34">
        <f t="shared" si="33"/>
        <v>1</v>
      </c>
      <c r="U40" s="34">
        <f t="shared" si="34"/>
        <v>0</v>
      </c>
      <c r="V40" s="34">
        <f t="shared" si="35"/>
        <v>0</v>
      </c>
      <c r="W40" s="34" t="str">
        <f t="shared" si="36"/>
        <v>FEW</v>
      </c>
      <c r="X40" s="34">
        <f t="shared" si="37"/>
        <v>1</v>
      </c>
      <c r="Y40" s="34">
        <f t="shared" si="38"/>
        <v>800</v>
      </c>
      <c r="Z40" s="34">
        <f t="shared" si="39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150</v>
      </c>
      <c r="F41" s="29">
        <v>3</v>
      </c>
      <c r="G41" s="29">
        <v>0</v>
      </c>
      <c r="H41" s="29">
        <v>8000</v>
      </c>
      <c r="I41" s="29">
        <v>0</v>
      </c>
      <c r="J41" s="29" t="s">
        <v>51</v>
      </c>
      <c r="K41" s="29">
        <v>800</v>
      </c>
      <c r="L41" s="1" t="s">
        <v>383</v>
      </c>
      <c r="M41" s="32">
        <f t="shared" si="27"/>
        <v>0</v>
      </c>
      <c r="N41" s="33">
        <f t="shared" si="28"/>
        <v>1</v>
      </c>
      <c r="O41" s="33">
        <f t="shared" si="29"/>
        <v>0</v>
      </c>
      <c r="P41" s="33">
        <f t="shared" si="30"/>
        <v>1</v>
      </c>
      <c r="Q41" s="34">
        <f t="shared" si="31"/>
        <v>0</v>
      </c>
      <c r="R41" s="33">
        <f t="shared" si="32"/>
        <v>1</v>
      </c>
      <c r="S41" s="34">
        <f t="shared" si="40"/>
        <v>8000</v>
      </c>
      <c r="T41" s="34">
        <f t="shared" si="33"/>
        <v>1</v>
      </c>
      <c r="U41" s="34">
        <f t="shared" si="34"/>
        <v>0</v>
      </c>
      <c r="V41" s="34">
        <f t="shared" si="35"/>
        <v>1</v>
      </c>
      <c r="W41" s="34" t="str">
        <f t="shared" si="36"/>
        <v>FEW</v>
      </c>
      <c r="X41" s="34">
        <f t="shared" si="37"/>
        <v>1</v>
      </c>
      <c r="Y41" s="34">
        <f t="shared" si="38"/>
        <v>800</v>
      </c>
      <c r="Z41" s="34">
        <f t="shared" si="39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150</v>
      </c>
      <c r="F42" s="29">
        <v>3</v>
      </c>
      <c r="G42" s="29">
        <v>0</v>
      </c>
      <c r="H42" s="29">
        <v>8000</v>
      </c>
      <c r="I42" s="29">
        <v>0</v>
      </c>
      <c r="J42" s="29" t="s">
        <v>51</v>
      </c>
      <c r="K42" s="29">
        <v>800</v>
      </c>
      <c r="L42" s="1" t="s">
        <v>384</v>
      </c>
      <c r="M42" s="32">
        <f t="shared" ref="M42:M47" si="41">IF(ISNUMBER(VALUE(FIND("VRB",L42))),999,VALUE(MID(L42,20,3)))</f>
        <v>0</v>
      </c>
      <c r="N42" s="33">
        <f t="shared" ref="N42:N47" si="42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3">VALUE(MID(L42,23,2))</f>
        <v>0</v>
      </c>
      <c r="P42" s="33">
        <f t="shared" ref="P42:P47" si="44">IF(ABS(O42-F42)&lt;11,1,0)</f>
        <v>1</v>
      </c>
      <c r="Q42" s="34">
        <f t="shared" ref="Q42:Q47" si="45">IF(MID(L42,25,1)="G","GUST",0)</f>
        <v>0</v>
      </c>
      <c r="R42" s="33">
        <f t="shared" ref="R42:R47" si="46">IF(G42=Q42,1,0)</f>
        <v>1</v>
      </c>
      <c r="S42" s="34">
        <f t="shared" si="40"/>
        <v>8000</v>
      </c>
      <c r="T42" s="34">
        <f t="shared" ref="T42:T47" si="47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>
        <f t="shared" ref="U42:U47" si="48">IF(AND(IFERROR(FIND("RA",L42),0)&gt;0, IFERROR(FIND("RA",L42),0)&lt;38),"RA",0)</f>
        <v>0</v>
      </c>
      <c r="V42" s="34">
        <f t="shared" ref="V42:V47" si="49">IF(U42=I42,1,0)</f>
        <v>1</v>
      </c>
      <c r="W42" s="34" t="str">
        <f t="shared" ref="W42:W47" si="50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BKN</v>
      </c>
      <c r="X42" s="34">
        <f t="shared" ref="X42:X47" si="51">IF(OR(AND(OR(J42="SKC",J42="FEW",J42="SCT"),OR(W42="SKC",W42="FEW",W42="SCT")),(AND(OR(J42="BKN",J42="OVC"),OR(W42="BKN",W42="OVC")))),1,0)</f>
        <v>0</v>
      </c>
      <c r="Y42" s="34">
        <f t="shared" ref="Y42:Y47" si="52">IF(ISNUMBER(VALUE(FIND("CAVOK",L42))),9999,IF(ISNUMBER(VALUE(FIND("NSC",L42))),9999,(MID(L42,(FIND(W42,L42)+4),2))*100))</f>
        <v>900</v>
      </c>
      <c r="Z42" s="34">
        <f t="shared" ref="Z42:Z47" si="53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150</v>
      </c>
      <c r="F43" s="29">
        <v>3</v>
      </c>
      <c r="G43" s="29">
        <v>0</v>
      </c>
      <c r="H43" s="29">
        <v>8000</v>
      </c>
      <c r="I43" s="29">
        <v>0</v>
      </c>
      <c r="J43" s="29" t="s">
        <v>51</v>
      </c>
      <c r="K43" s="29">
        <v>800</v>
      </c>
      <c r="L43" s="1" t="s">
        <v>385</v>
      </c>
      <c r="M43" s="32">
        <f t="shared" si="41"/>
        <v>0</v>
      </c>
      <c r="N43" s="33">
        <f t="shared" si="42"/>
        <v>1</v>
      </c>
      <c r="O43" s="33">
        <f t="shared" si="43"/>
        <v>0</v>
      </c>
      <c r="P43" s="33">
        <f t="shared" si="44"/>
        <v>1</v>
      </c>
      <c r="Q43" s="34">
        <f t="shared" si="45"/>
        <v>0</v>
      </c>
      <c r="R43" s="33">
        <f t="shared" si="46"/>
        <v>1</v>
      </c>
      <c r="S43" s="34">
        <f t="shared" si="40"/>
        <v>8000</v>
      </c>
      <c r="T43" s="34">
        <f t="shared" si="47"/>
        <v>1</v>
      </c>
      <c r="U43" s="34">
        <f t="shared" si="48"/>
        <v>0</v>
      </c>
      <c r="V43" s="34">
        <f t="shared" si="49"/>
        <v>1</v>
      </c>
      <c r="W43" s="34" t="str">
        <f t="shared" si="50"/>
        <v>BKN</v>
      </c>
      <c r="X43" s="34">
        <f t="shared" si="51"/>
        <v>0</v>
      </c>
      <c r="Y43" s="34">
        <f t="shared" si="52"/>
        <v>900</v>
      </c>
      <c r="Z43" s="34">
        <f t="shared" si="53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150</v>
      </c>
      <c r="F44" s="29">
        <v>3</v>
      </c>
      <c r="G44" s="29">
        <v>0</v>
      </c>
      <c r="H44" s="29">
        <v>8000</v>
      </c>
      <c r="I44" s="29">
        <v>0</v>
      </c>
      <c r="J44" s="29" t="s">
        <v>51</v>
      </c>
      <c r="K44" s="29">
        <v>800</v>
      </c>
      <c r="L44" s="1" t="s">
        <v>386</v>
      </c>
      <c r="M44" s="32">
        <f t="shared" si="41"/>
        <v>340</v>
      </c>
      <c r="N44" s="33">
        <f t="shared" si="42"/>
        <v>1</v>
      </c>
      <c r="O44" s="33">
        <f t="shared" si="43"/>
        <v>4</v>
      </c>
      <c r="P44" s="33">
        <f t="shared" si="44"/>
        <v>1</v>
      </c>
      <c r="Q44" s="34">
        <f t="shared" si="45"/>
        <v>0</v>
      </c>
      <c r="R44" s="33">
        <f t="shared" si="46"/>
        <v>1</v>
      </c>
      <c r="S44" s="34">
        <f t="shared" si="40"/>
        <v>8000</v>
      </c>
      <c r="T44" s="34">
        <f t="shared" si="47"/>
        <v>1</v>
      </c>
      <c r="U44" s="34">
        <f t="shared" si="48"/>
        <v>0</v>
      </c>
      <c r="V44" s="34">
        <f t="shared" si="49"/>
        <v>1</v>
      </c>
      <c r="W44" s="34" t="str">
        <f t="shared" si="50"/>
        <v>BKN</v>
      </c>
      <c r="X44" s="34">
        <f t="shared" si="51"/>
        <v>0</v>
      </c>
      <c r="Y44" s="34">
        <f t="shared" si="52"/>
        <v>900</v>
      </c>
      <c r="Z44" s="34">
        <f t="shared" si="53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150</v>
      </c>
      <c r="F45" s="29">
        <v>3</v>
      </c>
      <c r="G45" s="29">
        <v>0</v>
      </c>
      <c r="H45" s="29">
        <v>8000</v>
      </c>
      <c r="I45" s="29">
        <v>0</v>
      </c>
      <c r="J45" s="29" t="s">
        <v>51</v>
      </c>
      <c r="K45" s="29">
        <v>800</v>
      </c>
      <c r="L45" s="1" t="s">
        <v>387</v>
      </c>
      <c r="M45" s="32">
        <f t="shared" si="41"/>
        <v>150</v>
      </c>
      <c r="N45" s="33">
        <f t="shared" si="42"/>
        <v>1</v>
      </c>
      <c r="O45" s="33">
        <f t="shared" si="43"/>
        <v>3</v>
      </c>
      <c r="P45" s="33">
        <f t="shared" si="44"/>
        <v>1</v>
      </c>
      <c r="Q45" s="34">
        <f t="shared" si="45"/>
        <v>0</v>
      </c>
      <c r="R45" s="33">
        <f t="shared" si="46"/>
        <v>1</v>
      </c>
      <c r="S45" s="34">
        <f t="shared" si="40"/>
        <v>8000</v>
      </c>
      <c r="T45" s="34">
        <f t="shared" si="47"/>
        <v>1</v>
      </c>
      <c r="U45" s="34">
        <f t="shared" si="48"/>
        <v>0</v>
      </c>
      <c r="V45" s="34">
        <f t="shared" si="49"/>
        <v>1</v>
      </c>
      <c r="W45" s="34" t="str">
        <f t="shared" si="50"/>
        <v>FEW</v>
      </c>
      <c r="X45" s="34">
        <f t="shared" si="51"/>
        <v>1</v>
      </c>
      <c r="Y45" s="34">
        <f t="shared" si="52"/>
        <v>800</v>
      </c>
      <c r="Z45" s="34">
        <f t="shared" si="53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150</v>
      </c>
      <c r="F46" s="29">
        <v>3</v>
      </c>
      <c r="G46" s="29">
        <v>0</v>
      </c>
      <c r="H46" s="29">
        <v>8000</v>
      </c>
      <c r="I46" s="29">
        <v>0</v>
      </c>
      <c r="J46" s="29" t="s">
        <v>51</v>
      </c>
      <c r="K46" s="29">
        <v>800</v>
      </c>
      <c r="L46" s="1" t="s">
        <v>388</v>
      </c>
      <c r="M46" s="32">
        <f t="shared" si="41"/>
        <v>0</v>
      </c>
      <c r="N46" s="33">
        <f t="shared" si="42"/>
        <v>1</v>
      </c>
      <c r="O46" s="33">
        <f t="shared" si="43"/>
        <v>0</v>
      </c>
      <c r="P46" s="33">
        <f t="shared" si="44"/>
        <v>1</v>
      </c>
      <c r="Q46" s="34">
        <f t="shared" si="45"/>
        <v>0</v>
      </c>
      <c r="R46" s="33">
        <f t="shared" si="46"/>
        <v>1</v>
      </c>
      <c r="S46" s="34">
        <f t="shared" si="40"/>
        <v>8000</v>
      </c>
      <c r="T46" s="34">
        <f t="shared" si="47"/>
        <v>1</v>
      </c>
      <c r="U46" s="34">
        <f t="shared" si="48"/>
        <v>0</v>
      </c>
      <c r="V46" s="34">
        <f t="shared" si="49"/>
        <v>1</v>
      </c>
      <c r="W46" s="34" t="str">
        <f t="shared" si="50"/>
        <v>BKN</v>
      </c>
      <c r="X46" s="34">
        <f t="shared" si="51"/>
        <v>0</v>
      </c>
      <c r="Y46" s="34">
        <f t="shared" si="52"/>
        <v>900</v>
      </c>
      <c r="Z46" s="34">
        <f t="shared" si="53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150</v>
      </c>
      <c r="F47" s="29">
        <v>3</v>
      </c>
      <c r="G47" s="29">
        <v>0</v>
      </c>
      <c r="H47" s="29">
        <v>8000</v>
      </c>
      <c r="I47" s="29">
        <v>0</v>
      </c>
      <c r="J47" s="29" t="s">
        <v>51</v>
      </c>
      <c r="K47" s="29">
        <v>800</v>
      </c>
      <c r="L47" s="1" t="s">
        <v>389</v>
      </c>
      <c r="M47" s="32">
        <f t="shared" si="41"/>
        <v>350</v>
      </c>
      <c r="N47" s="33">
        <f t="shared" si="42"/>
        <v>1</v>
      </c>
      <c r="O47" s="33">
        <f t="shared" si="43"/>
        <v>2</v>
      </c>
      <c r="P47" s="33">
        <f t="shared" si="44"/>
        <v>1</v>
      </c>
      <c r="Q47" s="34">
        <f t="shared" si="45"/>
        <v>0</v>
      </c>
      <c r="R47" s="33">
        <f t="shared" si="46"/>
        <v>1</v>
      </c>
      <c r="S47" s="34">
        <f t="shared" si="40"/>
        <v>8000</v>
      </c>
      <c r="T47" s="34">
        <f t="shared" si="47"/>
        <v>1</v>
      </c>
      <c r="U47" s="34">
        <f t="shared" si="48"/>
        <v>0</v>
      </c>
      <c r="V47" s="34">
        <f t="shared" si="49"/>
        <v>1</v>
      </c>
      <c r="W47" s="34" t="str">
        <f t="shared" si="50"/>
        <v>BKN</v>
      </c>
      <c r="X47" s="34">
        <f t="shared" si="51"/>
        <v>0</v>
      </c>
      <c r="Y47" s="34">
        <f t="shared" si="52"/>
        <v>900</v>
      </c>
      <c r="Z47" s="34">
        <f t="shared" si="53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9</v>
      </c>
      <c r="W52" s="25"/>
      <c r="X52" s="25">
        <f>SUM(X36:X47)</f>
        <v>7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9</v>
      </c>
      <c r="U53" s="25"/>
      <c r="V53" s="25">
        <f>SUMIF($C36:$C47,"GENERAL",V36:V47)</f>
        <v>9</v>
      </c>
      <c r="W53" s="25"/>
      <c r="X53" s="25">
        <f>SUMIF($C36:$C47,"GENERAL",X36:X47)</f>
        <v>4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3</v>
      </c>
      <c r="T56" s="42">
        <f>S56</f>
        <v>3</v>
      </c>
      <c r="U56" s="42">
        <f>SUMIF($C36:$C47,"TEMPO",V36:V47)</f>
        <v>0</v>
      </c>
      <c r="V56" s="42">
        <f>U56</f>
        <v>0</v>
      </c>
      <c r="W56" s="42">
        <f>SUMIF($C36:$C47,"TEMPO",X36:X47)</f>
        <v>3</v>
      </c>
      <c r="X56" s="42">
        <f>W56</f>
        <v>3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75</v>
      </c>
      <c r="W57" s="38"/>
      <c r="X57" s="38">
        <f>(SUM(X53:X56)/COUNTA(X36:X47))*100</f>
        <v>58.333333333333336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376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12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51</v>
      </c>
      <c r="K65" s="51">
        <v>800</v>
      </c>
      <c r="L65" s="1" t="s">
        <v>384</v>
      </c>
      <c r="M65" s="32">
        <f t="shared" ref="M65:M70" si="54">IF(ISNUMBER(VALUE(FIND("VRB",L65))),999,VALUE(MID(L65,20,3)))</f>
        <v>0</v>
      </c>
      <c r="N65" s="33">
        <f t="shared" ref="N65:N70" si="55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6">VALUE(MID(L65,23,2))</f>
        <v>0</v>
      </c>
      <c r="P65" s="33">
        <f t="shared" ref="P65:P70" si="57">IF(ABS(O65-F65)&lt;11,1,0)</f>
        <v>1</v>
      </c>
      <c r="Q65" s="34">
        <f t="shared" ref="Q65:Q70" si="58">IF(MID(L65,25,1)="G","GUST",0)</f>
        <v>0</v>
      </c>
      <c r="R65" s="33">
        <f t="shared" ref="R65:R70" si="59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60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61">IF(AND(IFERROR(FIND("RA",L65),0)&gt;0, IFERROR(FIND("RA",L65),0)&lt;38),"RA",0)</f>
        <v>0</v>
      </c>
      <c r="V65" s="34">
        <f t="shared" ref="V65:V70" si="62">IF(U65=I65,1,0)</f>
        <v>1</v>
      </c>
      <c r="W65" s="34" t="str">
        <f t="shared" ref="W65:W70" si="63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0" si="64">IF(OR(AND(OR(J65="SKC",J65="FEW",J65="SCT"),OR(W65="SKC",W65="FEW",W65="SCT")),(AND(OR(J65="BKN",J65="OVC"),OR(W65="BKN",W65="OVC")))),1,0)</f>
        <v>0</v>
      </c>
      <c r="Y65" s="34">
        <f t="shared" ref="Y65:Y70" si="65">IF(ISNUMBER(VALUE(FIND("CAVOK",L65))),9999,IF(ISNUMBER(VALUE(FIND("NSC",L65))),9999,(MID(L65,(FIND(W65,L65)+4),2))*100))</f>
        <v>900</v>
      </c>
      <c r="Z65" s="34">
        <f t="shared" ref="Z65:Z70" si="66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51</v>
      </c>
      <c r="K66" s="51">
        <v>800</v>
      </c>
      <c r="L66" s="1" t="s">
        <v>385</v>
      </c>
      <c r="M66" s="32">
        <f t="shared" si="54"/>
        <v>0</v>
      </c>
      <c r="N66" s="33">
        <f t="shared" si="55"/>
        <v>1</v>
      </c>
      <c r="O66" s="33">
        <f t="shared" si="56"/>
        <v>0</v>
      </c>
      <c r="P66" s="33">
        <f t="shared" si="57"/>
        <v>1</v>
      </c>
      <c r="Q66" s="34">
        <f t="shared" si="58"/>
        <v>0</v>
      </c>
      <c r="R66" s="33">
        <f t="shared" si="59"/>
        <v>1</v>
      </c>
      <c r="S66" s="34">
        <f t="shared" ref="S66:S76" si="67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60"/>
        <v>1</v>
      </c>
      <c r="U66" s="34">
        <f t="shared" si="61"/>
        <v>0</v>
      </c>
      <c r="V66" s="34">
        <f t="shared" si="62"/>
        <v>1</v>
      </c>
      <c r="W66" s="34" t="str">
        <f t="shared" si="63"/>
        <v>BKN</v>
      </c>
      <c r="X66" s="34">
        <f t="shared" si="64"/>
        <v>0</v>
      </c>
      <c r="Y66" s="34">
        <f t="shared" si="65"/>
        <v>900</v>
      </c>
      <c r="Z66" s="34">
        <f t="shared" si="66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1" t="s">
        <v>51</v>
      </c>
      <c r="K67" s="51">
        <v>800</v>
      </c>
      <c r="L67" s="1" t="s">
        <v>386</v>
      </c>
      <c r="M67" s="32">
        <f t="shared" si="54"/>
        <v>340</v>
      </c>
      <c r="N67" s="33">
        <f t="shared" si="55"/>
        <v>1</v>
      </c>
      <c r="O67" s="33">
        <f t="shared" si="56"/>
        <v>4</v>
      </c>
      <c r="P67" s="33">
        <f t="shared" si="57"/>
        <v>1</v>
      </c>
      <c r="Q67" s="34">
        <f t="shared" si="58"/>
        <v>0</v>
      </c>
      <c r="R67" s="33">
        <f t="shared" si="59"/>
        <v>1</v>
      </c>
      <c r="S67" s="34">
        <f t="shared" si="67"/>
        <v>8000</v>
      </c>
      <c r="T67" s="34">
        <f t="shared" si="60"/>
        <v>1</v>
      </c>
      <c r="U67" s="34">
        <f t="shared" si="61"/>
        <v>0</v>
      </c>
      <c r="V67" s="34">
        <f t="shared" si="62"/>
        <v>1</v>
      </c>
      <c r="W67" s="34" t="str">
        <f t="shared" si="63"/>
        <v>BKN</v>
      </c>
      <c r="X67" s="34">
        <f t="shared" si="64"/>
        <v>0</v>
      </c>
      <c r="Y67" s="34">
        <f t="shared" si="65"/>
        <v>900</v>
      </c>
      <c r="Z67" s="34">
        <f t="shared" si="66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1" t="s">
        <v>51</v>
      </c>
      <c r="K68" s="51">
        <v>800</v>
      </c>
      <c r="L68" s="1" t="s">
        <v>387</v>
      </c>
      <c r="M68" s="32">
        <f t="shared" si="54"/>
        <v>150</v>
      </c>
      <c r="N68" s="33">
        <f t="shared" si="55"/>
        <v>1</v>
      </c>
      <c r="O68" s="33">
        <f t="shared" si="56"/>
        <v>3</v>
      </c>
      <c r="P68" s="33">
        <f t="shared" si="57"/>
        <v>1</v>
      </c>
      <c r="Q68" s="34">
        <f t="shared" si="58"/>
        <v>0</v>
      </c>
      <c r="R68" s="33">
        <f t="shared" si="59"/>
        <v>1</v>
      </c>
      <c r="S68" s="34">
        <f t="shared" si="67"/>
        <v>8000</v>
      </c>
      <c r="T68" s="34">
        <f t="shared" si="60"/>
        <v>1</v>
      </c>
      <c r="U68" s="34">
        <f t="shared" si="61"/>
        <v>0</v>
      </c>
      <c r="V68" s="34">
        <f t="shared" si="62"/>
        <v>1</v>
      </c>
      <c r="W68" s="34" t="str">
        <f t="shared" si="63"/>
        <v>FEW</v>
      </c>
      <c r="X68" s="34">
        <f t="shared" si="64"/>
        <v>1</v>
      </c>
      <c r="Y68" s="34">
        <f t="shared" si="65"/>
        <v>800</v>
      </c>
      <c r="Z68" s="34">
        <f t="shared" si="66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1" t="s">
        <v>51</v>
      </c>
      <c r="K69" s="51">
        <v>800</v>
      </c>
      <c r="L69" s="1" t="s">
        <v>388</v>
      </c>
      <c r="M69" s="32">
        <f t="shared" si="54"/>
        <v>0</v>
      </c>
      <c r="N69" s="33">
        <f t="shared" si="55"/>
        <v>1</v>
      </c>
      <c r="O69" s="33">
        <f t="shared" si="56"/>
        <v>0</v>
      </c>
      <c r="P69" s="33">
        <f t="shared" si="57"/>
        <v>1</v>
      </c>
      <c r="Q69" s="34">
        <f t="shared" si="58"/>
        <v>0</v>
      </c>
      <c r="R69" s="33">
        <f t="shared" si="59"/>
        <v>1</v>
      </c>
      <c r="S69" s="34">
        <f t="shared" si="67"/>
        <v>8000</v>
      </c>
      <c r="T69" s="34">
        <f t="shared" si="60"/>
        <v>1</v>
      </c>
      <c r="U69" s="34">
        <f t="shared" si="61"/>
        <v>0</v>
      </c>
      <c r="V69" s="34">
        <f t="shared" si="62"/>
        <v>1</v>
      </c>
      <c r="W69" s="34" t="str">
        <f t="shared" si="63"/>
        <v>BKN</v>
      </c>
      <c r="X69" s="34">
        <f t="shared" si="64"/>
        <v>0</v>
      </c>
      <c r="Y69" s="34">
        <f t="shared" si="65"/>
        <v>900</v>
      </c>
      <c r="Z69" s="34">
        <f t="shared" si="66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1" t="s">
        <v>51</v>
      </c>
      <c r="K70" s="51">
        <v>800</v>
      </c>
      <c r="L70" s="1" t="s">
        <v>389</v>
      </c>
      <c r="M70" s="32">
        <f t="shared" si="54"/>
        <v>350</v>
      </c>
      <c r="N70" s="33">
        <f t="shared" si="55"/>
        <v>1</v>
      </c>
      <c r="O70" s="33">
        <f t="shared" si="56"/>
        <v>2</v>
      </c>
      <c r="P70" s="33">
        <f t="shared" si="57"/>
        <v>1</v>
      </c>
      <c r="Q70" s="34">
        <f t="shared" si="58"/>
        <v>0</v>
      </c>
      <c r="R70" s="33">
        <f t="shared" si="59"/>
        <v>1</v>
      </c>
      <c r="S70" s="34">
        <f t="shared" si="67"/>
        <v>8000</v>
      </c>
      <c r="T70" s="34">
        <f t="shared" si="60"/>
        <v>1</v>
      </c>
      <c r="U70" s="34">
        <f t="shared" si="61"/>
        <v>0</v>
      </c>
      <c r="V70" s="34">
        <f t="shared" si="62"/>
        <v>1</v>
      </c>
      <c r="W70" s="34" t="str">
        <f t="shared" si="63"/>
        <v>BKN</v>
      </c>
      <c r="X70" s="34">
        <f t="shared" si="64"/>
        <v>0</v>
      </c>
      <c r="Y70" s="34">
        <f t="shared" si="65"/>
        <v>900</v>
      </c>
      <c r="Z70" s="34">
        <f t="shared" si="66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51</v>
      </c>
      <c r="K71" s="51">
        <v>800</v>
      </c>
      <c r="L71" s="1" t="s">
        <v>390</v>
      </c>
      <c r="M71" s="32">
        <f t="shared" ref="M71:M76" si="68">IF(ISNUMBER(VALUE(FIND("VRB",L71))),999,VALUE(MID(L71,20,3)))</f>
        <v>0</v>
      </c>
      <c r="N71" s="33">
        <f t="shared" ref="N71:N76" si="69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0">VALUE(MID(L71,23,2))</f>
        <v>0</v>
      </c>
      <c r="P71" s="33">
        <f t="shared" ref="P71:P76" si="71">IF(ABS(O71-F71)&lt;11,1,0)</f>
        <v>1</v>
      </c>
      <c r="Q71" s="34">
        <f t="shared" ref="Q71:Q76" si="72">IF(MID(L71,25,1)="G","GUST",0)</f>
        <v>0</v>
      </c>
      <c r="R71" s="33">
        <f t="shared" ref="R71:R76" si="73">IF(G71=Q71,1,0)</f>
        <v>1</v>
      </c>
      <c r="S71" s="34">
        <f t="shared" si="67"/>
        <v>8000</v>
      </c>
      <c r="T71" s="34">
        <f t="shared" ref="T71:T76" si="74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75">IF(AND(IFERROR(FIND("RA",L71),0)&gt;0, IFERROR(FIND("RA",L71),0)&lt;38),"RA",0)</f>
        <v>0</v>
      </c>
      <c r="V71" s="34">
        <f t="shared" ref="V71:V76" si="76">IF(U71=I71,1,0)</f>
        <v>1</v>
      </c>
      <c r="W71" s="34" t="str">
        <f t="shared" ref="W71:W76" si="77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8">IF(OR(AND(OR(J71="SKC",J71="FEW",J71="SCT"),OR(W71="SKC",W71="FEW",W71="SCT")),(AND(OR(J71="BKN",J71="OVC"),OR(W71="BKN",W71="OVC")))),1,0)</f>
        <v>0</v>
      </c>
      <c r="Y71" s="34">
        <f t="shared" ref="Y71:Y76" si="79">IF(ISNUMBER(VALUE(FIND("CAVOK",L71))),9999,IF(ISNUMBER(VALUE(FIND("NSC",L71))),9999,(MID(L71,(FIND(W71,L71)+4),2))*100))</f>
        <v>900</v>
      </c>
      <c r="Z71" s="34">
        <f t="shared" ref="Z71:Z76" si="80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51</v>
      </c>
      <c r="K72" s="51">
        <v>800</v>
      </c>
      <c r="L72" s="1" t="s">
        <v>391</v>
      </c>
      <c r="M72" s="32">
        <f t="shared" si="68"/>
        <v>160</v>
      </c>
      <c r="N72" s="33">
        <f t="shared" si="69"/>
        <v>1</v>
      </c>
      <c r="O72" s="33">
        <f t="shared" si="70"/>
        <v>2</v>
      </c>
      <c r="P72" s="33">
        <f t="shared" si="71"/>
        <v>1</v>
      </c>
      <c r="Q72" s="34">
        <f t="shared" si="72"/>
        <v>0</v>
      </c>
      <c r="R72" s="33">
        <f t="shared" si="73"/>
        <v>1</v>
      </c>
      <c r="S72" s="34">
        <f t="shared" si="67"/>
        <v>8000</v>
      </c>
      <c r="T72" s="34">
        <f t="shared" si="74"/>
        <v>1</v>
      </c>
      <c r="U72" s="34">
        <f t="shared" si="75"/>
        <v>0</v>
      </c>
      <c r="V72" s="34">
        <f t="shared" si="76"/>
        <v>1</v>
      </c>
      <c r="W72" s="34" t="str">
        <f t="shared" si="77"/>
        <v>BKN</v>
      </c>
      <c r="X72" s="34">
        <f t="shared" si="78"/>
        <v>0</v>
      </c>
      <c r="Y72" s="34">
        <f t="shared" si="79"/>
        <v>900</v>
      </c>
      <c r="Z72" s="34">
        <f t="shared" si="8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51</v>
      </c>
      <c r="K73" s="51">
        <v>800</v>
      </c>
      <c r="L73" s="1" t="s">
        <v>392</v>
      </c>
      <c r="M73" s="32">
        <f t="shared" si="68"/>
        <v>180</v>
      </c>
      <c r="N73" s="33">
        <f t="shared" si="69"/>
        <v>1</v>
      </c>
      <c r="O73" s="33">
        <f t="shared" si="70"/>
        <v>2</v>
      </c>
      <c r="P73" s="33">
        <f t="shared" si="71"/>
        <v>1</v>
      </c>
      <c r="Q73" s="34">
        <f t="shared" si="72"/>
        <v>0</v>
      </c>
      <c r="R73" s="33">
        <f t="shared" si="73"/>
        <v>1</v>
      </c>
      <c r="S73" s="34">
        <f t="shared" si="67"/>
        <v>8000</v>
      </c>
      <c r="T73" s="34">
        <f t="shared" si="74"/>
        <v>1</v>
      </c>
      <c r="U73" s="34">
        <f t="shared" si="75"/>
        <v>0</v>
      </c>
      <c r="V73" s="34">
        <f t="shared" si="76"/>
        <v>1</v>
      </c>
      <c r="W73" s="34" t="str">
        <f t="shared" si="77"/>
        <v>BKN</v>
      </c>
      <c r="X73" s="34">
        <f t="shared" si="78"/>
        <v>0</v>
      </c>
      <c r="Y73" s="34">
        <f t="shared" si="79"/>
        <v>900</v>
      </c>
      <c r="Z73" s="34">
        <f t="shared" si="8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51</v>
      </c>
      <c r="K74" s="51">
        <v>800</v>
      </c>
      <c r="L74" s="1" t="s">
        <v>393</v>
      </c>
      <c r="M74" s="32">
        <f t="shared" si="68"/>
        <v>0</v>
      </c>
      <c r="N74" s="33">
        <f t="shared" si="69"/>
        <v>1</v>
      </c>
      <c r="O74" s="33">
        <f t="shared" si="70"/>
        <v>0</v>
      </c>
      <c r="P74" s="33">
        <f t="shared" si="71"/>
        <v>1</v>
      </c>
      <c r="Q74" s="34">
        <f t="shared" si="72"/>
        <v>0</v>
      </c>
      <c r="R74" s="33">
        <f t="shared" si="73"/>
        <v>1</v>
      </c>
      <c r="S74" s="34">
        <f t="shared" si="67"/>
        <v>7000</v>
      </c>
      <c r="T74" s="34">
        <f t="shared" si="74"/>
        <v>1</v>
      </c>
      <c r="U74" s="34">
        <f t="shared" si="75"/>
        <v>0</v>
      </c>
      <c r="V74" s="34">
        <f t="shared" si="76"/>
        <v>1</v>
      </c>
      <c r="W74" s="34" t="str">
        <f t="shared" si="77"/>
        <v>BKN</v>
      </c>
      <c r="X74" s="34">
        <f t="shared" si="78"/>
        <v>0</v>
      </c>
      <c r="Y74" s="34">
        <f t="shared" si="79"/>
        <v>800</v>
      </c>
      <c r="Z74" s="34">
        <f t="shared" si="8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51</v>
      </c>
      <c r="K75" s="51">
        <v>800</v>
      </c>
      <c r="L75" s="1" t="s">
        <v>395</v>
      </c>
      <c r="M75" s="32">
        <f t="shared" si="68"/>
        <v>0</v>
      </c>
      <c r="N75" s="33">
        <f t="shared" si="69"/>
        <v>1</v>
      </c>
      <c r="O75" s="33">
        <f t="shared" si="70"/>
        <v>0</v>
      </c>
      <c r="P75" s="33">
        <f t="shared" si="71"/>
        <v>1</v>
      </c>
      <c r="Q75" s="34">
        <f t="shared" si="72"/>
        <v>0</v>
      </c>
      <c r="R75" s="33">
        <f t="shared" si="73"/>
        <v>1</v>
      </c>
      <c r="S75" s="34">
        <f t="shared" si="67"/>
        <v>800</v>
      </c>
      <c r="T75" s="34">
        <f t="shared" si="74"/>
        <v>0</v>
      </c>
      <c r="U75" s="34">
        <f t="shared" si="75"/>
        <v>0</v>
      </c>
      <c r="V75" s="34">
        <f t="shared" si="76"/>
        <v>1</v>
      </c>
      <c r="W75" s="34" t="str">
        <f t="shared" si="77"/>
        <v>BKN</v>
      </c>
      <c r="X75" s="34">
        <f t="shared" si="78"/>
        <v>0</v>
      </c>
      <c r="Y75" s="34">
        <f t="shared" si="79"/>
        <v>800</v>
      </c>
      <c r="Z75" s="34">
        <f t="shared" si="8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1" t="s">
        <v>51</v>
      </c>
      <c r="K76" s="51">
        <v>800</v>
      </c>
      <c r="L76" s="1" t="s">
        <v>394</v>
      </c>
      <c r="M76" s="32">
        <f t="shared" si="68"/>
        <v>190</v>
      </c>
      <c r="N76" s="33">
        <f t="shared" si="69"/>
        <v>1</v>
      </c>
      <c r="O76" s="33">
        <f t="shared" si="70"/>
        <v>2</v>
      </c>
      <c r="P76" s="33">
        <f t="shared" si="71"/>
        <v>1</v>
      </c>
      <c r="Q76" s="34">
        <f t="shared" si="72"/>
        <v>0</v>
      </c>
      <c r="R76" s="33">
        <f t="shared" si="73"/>
        <v>1</v>
      </c>
      <c r="S76" s="34">
        <f t="shared" si="67"/>
        <v>8000</v>
      </c>
      <c r="T76" s="34">
        <f t="shared" si="74"/>
        <v>1</v>
      </c>
      <c r="U76" s="34">
        <f t="shared" si="75"/>
        <v>0</v>
      </c>
      <c r="V76" s="34">
        <f t="shared" si="76"/>
        <v>1</v>
      </c>
      <c r="W76" s="34" t="str">
        <f t="shared" si="77"/>
        <v>BKN</v>
      </c>
      <c r="X76" s="34">
        <f t="shared" si="78"/>
        <v>0</v>
      </c>
      <c r="Y76" s="34">
        <f t="shared" si="79"/>
        <v>900</v>
      </c>
      <c r="Z76" s="34">
        <f t="shared" si="8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11</v>
      </c>
      <c r="U80" s="25"/>
      <c r="V80" s="25">
        <f>SUM(V64:V76)</f>
        <v>12</v>
      </c>
      <c r="W80" s="25"/>
      <c r="X80" s="25">
        <f>SUM(X64:X76)</f>
        <v>1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11</v>
      </c>
      <c r="U81" s="25"/>
      <c r="V81" s="25">
        <f>SUMIF($C64:$C76,"GENERAL",V64:V76)</f>
        <v>12</v>
      </c>
      <c r="W81" s="25"/>
      <c r="X81" s="25">
        <f>SUMIF($C64:$C76,"GENERAL",X64:X76)</f>
        <v>1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91.666666666666657</v>
      </c>
      <c r="U85" s="38"/>
      <c r="V85" s="38">
        <f>(SUM(V81:V84)/COUNTA(V64:V76))*100</f>
        <v>100</v>
      </c>
      <c r="W85" s="38"/>
      <c r="X85" s="38">
        <f>(SUM(X81:X84)/COUNTA(X64:X76))*100</f>
        <v>8.3333333333333321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375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12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800</v>
      </c>
      <c r="L93" s="1" t="s">
        <v>390</v>
      </c>
      <c r="M93" s="32">
        <f t="shared" ref="M93:M98" si="81">IF(ISNUMBER(VALUE(FIND("VRB",L93))),999,VALUE(MID(L93,20,3)))</f>
        <v>0</v>
      </c>
      <c r="N93" s="33">
        <f t="shared" ref="N93:N98" si="82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3">VALUE(MID(L93,23,2))</f>
        <v>0</v>
      </c>
      <c r="P93" s="33">
        <f t="shared" ref="P93:P98" si="84">IF(ABS(O93-F93)&lt;11,1,0)</f>
        <v>1</v>
      </c>
      <c r="Q93" s="34">
        <f t="shared" ref="Q93:Q98" si="85">IF(MID(L93,25,1)="G","GUST",0)</f>
        <v>0</v>
      </c>
      <c r="R93" s="33">
        <f t="shared" ref="R93:R98" si="86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87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8">IF(AND(IFERROR(FIND("RA",L93),0)&gt;0, IFERROR(FIND("RA",L93),0)&lt;38),"RA",0)</f>
        <v>0</v>
      </c>
      <c r="V93" s="34">
        <f t="shared" ref="V93:V98" si="89">IF(U93=I93,1,0)</f>
        <v>1</v>
      </c>
      <c r="W93" s="34" t="str">
        <f t="shared" ref="W93:W98" si="90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91">IF(OR(AND(OR(J93="SKC",J93="FEW",J93="SCT"),OR(W93="SKC",W93="FEW",W93="SCT")),(AND(OR(J93="BKN",J93="OVC"),OR(W93="BKN",W93="OVC")))),1,0)</f>
        <v>1</v>
      </c>
      <c r="Y93" s="34">
        <f t="shared" ref="Y93:Y98" si="92">IF(ISNUMBER(VALUE(FIND("CAVOK",L93))),9999,IF(ISNUMBER(VALUE(FIND("NSC",L93))),9999,(MID(L93,(FIND(W93,L93)+4),2))*100))</f>
        <v>900</v>
      </c>
      <c r="Z93" s="34">
        <f t="shared" ref="Z93:Z98" si="93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800</v>
      </c>
      <c r="L94" s="1" t="s">
        <v>391</v>
      </c>
      <c r="M94" s="32">
        <f t="shared" si="81"/>
        <v>160</v>
      </c>
      <c r="N94" s="33">
        <f t="shared" si="82"/>
        <v>1</v>
      </c>
      <c r="O94" s="33">
        <f t="shared" si="83"/>
        <v>2</v>
      </c>
      <c r="P94" s="33">
        <f t="shared" si="84"/>
        <v>1</v>
      </c>
      <c r="Q94" s="34">
        <f t="shared" si="85"/>
        <v>0</v>
      </c>
      <c r="R94" s="33">
        <f t="shared" si="86"/>
        <v>1</v>
      </c>
      <c r="S94" s="34">
        <f t="shared" ref="S94:S104" si="94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7"/>
        <v>1</v>
      </c>
      <c r="U94" s="34">
        <f t="shared" si="88"/>
        <v>0</v>
      </c>
      <c r="V94" s="34">
        <f t="shared" si="89"/>
        <v>1</v>
      </c>
      <c r="W94" s="34" t="str">
        <f t="shared" si="90"/>
        <v>BKN</v>
      </c>
      <c r="X94" s="34">
        <f t="shared" si="91"/>
        <v>1</v>
      </c>
      <c r="Y94" s="34">
        <f t="shared" si="92"/>
        <v>900</v>
      </c>
      <c r="Z94" s="34">
        <f t="shared" si="93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800</v>
      </c>
      <c r="L95" s="1" t="s">
        <v>392</v>
      </c>
      <c r="M95" s="32">
        <f t="shared" si="81"/>
        <v>180</v>
      </c>
      <c r="N95" s="33">
        <f t="shared" si="82"/>
        <v>1</v>
      </c>
      <c r="O95" s="33">
        <f t="shared" si="83"/>
        <v>2</v>
      </c>
      <c r="P95" s="33">
        <f t="shared" si="84"/>
        <v>1</v>
      </c>
      <c r="Q95" s="34">
        <f t="shared" si="85"/>
        <v>0</v>
      </c>
      <c r="R95" s="33">
        <f t="shared" si="86"/>
        <v>1</v>
      </c>
      <c r="S95" s="34">
        <f t="shared" si="94"/>
        <v>8000</v>
      </c>
      <c r="T95" s="34">
        <f t="shared" si="87"/>
        <v>1</v>
      </c>
      <c r="U95" s="34">
        <f t="shared" si="88"/>
        <v>0</v>
      </c>
      <c r="V95" s="34">
        <f t="shared" si="89"/>
        <v>1</v>
      </c>
      <c r="W95" s="34" t="str">
        <f t="shared" si="90"/>
        <v>BKN</v>
      </c>
      <c r="X95" s="34">
        <f t="shared" si="91"/>
        <v>1</v>
      </c>
      <c r="Y95" s="34">
        <f t="shared" si="92"/>
        <v>900</v>
      </c>
      <c r="Z95" s="34">
        <f t="shared" si="93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800</v>
      </c>
      <c r="L96" s="1" t="s">
        <v>393</v>
      </c>
      <c r="M96" s="32">
        <f t="shared" si="81"/>
        <v>0</v>
      </c>
      <c r="N96" s="33">
        <f t="shared" si="82"/>
        <v>1</v>
      </c>
      <c r="O96" s="33">
        <f t="shared" si="83"/>
        <v>0</v>
      </c>
      <c r="P96" s="33">
        <f t="shared" si="84"/>
        <v>1</v>
      </c>
      <c r="Q96" s="34">
        <f t="shared" si="85"/>
        <v>0</v>
      </c>
      <c r="R96" s="33">
        <f t="shared" si="86"/>
        <v>1</v>
      </c>
      <c r="S96" s="34">
        <f t="shared" si="94"/>
        <v>7000</v>
      </c>
      <c r="T96" s="34">
        <f t="shared" si="87"/>
        <v>1</v>
      </c>
      <c r="U96" s="34">
        <f t="shared" si="88"/>
        <v>0</v>
      </c>
      <c r="V96" s="34">
        <f t="shared" si="89"/>
        <v>1</v>
      </c>
      <c r="W96" s="34" t="str">
        <f t="shared" si="90"/>
        <v>BKN</v>
      </c>
      <c r="X96" s="34">
        <f t="shared" si="91"/>
        <v>1</v>
      </c>
      <c r="Y96" s="34">
        <f t="shared" si="92"/>
        <v>800</v>
      </c>
      <c r="Z96" s="34">
        <f t="shared" si="93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800</v>
      </c>
      <c r="L97" s="1" t="s">
        <v>404</v>
      </c>
      <c r="M97" s="32">
        <f t="shared" si="81"/>
        <v>0</v>
      </c>
      <c r="N97" s="33">
        <f t="shared" si="82"/>
        <v>1</v>
      </c>
      <c r="O97" s="33">
        <f t="shared" si="83"/>
        <v>0</v>
      </c>
      <c r="P97" s="33">
        <f t="shared" si="84"/>
        <v>1</v>
      </c>
      <c r="Q97" s="34">
        <f t="shared" si="85"/>
        <v>0</v>
      </c>
      <c r="R97" s="33">
        <f t="shared" si="86"/>
        <v>1</v>
      </c>
      <c r="S97" s="34">
        <f t="shared" si="94"/>
        <v>8000</v>
      </c>
      <c r="T97" s="34">
        <f t="shared" si="87"/>
        <v>1</v>
      </c>
      <c r="U97" s="34">
        <f t="shared" si="88"/>
        <v>0</v>
      </c>
      <c r="V97" s="34">
        <f t="shared" si="89"/>
        <v>1</v>
      </c>
      <c r="W97" s="34" t="str">
        <f t="shared" si="90"/>
        <v>BKN</v>
      </c>
      <c r="X97" s="34">
        <f t="shared" si="91"/>
        <v>1</v>
      </c>
      <c r="Y97" s="34">
        <f t="shared" si="92"/>
        <v>800</v>
      </c>
      <c r="Z97" s="34">
        <f t="shared" si="93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800</v>
      </c>
      <c r="L98" s="1" t="s">
        <v>394</v>
      </c>
      <c r="M98" s="32">
        <f t="shared" si="81"/>
        <v>190</v>
      </c>
      <c r="N98" s="33">
        <f t="shared" si="82"/>
        <v>1</v>
      </c>
      <c r="O98" s="33">
        <f t="shared" si="83"/>
        <v>2</v>
      </c>
      <c r="P98" s="33">
        <f t="shared" si="84"/>
        <v>1</v>
      </c>
      <c r="Q98" s="34">
        <f t="shared" si="85"/>
        <v>0</v>
      </c>
      <c r="R98" s="33">
        <f t="shared" si="86"/>
        <v>1</v>
      </c>
      <c r="S98" s="34">
        <f t="shared" si="94"/>
        <v>8000</v>
      </c>
      <c r="T98" s="34">
        <f t="shared" si="87"/>
        <v>1</v>
      </c>
      <c r="U98" s="34">
        <f t="shared" si="88"/>
        <v>0</v>
      </c>
      <c r="V98" s="34">
        <f t="shared" si="89"/>
        <v>1</v>
      </c>
      <c r="W98" s="34" t="str">
        <f t="shared" si="90"/>
        <v>BKN</v>
      </c>
      <c r="X98" s="34">
        <f t="shared" si="91"/>
        <v>1</v>
      </c>
      <c r="Y98" s="34">
        <f t="shared" si="92"/>
        <v>900</v>
      </c>
      <c r="Z98" s="34">
        <f t="shared" si="93"/>
        <v>1</v>
      </c>
      <c r="AA98" s="25"/>
      <c r="AB98" s="25"/>
      <c r="AC98" s="25"/>
      <c r="AD98" s="25"/>
      <c r="AE98" s="25"/>
    </row>
    <row r="99" spans="1:31" ht="16.5">
      <c r="A99" s="55">
        <v>13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800</v>
      </c>
      <c r="L99" s="1" t="s">
        <v>396</v>
      </c>
      <c r="M99" s="32">
        <f t="shared" ref="M99:M104" si="95">IF(ISNUMBER(VALUE(FIND("VRB",L99))),999,VALUE(MID(L99,20,3)))</f>
        <v>180</v>
      </c>
      <c r="N99" s="33">
        <f t="shared" ref="N99:N104" si="96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7">VALUE(MID(L99,23,2))</f>
        <v>3</v>
      </c>
      <c r="P99" s="33">
        <f t="shared" ref="P99:P104" si="98">IF(ABS(O99-F99)&lt;11,1,0)</f>
        <v>1</v>
      </c>
      <c r="Q99" s="34">
        <f t="shared" ref="Q99:Q104" si="99">IF(MID(L99,25,1)="G","GUST",0)</f>
        <v>0</v>
      </c>
      <c r="R99" s="33">
        <f t="shared" ref="R99:R104" si="100">IF(G99=Q99,1,0)</f>
        <v>1</v>
      </c>
      <c r="S99" s="34">
        <f t="shared" si="94"/>
        <v>8000</v>
      </c>
      <c r="T99" s="34">
        <f t="shared" ref="T99:T104" si="101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02">IF(AND(IFERROR(FIND("RA",L99),0)&gt;0, IFERROR(FIND("RA",L99),0)&lt;38),"RA",0)</f>
        <v>0</v>
      </c>
      <c r="V99" s="34">
        <f t="shared" ref="V99:V104" si="103">IF(U99=I99,1,0)</f>
        <v>1</v>
      </c>
      <c r="W99" s="34" t="str">
        <f t="shared" ref="W99:W104" si="104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05">IF(OR(AND(OR(J99="SKC",J99="FEW",J99="SCT"),OR(W99="SKC",W99="FEW",W99="SCT")),(AND(OR(J99="BKN",J99="OVC"),OR(W99="BKN",W99="OVC")))),1,0)</f>
        <v>1</v>
      </c>
      <c r="Y99" s="34">
        <f t="shared" ref="Y99:Y104" si="106">IF(ISNUMBER(VALUE(FIND("CAVOK",L99))),9999,IF(ISNUMBER(VALUE(FIND("NSC",L99))),9999,(MID(L99,(FIND(W99,L99)+4),2))*100))</f>
        <v>900</v>
      </c>
      <c r="Z99" s="34">
        <f t="shared" ref="Z99:Z104" si="107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800</v>
      </c>
      <c r="L100" s="1" t="s">
        <v>397</v>
      </c>
      <c r="M100" s="32">
        <f t="shared" si="95"/>
        <v>140</v>
      </c>
      <c r="N100" s="33">
        <f t="shared" si="96"/>
        <v>1</v>
      </c>
      <c r="O100" s="33">
        <f t="shared" si="97"/>
        <v>2</v>
      </c>
      <c r="P100" s="33">
        <f t="shared" si="98"/>
        <v>1</v>
      </c>
      <c r="Q100" s="34">
        <f t="shared" si="99"/>
        <v>0</v>
      </c>
      <c r="R100" s="33">
        <f t="shared" si="100"/>
        <v>1</v>
      </c>
      <c r="S100" s="34">
        <f t="shared" si="94"/>
        <v>8000</v>
      </c>
      <c r="T100" s="34">
        <f t="shared" si="101"/>
        <v>1</v>
      </c>
      <c r="U100" s="34">
        <f t="shared" si="102"/>
        <v>0</v>
      </c>
      <c r="V100" s="34">
        <f t="shared" si="103"/>
        <v>1</v>
      </c>
      <c r="W100" s="34" t="str">
        <f t="shared" si="104"/>
        <v>BKN</v>
      </c>
      <c r="X100" s="34">
        <f t="shared" si="105"/>
        <v>1</v>
      </c>
      <c r="Y100" s="34">
        <f t="shared" si="106"/>
        <v>900</v>
      </c>
      <c r="Z100" s="34">
        <f t="shared" si="107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800</v>
      </c>
      <c r="L101" s="1" t="s">
        <v>398</v>
      </c>
      <c r="M101" s="32">
        <f t="shared" si="95"/>
        <v>120</v>
      </c>
      <c r="N101" s="33">
        <f t="shared" si="96"/>
        <v>1</v>
      </c>
      <c r="O101" s="33">
        <f t="shared" si="97"/>
        <v>4</v>
      </c>
      <c r="P101" s="33">
        <f t="shared" si="98"/>
        <v>1</v>
      </c>
      <c r="Q101" s="34">
        <f t="shared" si="99"/>
        <v>0</v>
      </c>
      <c r="R101" s="33">
        <f t="shared" si="100"/>
        <v>1</v>
      </c>
      <c r="S101" s="34">
        <f t="shared" si="94"/>
        <v>8000</v>
      </c>
      <c r="T101" s="34">
        <f t="shared" si="101"/>
        <v>1</v>
      </c>
      <c r="U101" s="34">
        <f t="shared" si="102"/>
        <v>0</v>
      </c>
      <c r="V101" s="34">
        <f t="shared" si="103"/>
        <v>1</v>
      </c>
      <c r="W101" s="34" t="str">
        <f t="shared" si="104"/>
        <v>BKN</v>
      </c>
      <c r="X101" s="34">
        <f t="shared" si="105"/>
        <v>1</v>
      </c>
      <c r="Y101" s="34">
        <f t="shared" si="106"/>
        <v>900</v>
      </c>
      <c r="Z101" s="34">
        <f t="shared" si="107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40</v>
      </c>
      <c r="D102" s="52"/>
      <c r="E102" s="51">
        <v>170</v>
      </c>
      <c r="F102" s="51">
        <v>3</v>
      </c>
      <c r="G102" s="51">
        <v>0</v>
      </c>
      <c r="H102" s="51">
        <v>4000</v>
      </c>
      <c r="I102" s="51" t="s">
        <v>52</v>
      </c>
      <c r="J102" s="51" t="s">
        <v>51</v>
      </c>
      <c r="K102" s="51">
        <v>800</v>
      </c>
      <c r="L102" s="1" t="s">
        <v>399</v>
      </c>
      <c r="M102" s="32">
        <f t="shared" si="95"/>
        <v>140</v>
      </c>
      <c r="N102" s="33">
        <f t="shared" si="96"/>
        <v>1</v>
      </c>
      <c r="O102" s="33">
        <f t="shared" si="97"/>
        <v>3</v>
      </c>
      <c r="P102" s="33">
        <f t="shared" si="98"/>
        <v>1</v>
      </c>
      <c r="Q102" s="34">
        <f t="shared" si="99"/>
        <v>0</v>
      </c>
      <c r="R102" s="33">
        <f t="shared" si="100"/>
        <v>1</v>
      </c>
      <c r="S102" s="34">
        <f t="shared" si="94"/>
        <v>8000</v>
      </c>
      <c r="T102" s="34">
        <f t="shared" si="101"/>
        <v>0</v>
      </c>
      <c r="U102" s="34">
        <f t="shared" si="102"/>
        <v>0</v>
      </c>
      <c r="V102" s="34">
        <f t="shared" si="103"/>
        <v>0</v>
      </c>
      <c r="W102" s="34" t="str">
        <f t="shared" si="104"/>
        <v>BKN</v>
      </c>
      <c r="X102" s="34">
        <f t="shared" si="105"/>
        <v>0</v>
      </c>
      <c r="Y102" s="34">
        <f t="shared" si="106"/>
        <v>900</v>
      </c>
      <c r="Z102" s="34">
        <f t="shared" si="107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40</v>
      </c>
      <c r="D103" s="52"/>
      <c r="E103" s="51">
        <v>170</v>
      </c>
      <c r="F103" s="51">
        <v>3</v>
      </c>
      <c r="G103" s="51">
        <v>0</v>
      </c>
      <c r="H103" s="51">
        <v>4000</v>
      </c>
      <c r="I103" s="51" t="s">
        <v>52</v>
      </c>
      <c r="J103" s="51" t="s">
        <v>51</v>
      </c>
      <c r="K103" s="51">
        <v>800</v>
      </c>
      <c r="L103" s="1" t="s">
        <v>400</v>
      </c>
      <c r="M103" s="32">
        <f t="shared" si="95"/>
        <v>180</v>
      </c>
      <c r="N103" s="33">
        <f t="shared" si="96"/>
        <v>1</v>
      </c>
      <c r="O103" s="33">
        <f t="shared" si="97"/>
        <v>2</v>
      </c>
      <c r="P103" s="33">
        <f t="shared" si="98"/>
        <v>1</v>
      </c>
      <c r="Q103" s="34">
        <f t="shared" si="99"/>
        <v>0</v>
      </c>
      <c r="R103" s="33">
        <f t="shared" si="100"/>
        <v>1</v>
      </c>
      <c r="S103" s="34">
        <f t="shared" si="94"/>
        <v>8000</v>
      </c>
      <c r="T103" s="34">
        <f t="shared" si="101"/>
        <v>0</v>
      </c>
      <c r="U103" s="34">
        <f t="shared" si="102"/>
        <v>0</v>
      </c>
      <c r="V103" s="34">
        <f t="shared" si="103"/>
        <v>0</v>
      </c>
      <c r="W103" s="34" t="str">
        <f t="shared" si="104"/>
        <v>SCT</v>
      </c>
      <c r="X103" s="34">
        <f t="shared" si="105"/>
        <v>1</v>
      </c>
      <c r="Y103" s="34">
        <f t="shared" si="106"/>
        <v>900</v>
      </c>
      <c r="Z103" s="34">
        <f t="shared" si="107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40</v>
      </c>
      <c r="D104" s="52"/>
      <c r="E104" s="51">
        <v>170</v>
      </c>
      <c r="F104" s="51">
        <v>3</v>
      </c>
      <c r="G104" s="51">
        <v>0</v>
      </c>
      <c r="H104" s="51">
        <v>4000</v>
      </c>
      <c r="I104" s="51" t="s">
        <v>52</v>
      </c>
      <c r="J104" s="51" t="s">
        <v>51</v>
      </c>
      <c r="K104" s="51">
        <v>800</v>
      </c>
      <c r="L104" s="1" t="s">
        <v>401</v>
      </c>
      <c r="M104" s="32">
        <f t="shared" si="95"/>
        <v>270</v>
      </c>
      <c r="N104" s="33">
        <f t="shared" si="96"/>
        <v>1</v>
      </c>
      <c r="O104" s="33">
        <f t="shared" si="97"/>
        <v>3</v>
      </c>
      <c r="P104" s="33">
        <f t="shared" si="98"/>
        <v>1</v>
      </c>
      <c r="Q104" s="34">
        <f t="shared" si="99"/>
        <v>0</v>
      </c>
      <c r="R104" s="33">
        <f t="shared" si="100"/>
        <v>1</v>
      </c>
      <c r="S104" s="34">
        <f t="shared" si="94"/>
        <v>8000</v>
      </c>
      <c r="T104" s="34">
        <f t="shared" si="101"/>
        <v>0</v>
      </c>
      <c r="U104" s="34">
        <f t="shared" si="102"/>
        <v>0</v>
      </c>
      <c r="V104" s="34">
        <f t="shared" si="103"/>
        <v>0</v>
      </c>
      <c r="W104" s="34" t="str">
        <f t="shared" si="104"/>
        <v>SCT</v>
      </c>
      <c r="X104" s="34">
        <f t="shared" si="105"/>
        <v>1</v>
      </c>
      <c r="Y104" s="34">
        <f t="shared" si="106"/>
        <v>900</v>
      </c>
      <c r="Z104" s="34">
        <f t="shared" si="107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9</v>
      </c>
      <c r="U109" s="25"/>
      <c r="V109" s="25">
        <f>SUM(V93:V104)</f>
        <v>9</v>
      </c>
      <c r="W109" s="25"/>
      <c r="X109" s="25">
        <f>SUM(X93:X104)</f>
        <v>11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9</v>
      </c>
      <c r="O110" s="25"/>
      <c r="P110" s="25">
        <f>SUMIF($C93:$C104,"GENERAL",P93:P104)</f>
        <v>9</v>
      </c>
      <c r="Q110" s="25"/>
      <c r="R110" s="25">
        <f>SUMIF($C93:$C104,"GENERAL",R93:R104)</f>
        <v>9</v>
      </c>
      <c r="S110" s="25"/>
      <c r="T110" s="25">
        <f>SUMIF($C93:$C104,"GENERAL",T93:T104)</f>
        <v>9</v>
      </c>
      <c r="U110" s="25"/>
      <c r="V110" s="25">
        <f>SUMIF($C93:$C104,"GENERAL",V93:V104)</f>
        <v>9</v>
      </c>
      <c r="W110" s="25"/>
      <c r="X110" s="25">
        <f>SUMIF($C93:$C104,"GENERAL",X93:X104)</f>
        <v>9</v>
      </c>
      <c r="Y110" s="25"/>
      <c r="Z110" s="25">
        <f>SUMIF($C93:$C104,"GENERAL",Z93:Z104)</f>
        <v>9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3</v>
      </c>
      <c r="M113" s="42">
        <f>SUMIF($C93:$C104,"TEMPO",N93:N104)</f>
        <v>3</v>
      </c>
      <c r="N113" s="42">
        <f>M113</f>
        <v>3</v>
      </c>
      <c r="O113" s="42">
        <f>SUMIF($C93:$C104,"TEMPO",P93:P104)</f>
        <v>3</v>
      </c>
      <c r="P113" s="42">
        <f>O113</f>
        <v>3</v>
      </c>
      <c r="Q113" s="42">
        <f>SUMIF($C93:$C104,"TEMPO",R93:R104)</f>
        <v>3</v>
      </c>
      <c r="R113" s="42">
        <f>Q113</f>
        <v>3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2</v>
      </c>
      <c r="X113" s="42">
        <f>W113</f>
        <v>2</v>
      </c>
      <c r="Y113" s="42">
        <f>SUMIF($C93:$C104,"TEMPO",Z93:Z104)</f>
        <v>3</v>
      </c>
      <c r="Z113" s="42">
        <f>Y113</f>
        <v>3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75</v>
      </c>
      <c r="U114" s="38"/>
      <c r="V114" s="38">
        <f>(SUM(V110:V113)/COUNTA(V93:V104))*100</f>
        <v>75</v>
      </c>
      <c r="W114" s="38"/>
      <c r="X114" s="38">
        <f>(SUM(X110:X113)/COUNTA(X93:X104))*100</f>
        <v>91.666666666666657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803D-F025-464C-8873-C3CE5AEEA147}">
  <sheetPr>
    <tabColor theme="0"/>
  </sheetPr>
  <dimension ref="A1:AE115"/>
  <sheetViews>
    <sheetView topLeftCell="A97" zoomScale="85" zoomScaleNormal="85" workbookViewId="0">
      <selection activeCell="K76" sqref="K76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377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13</v>
      </c>
      <c r="B7" s="28">
        <v>0</v>
      </c>
      <c r="C7" s="29" t="s">
        <v>39</v>
      </c>
      <c r="D7" s="29"/>
      <c r="E7" s="29">
        <v>20</v>
      </c>
      <c r="F7" s="29">
        <v>3</v>
      </c>
      <c r="G7" s="29">
        <v>0</v>
      </c>
      <c r="H7" s="29">
        <v>8000</v>
      </c>
      <c r="I7" s="29">
        <v>0</v>
      </c>
      <c r="J7" s="29" t="s">
        <v>58</v>
      </c>
      <c r="K7" s="29">
        <v>800</v>
      </c>
      <c r="L7" s="1" t="s">
        <v>396</v>
      </c>
      <c r="M7" s="32">
        <f t="shared" ref="M7:M14" si="0">IF(ISNUMBER(VALUE(FIND("VRB",L7))),999,VALUE(MID(L7,20,3)))</f>
        <v>180</v>
      </c>
      <c r="N7" s="33">
        <f t="shared" ref="N7:N14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4" si="2">VALUE(MID(L7,23,2))</f>
        <v>3</v>
      </c>
      <c r="P7" s="33">
        <f t="shared" ref="P7:P14" si="3">IF(ABS(O7-F7)&lt;11,1,0)</f>
        <v>1</v>
      </c>
      <c r="Q7" s="34">
        <f t="shared" ref="Q7:Q14" si="4">IF(MID(L7,25,1)="G","GUST",0)</f>
        <v>0</v>
      </c>
      <c r="R7" s="33">
        <f t="shared" ref="R7:R14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4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2" si="10">IF(OR(AND(OR(J7="SKC",J7="FEW",J7="SCT"),OR(W7="SKC",W7="FEW",W7="SCT")),(AND(OR(J7="BKN",J7="OVC"),OR(W7="BKN",W7="OVC")))),1,0)</f>
        <v>1</v>
      </c>
      <c r="Y7" s="34">
        <f t="shared" ref="Y7:Y12" si="11">IF(ISNUMBER(VALUE(FIND("CAVOK",L7))),9999,IF(ISNUMBER(VALUE(FIND("NSC",L7))),9999,(MID(L7,(FIND(W7,L7)+4),2))*100))</f>
        <v>900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20</v>
      </c>
      <c r="F8" s="29">
        <v>3</v>
      </c>
      <c r="G8" s="29">
        <v>0</v>
      </c>
      <c r="H8" s="29">
        <v>8000</v>
      </c>
      <c r="I8" s="29">
        <v>0</v>
      </c>
      <c r="J8" s="29" t="s">
        <v>58</v>
      </c>
      <c r="K8" s="29">
        <v>800</v>
      </c>
      <c r="L8" s="1" t="s">
        <v>397</v>
      </c>
      <c r="M8" s="32">
        <f t="shared" si="0"/>
        <v>140</v>
      </c>
      <c r="N8" s="33">
        <f t="shared" si="1"/>
        <v>1</v>
      </c>
      <c r="O8" s="33">
        <f t="shared" si="2"/>
        <v>2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20</v>
      </c>
      <c r="F9" s="29">
        <v>3</v>
      </c>
      <c r="G9" s="29">
        <v>0</v>
      </c>
      <c r="H9" s="29">
        <v>8000</v>
      </c>
      <c r="I9" s="29">
        <v>0</v>
      </c>
      <c r="J9" s="29" t="s">
        <v>58</v>
      </c>
      <c r="K9" s="29">
        <v>800</v>
      </c>
      <c r="L9" s="1" t="s">
        <v>398</v>
      </c>
      <c r="M9" s="32">
        <f t="shared" si="0"/>
        <v>120</v>
      </c>
      <c r="N9" s="33">
        <f t="shared" si="1"/>
        <v>1</v>
      </c>
      <c r="O9" s="33">
        <f t="shared" si="2"/>
        <v>4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20</v>
      </c>
      <c r="F10" s="29">
        <v>3</v>
      </c>
      <c r="G10" s="29">
        <v>0</v>
      </c>
      <c r="H10" s="29">
        <v>8000</v>
      </c>
      <c r="I10" s="29">
        <v>0</v>
      </c>
      <c r="J10" s="29" t="s">
        <v>58</v>
      </c>
      <c r="K10" s="29">
        <v>800</v>
      </c>
      <c r="L10" s="1" t="s">
        <v>399</v>
      </c>
      <c r="M10" s="32">
        <f t="shared" si="0"/>
        <v>140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20</v>
      </c>
      <c r="F11" s="29">
        <v>3</v>
      </c>
      <c r="G11" s="29">
        <v>0</v>
      </c>
      <c r="H11" s="29">
        <v>8000</v>
      </c>
      <c r="I11" s="29">
        <v>0</v>
      </c>
      <c r="J11" s="29" t="s">
        <v>58</v>
      </c>
      <c r="K11" s="29">
        <v>800</v>
      </c>
      <c r="L11" s="1" t="s">
        <v>400</v>
      </c>
      <c r="M11" s="32">
        <f t="shared" si="0"/>
        <v>180</v>
      </c>
      <c r="N11" s="33">
        <f t="shared" si="1"/>
        <v>1</v>
      </c>
      <c r="O11" s="33">
        <f t="shared" si="2"/>
        <v>2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SCT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20</v>
      </c>
      <c r="F12" s="29">
        <v>3</v>
      </c>
      <c r="G12" s="29">
        <v>0</v>
      </c>
      <c r="H12" s="29">
        <v>8000</v>
      </c>
      <c r="I12" s="29">
        <v>0</v>
      </c>
      <c r="J12" s="29" t="s">
        <v>58</v>
      </c>
      <c r="K12" s="29">
        <v>800</v>
      </c>
      <c r="L12" s="1" t="s">
        <v>401</v>
      </c>
      <c r="M12" s="32">
        <f t="shared" si="0"/>
        <v>270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SCT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20</v>
      </c>
      <c r="F13" s="29">
        <v>3</v>
      </c>
      <c r="G13" s="29">
        <v>0</v>
      </c>
      <c r="H13" s="29">
        <v>8000</v>
      </c>
      <c r="I13" s="29">
        <v>0</v>
      </c>
      <c r="J13" s="29" t="s">
        <v>58</v>
      </c>
      <c r="K13" s="29">
        <v>800</v>
      </c>
      <c r="L13" s="1" t="s">
        <v>402</v>
      </c>
      <c r="M13" s="32">
        <f t="shared" si="0"/>
        <v>180</v>
      </c>
      <c r="N13" s="33">
        <f t="shared" si="1"/>
        <v>1</v>
      </c>
      <c r="O13" s="33">
        <f t="shared" si="2"/>
        <v>3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ref="W13:W18" si="14"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SCT</v>
      </c>
      <c r="X13" s="34">
        <f t="shared" ref="X13:X18" si="15">IF(OR(AND(OR(J13="SKC",J13="FEW",J13="SCT"),OR(W13="SKC",W13="FEW",W13="SCT")),(AND(OR(J13="BKN",J13="OVC"),OR(W13="BKN",W13="OVC")))),1,0)</f>
        <v>0</v>
      </c>
      <c r="Y13" s="34">
        <f t="shared" ref="Y13:Y18" si="16">IF(ISNUMBER(VALUE(FIND("CAVOK",L13))),9999,IF(ISNUMBER(VALUE(FIND("NSC",L13))),9999,(MID(L13,(FIND(W13,L13)+4),2))*100))</f>
        <v>900</v>
      </c>
      <c r="Z13" s="34">
        <f t="shared" ref="Z13:Z18" si="17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20</v>
      </c>
      <c r="F14" s="29">
        <v>3</v>
      </c>
      <c r="G14" s="29">
        <v>0</v>
      </c>
      <c r="H14" s="29">
        <v>8000</v>
      </c>
      <c r="I14" s="29">
        <v>0</v>
      </c>
      <c r="J14" s="29" t="s">
        <v>58</v>
      </c>
      <c r="K14" s="29">
        <v>800</v>
      </c>
      <c r="L14" s="1" t="s">
        <v>403</v>
      </c>
      <c r="M14" s="32">
        <f t="shared" si="0"/>
        <v>160</v>
      </c>
      <c r="N14" s="33">
        <f t="shared" si="1"/>
        <v>1</v>
      </c>
      <c r="O14" s="33">
        <f t="shared" si="2"/>
        <v>3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14"/>
        <v>SCT</v>
      </c>
      <c r="X14" s="34">
        <f t="shared" si="15"/>
        <v>0</v>
      </c>
      <c r="Y14" s="34">
        <f t="shared" si="16"/>
        <v>900</v>
      </c>
      <c r="Z14" s="34">
        <f t="shared" si="17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20</v>
      </c>
      <c r="F15" s="29">
        <v>3</v>
      </c>
      <c r="G15" s="29">
        <v>0</v>
      </c>
      <c r="H15" s="29">
        <v>8000</v>
      </c>
      <c r="I15" s="29">
        <v>0</v>
      </c>
      <c r="J15" s="29" t="s">
        <v>58</v>
      </c>
      <c r="K15" s="29">
        <v>800</v>
      </c>
      <c r="L15" s="61" t="s">
        <v>405</v>
      </c>
      <c r="M15" s="32">
        <f t="shared" ref="M15:M18" si="18">IF(ISNUMBER(VALUE(FIND("VRB",L15))),999,VALUE(MID(L15,20,3)))</f>
        <v>150</v>
      </c>
      <c r="N15" s="33">
        <f t="shared" ref="N15:N18" si="19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8" si="20">VALUE(MID(L15,23,2))</f>
        <v>6</v>
      </c>
      <c r="P15" s="33">
        <f t="shared" ref="P15:P18" si="21">IF(ABS(O15-F15)&lt;11,1,0)</f>
        <v>1</v>
      </c>
      <c r="Q15" s="34">
        <f t="shared" ref="Q15:Q18" si="22">IF(MID(L15,25,1)="G","GUST",0)</f>
        <v>0</v>
      </c>
      <c r="R15" s="33">
        <f t="shared" ref="R15:R18" si="23">IF(G15=Q15,1,0)</f>
        <v>1</v>
      </c>
      <c r="S15" s="34">
        <f t="shared" si="13"/>
        <v>8000</v>
      </c>
      <c r="T15" s="34">
        <f t="shared" si="6"/>
        <v>1</v>
      </c>
      <c r="U15" s="34">
        <f>IF(AND(IFERROR(FIND("RA",#REF!),0)&gt;0, IFERROR(FIND("RA",#REF!),0)&lt;38),"RA",0)</f>
        <v>0</v>
      </c>
      <c r="V15" s="34">
        <f t="shared" si="8"/>
        <v>1</v>
      </c>
      <c r="W15" s="34" t="str">
        <f t="shared" si="14"/>
        <v>SCT</v>
      </c>
      <c r="X15" s="34">
        <f t="shared" si="15"/>
        <v>0</v>
      </c>
      <c r="Y15" s="34">
        <f t="shared" si="16"/>
        <v>900</v>
      </c>
      <c r="Z15" s="34">
        <f t="shared" si="17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20</v>
      </c>
      <c r="F16" s="29">
        <v>3</v>
      </c>
      <c r="G16" s="29">
        <v>0</v>
      </c>
      <c r="H16" s="29">
        <v>8000</v>
      </c>
      <c r="I16" s="29">
        <v>0</v>
      </c>
      <c r="J16" s="29" t="s">
        <v>58</v>
      </c>
      <c r="K16" s="29">
        <v>800</v>
      </c>
      <c r="L16" s="29" t="s">
        <v>406</v>
      </c>
      <c r="M16" s="32">
        <f t="shared" si="18"/>
        <v>130</v>
      </c>
      <c r="N16" s="33">
        <f t="shared" si="19"/>
        <v>1</v>
      </c>
      <c r="O16" s="33">
        <f t="shared" si="20"/>
        <v>4</v>
      </c>
      <c r="P16" s="33">
        <f t="shared" si="21"/>
        <v>1</v>
      </c>
      <c r="Q16" s="34">
        <f t="shared" si="22"/>
        <v>0</v>
      </c>
      <c r="R16" s="33">
        <f t="shared" si="23"/>
        <v>1</v>
      </c>
      <c r="S16" s="34">
        <f t="shared" si="13"/>
        <v>8000</v>
      </c>
      <c r="T16" s="34">
        <f t="shared" si="6"/>
        <v>1</v>
      </c>
      <c r="U16" s="34">
        <f>IF(AND(IFERROR(FIND("RA",#REF!),0)&gt;0, IFERROR(FIND("RA",#REF!),0)&lt;38),"RA",0)</f>
        <v>0</v>
      </c>
      <c r="V16" s="34">
        <f t="shared" si="8"/>
        <v>1</v>
      </c>
      <c r="W16" s="34" t="str">
        <f t="shared" si="14"/>
        <v>BKN</v>
      </c>
      <c r="X16" s="34">
        <f t="shared" si="15"/>
        <v>1</v>
      </c>
      <c r="Y16" s="34">
        <f t="shared" si="16"/>
        <v>900</v>
      </c>
      <c r="Z16" s="34">
        <f t="shared" si="17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20</v>
      </c>
      <c r="F17" s="29">
        <v>3</v>
      </c>
      <c r="G17" s="29">
        <v>0</v>
      </c>
      <c r="H17" s="29">
        <v>8000</v>
      </c>
      <c r="I17" s="29">
        <v>0</v>
      </c>
      <c r="J17" s="29" t="s">
        <v>58</v>
      </c>
      <c r="K17" s="29">
        <v>800</v>
      </c>
      <c r="L17" s="29" t="s">
        <v>407</v>
      </c>
      <c r="M17" s="32">
        <f t="shared" si="18"/>
        <v>70</v>
      </c>
      <c r="N17" s="33">
        <f t="shared" si="19"/>
        <v>1</v>
      </c>
      <c r="O17" s="33">
        <f t="shared" si="20"/>
        <v>2</v>
      </c>
      <c r="P17" s="33">
        <f t="shared" si="21"/>
        <v>1</v>
      </c>
      <c r="Q17" s="34">
        <f t="shared" si="22"/>
        <v>0</v>
      </c>
      <c r="R17" s="33">
        <f t="shared" si="23"/>
        <v>1</v>
      </c>
      <c r="S17" s="34">
        <f t="shared" si="13"/>
        <v>8000</v>
      </c>
      <c r="T17" s="34">
        <f t="shared" si="6"/>
        <v>1</v>
      </c>
      <c r="U17" s="34">
        <f>IF(AND(IFERROR(FIND("RA",#REF!),0)&gt;0, IFERROR(FIND("RA",#REF!),0)&lt;38),"RA",0)</f>
        <v>0</v>
      </c>
      <c r="V17" s="34">
        <f t="shared" si="8"/>
        <v>1</v>
      </c>
      <c r="W17" s="34" t="str">
        <f t="shared" si="14"/>
        <v>BKN</v>
      </c>
      <c r="X17" s="34">
        <f t="shared" si="15"/>
        <v>1</v>
      </c>
      <c r="Y17" s="34">
        <f t="shared" si="16"/>
        <v>900</v>
      </c>
      <c r="Z17" s="34">
        <f t="shared" si="17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20</v>
      </c>
      <c r="F18" s="29">
        <v>3</v>
      </c>
      <c r="G18" s="29">
        <v>0</v>
      </c>
      <c r="H18" s="29">
        <v>8000</v>
      </c>
      <c r="I18" s="29">
        <v>0</v>
      </c>
      <c r="J18" s="29" t="s">
        <v>58</v>
      </c>
      <c r="K18" s="29">
        <v>800</v>
      </c>
      <c r="L18" s="29" t="s">
        <v>408</v>
      </c>
      <c r="M18" s="32">
        <f t="shared" si="18"/>
        <v>240</v>
      </c>
      <c r="N18" s="33">
        <f t="shared" si="19"/>
        <v>1</v>
      </c>
      <c r="O18" s="33">
        <f t="shared" si="20"/>
        <v>6</v>
      </c>
      <c r="P18" s="33">
        <f t="shared" si="21"/>
        <v>1</v>
      </c>
      <c r="Q18" s="34">
        <f t="shared" si="22"/>
        <v>0</v>
      </c>
      <c r="R18" s="33">
        <f t="shared" si="23"/>
        <v>1</v>
      </c>
      <c r="S18" s="34">
        <f t="shared" si="13"/>
        <v>1000</v>
      </c>
      <c r="T18" s="34">
        <f t="shared" si="6"/>
        <v>0</v>
      </c>
      <c r="U18" s="34">
        <f>IF(AND(IFERROR(FIND("RA",#REF!),0)&gt;0, IFERROR(FIND("RA",#REF!),0)&lt;38),"RA",0)</f>
        <v>0</v>
      </c>
      <c r="V18" s="34">
        <f t="shared" si="8"/>
        <v>1</v>
      </c>
      <c r="W18" s="34" t="str">
        <f t="shared" si="14"/>
        <v>FEW</v>
      </c>
      <c r="X18" s="34">
        <f t="shared" si="15"/>
        <v>0</v>
      </c>
      <c r="Y18" s="34">
        <f t="shared" si="16"/>
        <v>800</v>
      </c>
      <c r="Z18" s="34">
        <f t="shared" si="17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 ht="20.25">
      <c r="A21" s="25"/>
      <c r="B21" s="25"/>
      <c r="C21" s="41"/>
      <c r="D21" s="56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11</v>
      </c>
      <c r="U23" s="25"/>
      <c r="V23" s="25">
        <f>SUM(V7:V18)</f>
        <v>12</v>
      </c>
      <c r="W23" s="25"/>
      <c r="X23" s="25">
        <f>SUM(X7:X18)</f>
        <v>6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11</v>
      </c>
      <c r="U24" s="25"/>
      <c r="V24" s="25">
        <f>SUMIF($C7:$C18,"GENERAL",V7:V18)</f>
        <v>12</v>
      </c>
      <c r="W24" s="25"/>
      <c r="X24" s="25">
        <f>SUMIF($C7:$C18,"GENERAL",X7:X18)</f>
        <v>6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91.666666666666657</v>
      </c>
      <c r="U28" s="38"/>
      <c r="V28" s="38">
        <f>(SUM(V24:V27)/COUNTA(V7:V18))*100</f>
        <v>100</v>
      </c>
      <c r="W28" s="38"/>
      <c r="X28" s="38">
        <f>(SUM(X24:X27)/COUNTA(X7:X18))*100</f>
        <v>50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378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13</v>
      </c>
      <c r="B36" s="28">
        <v>0.25</v>
      </c>
      <c r="C36" s="29" t="s">
        <v>39</v>
      </c>
      <c r="D36" s="30"/>
      <c r="E36" s="29">
        <v>160</v>
      </c>
      <c r="F36" s="29">
        <v>3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1" t="s">
        <v>402</v>
      </c>
      <c r="M36" s="32">
        <f t="shared" ref="M36:M41" si="24">IF(ISNUMBER(VALUE(FIND("VRB",L36))),999,VALUE(MID(L36,20,3)))</f>
        <v>180</v>
      </c>
      <c r="N36" s="33">
        <f t="shared" ref="N36:N41" si="2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6">VALUE(MID(L36,23,2))</f>
        <v>3</v>
      </c>
      <c r="P36" s="33">
        <f t="shared" ref="P36:P41" si="27">IF(ABS(O36-F36)&lt;11,1,0)</f>
        <v>1</v>
      </c>
      <c r="Q36" s="34">
        <f t="shared" ref="Q36:Q41" si="28">IF(MID(L36,25,1)="G","GUST",0)</f>
        <v>0</v>
      </c>
      <c r="R36" s="33">
        <f t="shared" ref="R36:R41" si="2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3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1">IF(AND(IFERROR(FIND("RA",L36),0)&gt;0, IFERROR(FIND("RA",L36),0)&lt;38),"RA",0)</f>
        <v>0</v>
      </c>
      <c r="V36" s="34">
        <f t="shared" ref="V36:V47" si="32">IF(U36=I36,1,0)</f>
        <v>1</v>
      </c>
      <c r="W36" s="34" t="str">
        <f t="shared" ref="W36:W41" si="3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SCT</v>
      </c>
      <c r="X36" s="34">
        <f t="shared" ref="X36:X41" si="34">IF(OR(AND(OR(J36="SKC",J36="FEW",J36="SCT"),OR(W36="SKC",W36="FEW",W36="SCT")),(AND(OR(J36="BKN",J36="OVC"),OR(W36="BKN",W36="OVC")))),1,0)</f>
        <v>0</v>
      </c>
      <c r="Y36" s="34">
        <f t="shared" ref="Y36:Y41" si="35">IF(ISNUMBER(VALUE(FIND("CAVOK",L36))),9999,IF(ISNUMBER(VALUE(FIND("NSC",L36))),9999,(MID(L36,(FIND(W36,L36)+4),2))*100))</f>
        <v>900</v>
      </c>
      <c r="Z36" s="34">
        <f t="shared" ref="Z36:Z41" si="3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160</v>
      </c>
      <c r="F37" s="29">
        <v>3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1" t="s">
        <v>403</v>
      </c>
      <c r="M37" s="32">
        <f t="shared" si="24"/>
        <v>160</v>
      </c>
      <c r="N37" s="33">
        <f t="shared" si="25"/>
        <v>1</v>
      </c>
      <c r="O37" s="33">
        <f t="shared" si="26"/>
        <v>3</v>
      </c>
      <c r="P37" s="33">
        <f t="shared" si="27"/>
        <v>1</v>
      </c>
      <c r="Q37" s="34">
        <f t="shared" si="28"/>
        <v>0</v>
      </c>
      <c r="R37" s="33">
        <f t="shared" si="29"/>
        <v>1</v>
      </c>
      <c r="S37" s="34">
        <f t="shared" ref="S37:S47" si="3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0"/>
        <v>1</v>
      </c>
      <c r="U37" s="34">
        <f t="shared" si="31"/>
        <v>0</v>
      </c>
      <c r="V37" s="34">
        <f t="shared" si="32"/>
        <v>1</v>
      </c>
      <c r="W37" s="34" t="str">
        <f t="shared" si="33"/>
        <v>SCT</v>
      </c>
      <c r="X37" s="34">
        <f t="shared" si="34"/>
        <v>0</v>
      </c>
      <c r="Y37" s="34">
        <f t="shared" si="35"/>
        <v>900</v>
      </c>
      <c r="Z37" s="34">
        <f t="shared" si="3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160</v>
      </c>
      <c r="F38" s="29">
        <v>3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s="29" t="s">
        <v>405</v>
      </c>
      <c r="M38" s="32">
        <f t="shared" si="24"/>
        <v>150</v>
      </c>
      <c r="N38" s="33">
        <f t="shared" si="25"/>
        <v>1</v>
      </c>
      <c r="O38" s="33">
        <f t="shared" si="26"/>
        <v>6</v>
      </c>
      <c r="P38" s="33">
        <f t="shared" si="27"/>
        <v>1</v>
      </c>
      <c r="Q38" s="34">
        <f t="shared" si="28"/>
        <v>0</v>
      </c>
      <c r="R38" s="33">
        <f t="shared" si="29"/>
        <v>1</v>
      </c>
      <c r="S38" s="34">
        <f t="shared" si="37"/>
        <v>8000</v>
      </c>
      <c r="T38" s="34">
        <f t="shared" si="30"/>
        <v>1</v>
      </c>
      <c r="U38" s="34">
        <f t="shared" si="31"/>
        <v>0</v>
      </c>
      <c r="V38" s="34">
        <f t="shared" si="32"/>
        <v>1</v>
      </c>
      <c r="W38" s="34" t="str">
        <f t="shared" si="33"/>
        <v>SCT</v>
      </c>
      <c r="X38" s="34">
        <f t="shared" si="34"/>
        <v>0</v>
      </c>
      <c r="Y38" s="34">
        <f t="shared" si="35"/>
        <v>900</v>
      </c>
      <c r="Z38" s="34">
        <f t="shared" si="3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160</v>
      </c>
      <c r="F39" s="29">
        <v>3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s="29" t="s">
        <v>406</v>
      </c>
      <c r="M39" s="32">
        <f t="shared" si="24"/>
        <v>130</v>
      </c>
      <c r="N39" s="33">
        <f t="shared" si="25"/>
        <v>1</v>
      </c>
      <c r="O39" s="33">
        <f t="shared" si="26"/>
        <v>4</v>
      </c>
      <c r="P39" s="33">
        <f t="shared" si="27"/>
        <v>1</v>
      </c>
      <c r="Q39" s="34">
        <f t="shared" si="28"/>
        <v>0</v>
      </c>
      <c r="R39" s="33">
        <f t="shared" si="29"/>
        <v>1</v>
      </c>
      <c r="S39" s="34">
        <f t="shared" si="37"/>
        <v>8000</v>
      </c>
      <c r="T39" s="34">
        <f t="shared" si="30"/>
        <v>1</v>
      </c>
      <c r="U39" s="34">
        <f t="shared" si="31"/>
        <v>0</v>
      </c>
      <c r="V39" s="34">
        <f t="shared" si="32"/>
        <v>1</v>
      </c>
      <c r="W39" s="34" t="str">
        <f t="shared" si="33"/>
        <v>BKN</v>
      </c>
      <c r="X39" s="34">
        <f t="shared" si="34"/>
        <v>1</v>
      </c>
      <c r="Y39" s="34">
        <f t="shared" si="35"/>
        <v>900</v>
      </c>
      <c r="Z39" s="34">
        <f t="shared" si="3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160</v>
      </c>
      <c r="F40" s="29">
        <v>3</v>
      </c>
      <c r="G40" s="29">
        <v>0</v>
      </c>
      <c r="H40" s="29">
        <v>8000</v>
      </c>
      <c r="I40" s="29">
        <v>0</v>
      </c>
      <c r="J40" s="29" t="s">
        <v>58</v>
      </c>
      <c r="K40" s="29">
        <v>900</v>
      </c>
      <c r="L40" s="29" t="s">
        <v>407</v>
      </c>
      <c r="M40" s="32">
        <f t="shared" si="24"/>
        <v>70</v>
      </c>
      <c r="N40" s="33">
        <f t="shared" si="25"/>
        <v>1</v>
      </c>
      <c r="O40" s="33">
        <f t="shared" si="26"/>
        <v>2</v>
      </c>
      <c r="P40" s="33">
        <f t="shared" si="27"/>
        <v>1</v>
      </c>
      <c r="Q40" s="34">
        <f t="shared" si="28"/>
        <v>0</v>
      </c>
      <c r="R40" s="33">
        <f t="shared" si="29"/>
        <v>1</v>
      </c>
      <c r="S40" s="34">
        <f t="shared" si="37"/>
        <v>8000</v>
      </c>
      <c r="T40" s="34">
        <f t="shared" si="30"/>
        <v>1</v>
      </c>
      <c r="U40" s="34">
        <f t="shared" si="31"/>
        <v>0</v>
      </c>
      <c r="V40" s="34">
        <f t="shared" si="32"/>
        <v>1</v>
      </c>
      <c r="W40" s="34" t="str">
        <f t="shared" si="33"/>
        <v>BKN</v>
      </c>
      <c r="X40" s="34">
        <f t="shared" si="34"/>
        <v>1</v>
      </c>
      <c r="Y40" s="34">
        <f t="shared" si="35"/>
        <v>900</v>
      </c>
      <c r="Z40" s="34">
        <f t="shared" si="3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160</v>
      </c>
      <c r="F41" s="29">
        <v>3</v>
      </c>
      <c r="G41" s="29">
        <v>0</v>
      </c>
      <c r="H41" s="29">
        <v>8000</v>
      </c>
      <c r="I41" s="29">
        <v>0</v>
      </c>
      <c r="J41" s="29" t="s">
        <v>58</v>
      </c>
      <c r="K41" s="29">
        <v>900</v>
      </c>
      <c r="L41" s="29" t="s">
        <v>408</v>
      </c>
      <c r="M41" s="32">
        <f t="shared" si="24"/>
        <v>240</v>
      </c>
      <c r="N41" s="33">
        <f t="shared" si="25"/>
        <v>1</v>
      </c>
      <c r="O41" s="33">
        <f t="shared" si="26"/>
        <v>6</v>
      </c>
      <c r="P41" s="33">
        <f t="shared" si="27"/>
        <v>1</v>
      </c>
      <c r="Q41" s="34">
        <f t="shared" si="28"/>
        <v>0</v>
      </c>
      <c r="R41" s="33">
        <f t="shared" si="29"/>
        <v>1</v>
      </c>
      <c r="S41" s="34">
        <f t="shared" si="37"/>
        <v>1000</v>
      </c>
      <c r="T41" s="34">
        <f t="shared" si="30"/>
        <v>0</v>
      </c>
      <c r="U41" s="34" t="str">
        <f t="shared" si="31"/>
        <v>RA</v>
      </c>
      <c r="V41" s="34">
        <f t="shared" si="32"/>
        <v>0</v>
      </c>
      <c r="W41" s="34" t="str">
        <f t="shared" si="33"/>
        <v>FEW</v>
      </c>
      <c r="X41" s="34">
        <f t="shared" si="34"/>
        <v>0</v>
      </c>
      <c r="Y41" s="34">
        <f t="shared" si="35"/>
        <v>800</v>
      </c>
      <c r="Z41" s="34">
        <f t="shared" si="3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160</v>
      </c>
      <c r="F42" s="29">
        <v>3</v>
      </c>
      <c r="G42" s="29">
        <v>0</v>
      </c>
      <c r="H42" s="29">
        <v>8000</v>
      </c>
      <c r="I42" s="29">
        <v>0</v>
      </c>
      <c r="J42" s="29" t="s">
        <v>58</v>
      </c>
      <c r="K42" s="29">
        <v>900</v>
      </c>
      <c r="L42" s="29" t="s">
        <v>409</v>
      </c>
      <c r="M42" s="32">
        <f t="shared" ref="M42:M47" si="38">IF(ISNUMBER(VALUE(FIND("VRB",L42))),999,VALUE(MID(L42,20,3)))</f>
        <v>70</v>
      </c>
      <c r="N42" s="33">
        <f t="shared" ref="N42:N47" si="39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0">VALUE(MID(L42,23,2))</f>
        <v>5</v>
      </c>
      <c r="P42" s="33">
        <f t="shared" ref="P42:P47" si="41">IF(ABS(O42-F42)&lt;11,1,0)</f>
        <v>1</v>
      </c>
      <c r="Q42" s="34">
        <f t="shared" ref="Q42:Q47" si="42">IF(MID(L42,25,1)="G","GUST",0)</f>
        <v>0</v>
      </c>
      <c r="R42" s="33">
        <f t="shared" ref="R42:R47" si="43">IF(G42=Q42,1,0)</f>
        <v>1</v>
      </c>
      <c r="S42" s="34">
        <f t="shared" si="37"/>
        <v>900</v>
      </c>
      <c r="T42" s="34">
        <f t="shared" si="30"/>
        <v>0</v>
      </c>
      <c r="U42" s="34">
        <f>IF(AND(IFERROR(FIND("RA",#REF!),0)&gt;0, IFERROR(FIND("RA",#REF!),0)&lt;38),"RA",0)</f>
        <v>0</v>
      </c>
      <c r="V42" s="34">
        <f t="shared" si="32"/>
        <v>1</v>
      </c>
      <c r="W42" s="34" t="str">
        <f t="shared" ref="W42:W47" si="44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FEW</v>
      </c>
      <c r="X42" s="34">
        <f t="shared" ref="X42:X47" si="45">IF(OR(AND(OR(J42="SKC",J42="FEW",J42="SCT"),OR(W42="SKC",W42="FEW",W42="SCT")),(AND(OR(J42="BKN",J42="OVC"),OR(W42="BKN",W42="OVC")))),1,0)</f>
        <v>0</v>
      </c>
      <c r="Y42" s="34">
        <f t="shared" ref="Y42:Y47" si="46">IF(ISNUMBER(VALUE(FIND("CAVOK",L42))),9999,IF(ISNUMBER(VALUE(FIND("NSC",L42))),9999,(MID(L42,(FIND(W42,L42)+4),2))*100))</f>
        <v>800</v>
      </c>
      <c r="Z42" s="34">
        <f t="shared" ref="Z42:Z47" si="47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160</v>
      </c>
      <c r="F43" s="29">
        <v>3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s="29" t="s">
        <v>410</v>
      </c>
      <c r="M43" s="32">
        <f t="shared" si="38"/>
        <v>70</v>
      </c>
      <c r="N43" s="33">
        <f t="shared" si="39"/>
        <v>1</v>
      </c>
      <c r="O43" s="33">
        <f t="shared" si="40"/>
        <v>4</v>
      </c>
      <c r="P43" s="33">
        <f t="shared" si="41"/>
        <v>1</v>
      </c>
      <c r="Q43" s="34">
        <f t="shared" si="42"/>
        <v>0</v>
      </c>
      <c r="R43" s="33">
        <f t="shared" si="43"/>
        <v>1</v>
      </c>
      <c r="S43" s="34">
        <f t="shared" si="37"/>
        <v>5000</v>
      </c>
      <c r="T43" s="34">
        <f t="shared" si="30"/>
        <v>1</v>
      </c>
      <c r="U43" s="34">
        <f>IF(AND(IFERROR(FIND("RA",#REF!),0)&gt;0, IFERROR(FIND("RA",#REF!),0)&lt;38),"RA",0)</f>
        <v>0</v>
      </c>
      <c r="V43" s="34">
        <f t="shared" si="32"/>
        <v>1</v>
      </c>
      <c r="W43" s="34" t="str">
        <f t="shared" si="44"/>
        <v>FEW</v>
      </c>
      <c r="X43" s="34">
        <f t="shared" si="45"/>
        <v>0</v>
      </c>
      <c r="Y43" s="34">
        <f t="shared" si="46"/>
        <v>800</v>
      </c>
      <c r="Z43" s="34">
        <f t="shared" si="47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160</v>
      </c>
      <c r="F44" s="29">
        <v>3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s="29" t="s">
        <v>411</v>
      </c>
      <c r="M44" s="32">
        <f t="shared" si="38"/>
        <v>120</v>
      </c>
      <c r="N44" s="33">
        <f t="shared" si="39"/>
        <v>1</v>
      </c>
      <c r="O44" s="33">
        <f t="shared" si="40"/>
        <v>2</v>
      </c>
      <c r="P44" s="33">
        <f t="shared" si="41"/>
        <v>1</v>
      </c>
      <c r="Q44" s="34">
        <f t="shared" si="42"/>
        <v>0</v>
      </c>
      <c r="R44" s="33">
        <f t="shared" si="43"/>
        <v>1</v>
      </c>
      <c r="S44" s="34">
        <f t="shared" si="37"/>
        <v>5000</v>
      </c>
      <c r="T44" s="34">
        <f t="shared" si="30"/>
        <v>1</v>
      </c>
      <c r="U44" s="34">
        <f>IF(AND(IFERROR(FIND("RA",#REF!),0)&gt;0, IFERROR(FIND("RA",#REF!),0)&lt;38),"RA",0)</f>
        <v>0</v>
      </c>
      <c r="V44" s="34">
        <f t="shared" si="32"/>
        <v>1</v>
      </c>
      <c r="W44" s="34" t="str">
        <f t="shared" si="44"/>
        <v>FEW</v>
      </c>
      <c r="X44" s="34">
        <f t="shared" si="45"/>
        <v>0</v>
      </c>
      <c r="Y44" s="34">
        <f t="shared" si="46"/>
        <v>800</v>
      </c>
      <c r="Z44" s="34">
        <f t="shared" si="47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160</v>
      </c>
      <c r="F45" s="29">
        <v>3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s="29" t="s">
        <v>412</v>
      </c>
      <c r="M45" s="32">
        <f t="shared" si="38"/>
        <v>290</v>
      </c>
      <c r="N45" s="33">
        <f t="shared" si="39"/>
        <v>1</v>
      </c>
      <c r="O45" s="33">
        <f t="shared" si="40"/>
        <v>2</v>
      </c>
      <c r="P45" s="33">
        <f t="shared" si="41"/>
        <v>1</v>
      </c>
      <c r="Q45" s="34">
        <f t="shared" si="42"/>
        <v>0</v>
      </c>
      <c r="R45" s="33">
        <f t="shared" si="43"/>
        <v>1</v>
      </c>
      <c r="S45" s="34">
        <f t="shared" si="37"/>
        <v>5000</v>
      </c>
      <c r="T45" s="34">
        <f t="shared" si="30"/>
        <v>1</v>
      </c>
      <c r="U45" s="34">
        <f>IF(AND(IFERROR(FIND("RA",#REF!),0)&gt;0, IFERROR(FIND("RA",#REF!),0)&lt;38),"RA",0)</f>
        <v>0</v>
      </c>
      <c r="V45" s="34">
        <f t="shared" si="32"/>
        <v>1</v>
      </c>
      <c r="W45" s="34" t="str">
        <f t="shared" si="44"/>
        <v>FEW</v>
      </c>
      <c r="X45" s="34">
        <f t="shared" si="45"/>
        <v>0</v>
      </c>
      <c r="Y45" s="34">
        <f t="shared" si="46"/>
        <v>800</v>
      </c>
      <c r="Z45" s="34">
        <f t="shared" si="47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160</v>
      </c>
      <c r="F46" s="29">
        <v>3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29" t="s">
        <v>413</v>
      </c>
      <c r="M46" s="32">
        <f t="shared" si="38"/>
        <v>0</v>
      </c>
      <c r="N46" s="33">
        <f t="shared" si="39"/>
        <v>1</v>
      </c>
      <c r="O46" s="33">
        <f t="shared" si="40"/>
        <v>0</v>
      </c>
      <c r="P46" s="33">
        <f t="shared" si="41"/>
        <v>1</v>
      </c>
      <c r="Q46" s="34">
        <f t="shared" si="42"/>
        <v>0</v>
      </c>
      <c r="R46" s="33">
        <f t="shared" si="43"/>
        <v>1</v>
      </c>
      <c r="S46" s="34">
        <f t="shared" si="37"/>
        <v>8000</v>
      </c>
      <c r="T46" s="34">
        <f t="shared" si="30"/>
        <v>1</v>
      </c>
      <c r="U46" s="34">
        <f>IF(AND(IFERROR(FIND("RA",#REF!),0)&gt;0, IFERROR(FIND("RA",#REF!),0)&lt;38),"RA",0)</f>
        <v>0</v>
      </c>
      <c r="V46" s="34">
        <f t="shared" si="32"/>
        <v>1</v>
      </c>
      <c r="W46" s="34" t="str">
        <f t="shared" si="44"/>
        <v>BKN</v>
      </c>
      <c r="X46" s="34">
        <f t="shared" si="45"/>
        <v>1</v>
      </c>
      <c r="Y46" s="34">
        <f t="shared" si="46"/>
        <v>800</v>
      </c>
      <c r="Z46" s="34">
        <f t="shared" si="47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160</v>
      </c>
      <c r="F47" s="29">
        <v>3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29" t="s">
        <v>414</v>
      </c>
      <c r="M47" s="32">
        <f t="shared" si="38"/>
        <v>0</v>
      </c>
      <c r="N47" s="33">
        <f t="shared" si="39"/>
        <v>1</v>
      </c>
      <c r="O47" s="33">
        <f t="shared" si="40"/>
        <v>0</v>
      </c>
      <c r="P47" s="33">
        <f t="shared" si="41"/>
        <v>1</v>
      </c>
      <c r="Q47" s="34">
        <f t="shared" si="42"/>
        <v>0</v>
      </c>
      <c r="R47" s="33">
        <f t="shared" si="43"/>
        <v>1</v>
      </c>
      <c r="S47" s="34">
        <f t="shared" si="37"/>
        <v>8000</v>
      </c>
      <c r="T47" s="34">
        <f t="shared" si="30"/>
        <v>1</v>
      </c>
      <c r="U47" s="34">
        <f>IF(AND(IFERROR(FIND("RA",#REF!),0)&gt;0, IFERROR(FIND("RA",#REF!),0)&lt;38),"RA",0)</f>
        <v>0</v>
      </c>
      <c r="V47" s="34">
        <f t="shared" si="32"/>
        <v>1</v>
      </c>
      <c r="W47" s="34" t="str">
        <f t="shared" si="44"/>
        <v>BKN</v>
      </c>
      <c r="X47" s="34">
        <f t="shared" si="45"/>
        <v>1</v>
      </c>
      <c r="Y47" s="34">
        <f t="shared" si="46"/>
        <v>800</v>
      </c>
      <c r="Z47" s="34">
        <f t="shared" si="47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 ht="20.25">
      <c r="A51" s="25"/>
      <c r="B51" s="25"/>
      <c r="C51" s="25"/>
      <c r="D51" s="56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10</v>
      </c>
      <c r="U52" s="25"/>
      <c r="V52" s="25">
        <f>SUM(V36:V47)</f>
        <v>11</v>
      </c>
      <c r="W52" s="25"/>
      <c r="X52" s="25">
        <f>SUM(X36:X47)</f>
        <v>4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10</v>
      </c>
      <c r="U53" s="25"/>
      <c r="V53" s="25">
        <f>SUMIF($C36:$C47,"GENERAL",V36:V47)</f>
        <v>11</v>
      </c>
      <c r="W53" s="25"/>
      <c r="X53" s="25">
        <f>SUMIF($C36:$C47,"GENERAL",X36:X47)</f>
        <v>4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83.333333333333343</v>
      </c>
      <c r="U57" s="38"/>
      <c r="V57" s="38">
        <f>(SUM(V53:V56)/COUNTA(V36:V47))*100</f>
        <v>91.666666666666657</v>
      </c>
      <c r="W57" s="38"/>
      <c r="X57" s="38">
        <f>(SUM(X53:X56)/COUNTA(X36:X47))*100</f>
        <v>33.333333333333329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421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13</v>
      </c>
      <c r="B65" s="50">
        <v>0.5</v>
      </c>
      <c r="C65" s="51" t="s">
        <v>39</v>
      </c>
      <c r="D65" s="52"/>
      <c r="E65" s="51">
        <v>150</v>
      </c>
      <c r="F65" s="51">
        <v>3</v>
      </c>
      <c r="G65" s="51">
        <v>0</v>
      </c>
      <c r="H65" s="51">
        <v>8000</v>
      </c>
      <c r="I65" s="51">
        <v>0</v>
      </c>
      <c r="J65" s="51" t="s">
        <v>58</v>
      </c>
      <c r="K65" s="51">
        <v>900</v>
      </c>
      <c r="L65" s="51" t="s">
        <v>409</v>
      </c>
      <c r="M65" s="32">
        <f t="shared" ref="M65:M70" si="48">IF(ISNUMBER(VALUE(FIND("VRB",L65))),999,VALUE(MID(L65,20,3)))</f>
        <v>70</v>
      </c>
      <c r="N65" s="33">
        <f t="shared" ref="N65:N70" si="4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0">VALUE(MID(L65,23,2))</f>
        <v>5</v>
      </c>
      <c r="P65" s="33">
        <f t="shared" ref="P65:P70" si="51">IF(ABS(O65-F65)&lt;11,1,0)</f>
        <v>1</v>
      </c>
      <c r="Q65" s="34">
        <f t="shared" ref="Q65:Q70" si="52">IF(MID(L65,25,1)="G","GUST",0)</f>
        <v>0</v>
      </c>
      <c r="R65" s="33">
        <f t="shared" ref="R65:R70" si="5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900</v>
      </c>
      <c r="T65" s="34">
        <f t="shared" ref="T65:T76" si="54">IF(OR(AND(H65&lt;801,S65&lt;801),AND(H65&gt;799,H65&lt;1501,S65&gt;799,S65&lt;1502),AND(H65&gt;1499,H65&lt;3001,S65&gt;1499,S65&lt;3001),AND(H65&gt;2999,H65&lt;5001,S65&gt;2999,S65&lt;5001),AND(H65&gt;4999,S65&gt;4999)),1,0)</f>
        <v>0</v>
      </c>
      <c r="U65" s="34" t="str">
        <f t="shared" ref="U65:U70" si="55">IF(AND(IFERROR(FIND("RA",L65),0)&gt;0, IFERROR(FIND("RA",L65),0)&lt;38),"RA",0)</f>
        <v>RA</v>
      </c>
      <c r="V65" s="34">
        <f t="shared" ref="V65:V76" si="56">IF(U65=I65,1,0)</f>
        <v>0</v>
      </c>
      <c r="W65" s="34" t="str">
        <f t="shared" ref="W65:W70" si="5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0" si="58">IF(OR(AND(OR(J65="SKC",J65="FEW",J65="SCT"),OR(W65="SKC",W65="FEW",W65="SCT")),(AND(OR(J65="BKN",J65="OVC"),OR(W65="BKN",W65="OVC")))),1,0)</f>
        <v>0</v>
      </c>
      <c r="Y65" s="34">
        <f t="shared" ref="Y65:Y70" si="59">IF(ISNUMBER(VALUE(FIND("CAVOK",L65))),9999,IF(ISNUMBER(VALUE(FIND("NSC",L65))),9999,(MID(L65,(FIND(W65,L65)+4),2))*100))</f>
        <v>800</v>
      </c>
      <c r="Z65" s="34">
        <f t="shared" ref="Z65:Z70" si="6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150</v>
      </c>
      <c r="F66" s="51">
        <v>3</v>
      </c>
      <c r="G66" s="51">
        <v>0</v>
      </c>
      <c r="H66" s="51">
        <v>8000</v>
      </c>
      <c r="I66" s="51">
        <v>0</v>
      </c>
      <c r="J66" s="51" t="s">
        <v>58</v>
      </c>
      <c r="K66" s="51">
        <v>900</v>
      </c>
      <c r="L66" s="51" t="s">
        <v>410</v>
      </c>
      <c r="M66" s="32">
        <f t="shared" si="48"/>
        <v>70</v>
      </c>
      <c r="N66" s="33">
        <f t="shared" si="49"/>
        <v>1</v>
      </c>
      <c r="O66" s="33">
        <f t="shared" si="50"/>
        <v>4</v>
      </c>
      <c r="P66" s="33">
        <f t="shared" si="51"/>
        <v>1</v>
      </c>
      <c r="Q66" s="34">
        <f t="shared" si="52"/>
        <v>0</v>
      </c>
      <c r="R66" s="33">
        <f t="shared" si="53"/>
        <v>1</v>
      </c>
      <c r="S66" s="34">
        <f t="shared" ref="S66:S76" si="61">IF(ISNUMBER(VALUE(MID(L66,(FIND("KT",L66,FIND("Z",L66))+3),4))),VALUE(MID(L66,(FIND("KT",L66,FIND("Z",L66))+3),4)),IF(ISNUMBER(VALUE(MID(L66,(FIND("0V",L66)+6),4))),VALUE(MID(L66,(FIND("0V",L66)+6),4)),9999))</f>
        <v>5000</v>
      </c>
      <c r="T66" s="34">
        <f t="shared" si="54"/>
        <v>1</v>
      </c>
      <c r="U66" s="34">
        <f t="shared" si="55"/>
        <v>0</v>
      </c>
      <c r="V66" s="34">
        <f t="shared" si="56"/>
        <v>1</v>
      </c>
      <c r="W66" s="34" t="str">
        <f t="shared" si="57"/>
        <v>FEW</v>
      </c>
      <c r="X66" s="34">
        <f t="shared" si="58"/>
        <v>0</v>
      </c>
      <c r="Y66" s="34">
        <f t="shared" si="59"/>
        <v>800</v>
      </c>
      <c r="Z66" s="34">
        <f t="shared" si="6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150</v>
      </c>
      <c r="F67" s="51">
        <v>3</v>
      </c>
      <c r="G67" s="51">
        <v>0</v>
      </c>
      <c r="H67" s="51">
        <v>8000</v>
      </c>
      <c r="I67" s="51">
        <v>0</v>
      </c>
      <c r="J67" s="51" t="s">
        <v>58</v>
      </c>
      <c r="K67" s="51">
        <v>900</v>
      </c>
      <c r="L67" s="51" t="s">
        <v>411</v>
      </c>
      <c r="M67" s="32">
        <f t="shared" si="48"/>
        <v>120</v>
      </c>
      <c r="N67" s="33">
        <f t="shared" si="49"/>
        <v>1</v>
      </c>
      <c r="O67" s="33">
        <f t="shared" si="50"/>
        <v>2</v>
      </c>
      <c r="P67" s="33">
        <f t="shared" si="51"/>
        <v>1</v>
      </c>
      <c r="Q67" s="34">
        <f t="shared" si="52"/>
        <v>0</v>
      </c>
      <c r="R67" s="33">
        <f t="shared" si="53"/>
        <v>1</v>
      </c>
      <c r="S67" s="34">
        <f t="shared" si="61"/>
        <v>5000</v>
      </c>
      <c r="T67" s="34">
        <f t="shared" si="54"/>
        <v>1</v>
      </c>
      <c r="U67" s="34">
        <f t="shared" si="55"/>
        <v>0</v>
      </c>
      <c r="V67" s="34">
        <f t="shared" si="56"/>
        <v>1</v>
      </c>
      <c r="W67" s="34" t="str">
        <f t="shared" si="57"/>
        <v>FEW</v>
      </c>
      <c r="X67" s="34">
        <f t="shared" si="58"/>
        <v>0</v>
      </c>
      <c r="Y67" s="34">
        <f t="shared" si="59"/>
        <v>800</v>
      </c>
      <c r="Z67" s="34">
        <f t="shared" si="6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40</v>
      </c>
      <c r="D68" s="52"/>
      <c r="E68" s="51">
        <v>0</v>
      </c>
      <c r="F68" s="51">
        <v>0</v>
      </c>
      <c r="G68" s="51">
        <v>0</v>
      </c>
      <c r="H68" s="51">
        <v>4000</v>
      </c>
      <c r="I68" s="51" t="s">
        <v>52</v>
      </c>
      <c r="J68" s="51" t="s">
        <v>51</v>
      </c>
      <c r="K68" s="51">
        <v>900</v>
      </c>
      <c r="L68" s="51" t="s">
        <v>412</v>
      </c>
      <c r="M68" s="32">
        <f t="shared" si="48"/>
        <v>290</v>
      </c>
      <c r="N68" s="33">
        <f t="shared" si="49"/>
        <v>1</v>
      </c>
      <c r="O68" s="33">
        <f t="shared" si="50"/>
        <v>2</v>
      </c>
      <c r="P68" s="33">
        <f t="shared" si="51"/>
        <v>1</v>
      </c>
      <c r="Q68" s="34">
        <f t="shared" si="52"/>
        <v>0</v>
      </c>
      <c r="R68" s="33">
        <f t="shared" si="53"/>
        <v>1</v>
      </c>
      <c r="S68" s="34">
        <f t="shared" si="61"/>
        <v>5000</v>
      </c>
      <c r="T68" s="34">
        <f t="shared" si="54"/>
        <v>1</v>
      </c>
      <c r="U68" s="34">
        <f t="shared" si="55"/>
        <v>0</v>
      </c>
      <c r="V68" s="34">
        <f t="shared" si="56"/>
        <v>0</v>
      </c>
      <c r="W68" s="34" t="str">
        <f t="shared" si="57"/>
        <v>FEW</v>
      </c>
      <c r="X68" s="34">
        <f t="shared" si="58"/>
        <v>1</v>
      </c>
      <c r="Y68" s="34">
        <f t="shared" si="59"/>
        <v>800</v>
      </c>
      <c r="Z68" s="34">
        <f t="shared" si="6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0</v>
      </c>
      <c r="F69" s="51">
        <v>0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900</v>
      </c>
      <c r="L69" s="51" t="s">
        <v>413</v>
      </c>
      <c r="M69" s="32">
        <f t="shared" si="48"/>
        <v>0</v>
      </c>
      <c r="N69" s="33">
        <f t="shared" si="49"/>
        <v>1</v>
      </c>
      <c r="O69" s="33">
        <f t="shared" si="50"/>
        <v>0</v>
      </c>
      <c r="P69" s="33">
        <f t="shared" si="51"/>
        <v>1</v>
      </c>
      <c r="Q69" s="34">
        <f t="shared" si="52"/>
        <v>0</v>
      </c>
      <c r="R69" s="33">
        <f t="shared" si="53"/>
        <v>1</v>
      </c>
      <c r="S69" s="34">
        <f t="shared" si="61"/>
        <v>8000</v>
      </c>
      <c r="T69" s="34">
        <f t="shared" si="54"/>
        <v>0</v>
      </c>
      <c r="U69" s="34">
        <f t="shared" si="55"/>
        <v>0</v>
      </c>
      <c r="V69" s="34">
        <f t="shared" si="56"/>
        <v>0</v>
      </c>
      <c r="W69" s="34" t="str">
        <f t="shared" si="57"/>
        <v>BKN</v>
      </c>
      <c r="X69" s="34">
        <f t="shared" si="58"/>
        <v>0</v>
      </c>
      <c r="Y69" s="34">
        <f t="shared" si="59"/>
        <v>800</v>
      </c>
      <c r="Z69" s="34">
        <f t="shared" si="6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0</v>
      </c>
      <c r="F70" s="51">
        <v>0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900</v>
      </c>
      <c r="L70" s="51" t="s">
        <v>414</v>
      </c>
      <c r="M70" s="32">
        <f t="shared" si="48"/>
        <v>0</v>
      </c>
      <c r="N70" s="33">
        <f t="shared" si="49"/>
        <v>1</v>
      </c>
      <c r="O70" s="33">
        <f t="shared" si="50"/>
        <v>0</v>
      </c>
      <c r="P70" s="33">
        <f t="shared" si="51"/>
        <v>1</v>
      </c>
      <c r="Q70" s="34">
        <f t="shared" si="52"/>
        <v>0</v>
      </c>
      <c r="R70" s="33">
        <f t="shared" si="53"/>
        <v>1</v>
      </c>
      <c r="S70" s="34">
        <f t="shared" si="61"/>
        <v>8000</v>
      </c>
      <c r="T70" s="34">
        <f t="shared" si="54"/>
        <v>0</v>
      </c>
      <c r="U70" s="34">
        <f t="shared" si="55"/>
        <v>0</v>
      </c>
      <c r="V70" s="34">
        <f t="shared" si="56"/>
        <v>0</v>
      </c>
      <c r="W70" s="34" t="str">
        <f t="shared" si="57"/>
        <v>BKN</v>
      </c>
      <c r="X70" s="34">
        <f t="shared" si="58"/>
        <v>0</v>
      </c>
      <c r="Y70" s="34">
        <f t="shared" si="59"/>
        <v>800</v>
      </c>
      <c r="Z70" s="34">
        <f t="shared" si="6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150</v>
      </c>
      <c r="F71" s="51">
        <v>3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s="51" t="s">
        <v>415</v>
      </c>
      <c r="M71" s="32">
        <f t="shared" ref="M71:M76" si="62">IF(ISNUMBER(VALUE(FIND("VRB",L71))),999,VALUE(MID(L71,20,3)))</f>
        <v>0</v>
      </c>
      <c r="N71" s="33">
        <f t="shared" ref="N71:N76" si="63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64">VALUE(MID(L71,23,2))</f>
        <v>0</v>
      </c>
      <c r="P71" s="33">
        <f t="shared" ref="P71:P76" si="65">IF(ABS(O71-F71)&lt;11,1,0)</f>
        <v>1</v>
      </c>
      <c r="Q71" s="34">
        <f t="shared" ref="Q71:Q76" si="66">IF(MID(L71,25,1)="G","GUST",0)</f>
        <v>0</v>
      </c>
      <c r="R71" s="33">
        <f t="shared" ref="R71:R76" si="67">IF(G71=Q71,1,0)</f>
        <v>1</v>
      </c>
      <c r="S71" s="34">
        <f t="shared" si="61"/>
        <v>8000</v>
      </c>
      <c r="T71" s="34">
        <f t="shared" si="54"/>
        <v>1</v>
      </c>
      <c r="U71" s="34">
        <f>IF(AND(IFERROR(FIND("RA",#REF!),0)&gt;0, IFERROR(FIND("RA",#REF!),0)&lt;38),"RA",0)</f>
        <v>0</v>
      </c>
      <c r="V71" s="34">
        <f t="shared" si="56"/>
        <v>1</v>
      </c>
      <c r="W71" s="34" t="str">
        <f t="shared" ref="W71:W76" si="68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69">IF(OR(AND(OR(J71="SKC",J71="FEW",J71="SCT"),OR(W71="SKC",W71="FEW",W71="SCT")),(AND(OR(J71="BKN",J71="OVC"),OR(W71="BKN",W71="OVC")))),1,0)</f>
        <v>1</v>
      </c>
      <c r="Y71" s="34">
        <f t="shared" ref="Y71:Y76" si="70">IF(ISNUMBER(VALUE(FIND("CAVOK",L71))),9999,IF(ISNUMBER(VALUE(FIND("NSC",L71))),9999,(MID(L71,(FIND(W71,L71)+4),2))*100))</f>
        <v>800</v>
      </c>
      <c r="Z71" s="34">
        <f t="shared" ref="Z71:Z76" si="71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150</v>
      </c>
      <c r="F72" s="51">
        <v>3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s="51" t="s">
        <v>416</v>
      </c>
      <c r="M72" s="32">
        <f t="shared" si="62"/>
        <v>0</v>
      </c>
      <c r="N72" s="33">
        <f t="shared" si="63"/>
        <v>1</v>
      </c>
      <c r="O72" s="33">
        <f t="shared" si="64"/>
        <v>0</v>
      </c>
      <c r="P72" s="33">
        <f t="shared" si="65"/>
        <v>1</v>
      </c>
      <c r="Q72" s="34">
        <f t="shared" si="66"/>
        <v>0</v>
      </c>
      <c r="R72" s="33">
        <f t="shared" si="67"/>
        <v>1</v>
      </c>
      <c r="S72" s="34">
        <f t="shared" si="61"/>
        <v>8000</v>
      </c>
      <c r="T72" s="34">
        <f t="shared" si="54"/>
        <v>1</v>
      </c>
      <c r="U72" s="34">
        <f>IF(AND(IFERROR(FIND("RA",#REF!),0)&gt;0, IFERROR(FIND("RA",#REF!),0)&lt;38),"RA",0)</f>
        <v>0</v>
      </c>
      <c r="V72" s="34">
        <f t="shared" si="56"/>
        <v>1</v>
      </c>
      <c r="W72" s="34" t="str">
        <f t="shared" si="68"/>
        <v>BKN</v>
      </c>
      <c r="X72" s="34">
        <f t="shared" si="69"/>
        <v>1</v>
      </c>
      <c r="Y72" s="34">
        <f t="shared" si="70"/>
        <v>800</v>
      </c>
      <c r="Z72" s="34">
        <f t="shared" si="71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150</v>
      </c>
      <c r="F73" s="51">
        <v>2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s="51" t="s">
        <v>417</v>
      </c>
      <c r="M73" s="32">
        <f t="shared" si="62"/>
        <v>310</v>
      </c>
      <c r="N73" s="33">
        <f t="shared" si="63"/>
        <v>1</v>
      </c>
      <c r="O73" s="33">
        <f t="shared" si="64"/>
        <v>2</v>
      </c>
      <c r="P73" s="33">
        <f t="shared" si="65"/>
        <v>1</v>
      </c>
      <c r="Q73" s="34">
        <f t="shared" si="66"/>
        <v>0</v>
      </c>
      <c r="R73" s="33">
        <f t="shared" si="67"/>
        <v>1</v>
      </c>
      <c r="S73" s="34">
        <f t="shared" si="61"/>
        <v>8000</v>
      </c>
      <c r="T73" s="34">
        <f t="shared" si="54"/>
        <v>1</v>
      </c>
      <c r="U73" s="34">
        <f>IF(AND(IFERROR(FIND("RA",#REF!),0)&gt;0, IFERROR(FIND("RA",#REF!),0)&lt;38),"RA",0)</f>
        <v>0</v>
      </c>
      <c r="V73" s="34">
        <f t="shared" si="56"/>
        <v>1</v>
      </c>
      <c r="W73" s="34" t="str">
        <f t="shared" si="68"/>
        <v>BKN</v>
      </c>
      <c r="X73" s="34">
        <f t="shared" si="69"/>
        <v>1</v>
      </c>
      <c r="Y73" s="34">
        <f t="shared" si="70"/>
        <v>800</v>
      </c>
      <c r="Z73" s="34">
        <f t="shared" si="71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150</v>
      </c>
      <c r="F74" s="51">
        <v>2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s="51" t="s">
        <v>418</v>
      </c>
      <c r="M74" s="32">
        <f t="shared" si="62"/>
        <v>320</v>
      </c>
      <c r="N74" s="33">
        <f t="shared" si="63"/>
        <v>1</v>
      </c>
      <c r="O74" s="33">
        <f t="shared" si="64"/>
        <v>3</v>
      </c>
      <c r="P74" s="33">
        <f t="shared" si="65"/>
        <v>1</v>
      </c>
      <c r="Q74" s="34">
        <f t="shared" si="66"/>
        <v>0</v>
      </c>
      <c r="R74" s="33">
        <f t="shared" si="67"/>
        <v>1</v>
      </c>
      <c r="S74" s="34">
        <f t="shared" si="61"/>
        <v>8000</v>
      </c>
      <c r="T74" s="34">
        <f t="shared" si="54"/>
        <v>1</v>
      </c>
      <c r="U74" s="34">
        <f>IF(AND(IFERROR(FIND("RA",#REF!),0)&gt;0, IFERROR(FIND("RA",#REF!),0)&lt;38),"RA",0)</f>
        <v>0</v>
      </c>
      <c r="V74" s="34">
        <f t="shared" si="56"/>
        <v>1</v>
      </c>
      <c r="W74" s="34" t="str">
        <f t="shared" si="68"/>
        <v>BKN</v>
      </c>
      <c r="X74" s="34">
        <f t="shared" si="69"/>
        <v>1</v>
      </c>
      <c r="Y74" s="34">
        <f t="shared" si="70"/>
        <v>800</v>
      </c>
      <c r="Z74" s="34">
        <f t="shared" si="71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150</v>
      </c>
      <c r="F75" s="51">
        <v>2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s="51" t="s">
        <v>419</v>
      </c>
      <c r="M75" s="32">
        <f t="shared" si="62"/>
        <v>320</v>
      </c>
      <c r="N75" s="33">
        <f t="shared" si="63"/>
        <v>1</v>
      </c>
      <c r="O75" s="33">
        <f t="shared" si="64"/>
        <v>2</v>
      </c>
      <c r="P75" s="33">
        <f t="shared" si="65"/>
        <v>1</v>
      </c>
      <c r="Q75" s="34">
        <f t="shared" si="66"/>
        <v>0</v>
      </c>
      <c r="R75" s="33">
        <f t="shared" si="67"/>
        <v>1</v>
      </c>
      <c r="S75" s="34">
        <f t="shared" si="61"/>
        <v>8000</v>
      </c>
      <c r="T75" s="34">
        <f t="shared" si="54"/>
        <v>1</v>
      </c>
      <c r="U75" s="34">
        <f>IF(AND(IFERROR(FIND("RA",#REF!),0)&gt;0, IFERROR(FIND("RA",#REF!),0)&lt;38),"RA",0)</f>
        <v>0</v>
      </c>
      <c r="V75" s="34">
        <f t="shared" si="56"/>
        <v>1</v>
      </c>
      <c r="W75" s="34" t="str">
        <f t="shared" si="68"/>
        <v>BKN</v>
      </c>
      <c r="X75" s="34">
        <f t="shared" si="69"/>
        <v>1</v>
      </c>
      <c r="Y75" s="34">
        <f t="shared" si="70"/>
        <v>800</v>
      </c>
      <c r="Z75" s="34">
        <f t="shared" si="71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34</v>
      </c>
      <c r="D76" s="52"/>
      <c r="E76" s="51">
        <v>250</v>
      </c>
      <c r="F76" s="51">
        <v>2</v>
      </c>
      <c r="G76" s="51">
        <v>0</v>
      </c>
      <c r="H76" s="51">
        <v>8000</v>
      </c>
      <c r="I76" s="51">
        <v>0</v>
      </c>
      <c r="J76" s="51" t="s">
        <v>58</v>
      </c>
      <c r="K76" s="51">
        <v>800</v>
      </c>
      <c r="L76" s="51" t="s">
        <v>420</v>
      </c>
      <c r="M76" s="32">
        <f t="shared" si="62"/>
        <v>310</v>
      </c>
      <c r="N76" s="33">
        <f t="shared" si="63"/>
        <v>1</v>
      </c>
      <c r="O76" s="33">
        <f t="shared" si="64"/>
        <v>3</v>
      </c>
      <c r="P76" s="33">
        <f t="shared" si="65"/>
        <v>1</v>
      </c>
      <c r="Q76" s="34">
        <f t="shared" si="66"/>
        <v>0</v>
      </c>
      <c r="R76" s="33">
        <f t="shared" si="67"/>
        <v>1</v>
      </c>
      <c r="S76" s="34">
        <f t="shared" si="61"/>
        <v>8000</v>
      </c>
      <c r="T76" s="34">
        <f t="shared" si="54"/>
        <v>1</v>
      </c>
      <c r="U76" s="34">
        <f>IF(AND(IFERROR(FIND("RA",#REF!),0)&gt;0, IFERROR(FIND("RA",#REF!),0)&lt;38),"RA",0)</f>
        <v>0</v>
      </c>
      <c r="V76" s="34">
        <f t="shared" si="56"/>
        <v>1</v>
      </c>
      <c r="W76" s="34" t="str">
        <f t="shared" si="68"/>
        <v>BKN</v>
      </c>
      <c r="X76" s="34">
        <f t="shared" si="69"/>
        <v>1</v>
      </c>
      <c r="Y76" s="34">
        <f t="shared" si="70"/>
        <v>900</v>
      </c>
      <c r="Z76" s="34">
        <f t="shared" si="71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9</v>
      </c>
      <c r="U80" s="25"/>
      <c r="V80" s="25">
        <f>SUM(V64:V76)</f>
        <v>8</v>
      </c>
      <c r="W80" s="25"/>
      <c r="X80" s="25">
        <f>SUM(X64:X76)</f>
        <v>7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8</v>
      </c>
      <c r="O81" s="25"/>
      <c r="P81" s="25">
        <f>SUMIF($C64:$C76,"GENERAL",P64:P76)</f>
        <v>8</v>
      </c>
      <c r="Q81" s="25"/>
      <c r="R81" s="25">
        <f>SUMIF($C64:$C76,"GENERAL",R64:R76)</f>
        <v>8</v>
      </c>
      <c r="S81" s="25"/>
      <c r="T81" s="25">
        <f>SUMIF($C64:$C76,"GENERAL",T64:T76)</f>
        <v>7</v>
      </c>
      <c r="U81" s="25"/>
      <c r="V81" s="25">
        <f>SUMIF($C64:$C76,"GENERAL",V64:V76)</f>
        <v>7</v>
      </c>
      <c r="W81" s="25"/>
      <c r="X81" s="25">
        <f>SUMIF($C64:$C76,"GENERAL",X64:X76)</f>
        <v>5</v>
      </c>
      <c r="Y81" s="25"/>
      <c r="Z81" s="25">
        <f>SUMIF($C64:$C76,"GENERAL",Z64:Z76)</f>
        <v>8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1</v>
      </c>
      <c r="O82" s="25"/>
      <c r="P82" s="25">
        <f>SUMIF($C64:$C76,"BECMG",P64:P76)</f>
        <v>1</v>
      </c>
      <c r="Q82" s="25"/>
      <c r="R82" s="25">
        <f>SUMIF($C64:$C76,"BECMG",R64:R76)</f>
        <v>1</v>
      </c>
      <c r="S82" s="25"/>
      <c r="T82" s="25">
        <f>SUMIF($C64:$C76,"BECMG",T64:T76)</f>
        <v>1</v>
      </c>
      <c r="U82" s="25"/>
      <c r="V82" s="25">
        <f>SUMIF($C64:$C76,"BECMG",V64:V76)</f>
        <v>1</v>
      </c>
      <c r="W82" s="25"/>
      <c r="X82" s="25">
        <f>SUMIF($C64:$C76,"BECMG",X64:X76)</f>
        <v>1</v>
      </c>
      <c r="Y82" s="25"/>
      <c r="Z82" s="25">
        <f>SUMIF($C64:$C76,"BECMG",Z64:Z76)</f>
        <v>1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3</v>
      </c>
      <c r="M84" s="42">
        <f>SUMIF($C64:$C76,"TEMPO",N64:N76)</f>
        <v>3</v>
      </c>
      <c r="N84" s="42">
        <f>M84</f>
        <v>3</v>
      </c>
      <c r="O84" s="42">
        <f>SUMIF($C64:$C76,"TEMPO",P64:P76)</f>
        <v>3</v>
      </c>
      <c r="P84" s="42">
        <f>O84</f>
        <v>3</v>
      </c>
      <c r="Q84" s="42">
        <f>SUMIF($C64:$C76,"TEMPO",R64:R76)</f>
        <v>3</v>
      </c>
      <c r="R84" s="42">
        <f>Q84</f>
        <v>3</v>
      </c>
      <c r="S84" s="42">
        <f>SUMIF($C64:$C76,"TEMPO",T64:T76)</f>
        <v>1</v>
      </c>
      <c r="T84" s="42">
        <f>S84</f>
        <v>1</v>
      </c>
      <c r="U84" s="42">
        <f>SUMIF($C64:$C76,"TEMPO",V64:V76)</f>
        <v>0</v>
      </c>
      <c r="V84" s="42">
        <f>U84</f>
        <v>0</v>
      </c>
      <c r="W84" s="42">
        <f>SUMIF($C64:$C76,"TEMPO",X64:X76)</f>
        <v>1</v>
      </c>
      <c r="X84" s="42">
        <f>W84</f>
        <v>1</v>
      </c>
      <c r="Y84" s="42">
        <f>SUMIF($C64:$C76,"TEMPO",Z64:Z76)</f>
        <v>3</v>
      </c>
      <c r="Z84" s="42">
        <f>Y84</f>
        <v>3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75</v>
      </c>
      <c r="U85" s="38"/>
      <c r="V85" s="38">
        <f>(SUM(V81:V84)/COUNTA(V64:V76))*100</f>
        <v>66.666666666666657</v>
      </c>
      <c r="W85" s="38"/>
      <c r="X85" s="38">
        <f>(SUM(X81:X84)/COUNTA(X64:X76))*100</f>
        <v>58.333333333333336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422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13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s="51" t="s">
        <v>415</v>
      </c>
      <c r="M93" s="32">
        <f t="shared" ref="M93:M98" si="72">IF(ISNUMBER(VALUE(FIND("VRB",L93))),999,VALUE(MID(L93,20,3)))</f>
        <v>0</v>
      </c>
      <c r="N93" s="33">
        <f t="shared" ref="N93:N98" si="7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74">VALUE(MID(L93,23,2))</f>
        <v>0</v>
      </c>
      <c r="P93" s="33">
        <f t="shared" ref="P93:P98" si="75">IF(ABS(O93-F93)&lt;11,1,0)</f>
        <v>1</v>
      </c>
      <c r="Q93" s="34">
        <f t="shared" ref="Q93:Q98" si="76">IF(MID(L93,25,1)="G","GUST",0)</f>
        <v>0</v>
      </c>
      <c r="R93" s="33">
        <f t="shared" ref="R93:R98" si="77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104" si="78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79">IF(AND(IFERROR(FIND("RA",L93),0)&gt;0, IFERROR(FIND("RA",L93),0)&lt;38),"RA",0)</f>
        <v>0</v>
      </c>
      <c r="V93" s="34">
        <f t="shared" ref="V93:V104" si="80">IF(U93=I93,1,0)</f>
        <v>1</v>
      </c>
      <c r="W93" s="34" t="str">
        <f t="shared" ref="W93:W98" si="81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82">IF(OR(AND(OR(J93="SKC",J93="FEW",J93="SCT"),OR(W93="SKC",W93="FEW",W93="SCT")),(AND(OR(J93="BKN",J93="OVC"),OR(W93="BKN",W93="OVC")))),1,0)</f>
        <v>1</v>
      </c>
      <c r="Y93" s="34">
        <f t="shared" ref="Y93:Y98" si="83">IF(ISNUMBER(VALUE(FIND("CAVOK",L93))),9999,IF(ISNUMBER(VALUE(FIND("NSC",L93))),9999,(MID(L93,(FIND(W93,L93)+4),2))*100))</f>
        <v>800</v>
      </c>
      <c r="Z93" s="34">
        <f t="shared" ref="Z93:Z98" si="84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s="51" t="s">
        <v>416</v>
      </c>
      <c r="M94" s="32">
        <f t="shared" si="72"/>
        <v>0</v>
      </c>
      <c r="N94" s="33">
        <f t="shared" si="73"/>
        <v>1</v>
      </c>
      <c r="O94" s="33">
        <f t="shared" si="74"/>
        <v>0</v>
      </c>
      <c r="P94" s="33">
        <f t="shared" si="75"/>
        <v>1</v>
      </c>
      <c r="Q94" s="34">
        <f t="shared" si="76"/>
        <v>0</v>
      </c>
      <c r="R94" s="33">
        <f t="shared" si="77"/>
        <v>1</v>
      </c>
      <c r="S94" s="34">
        <f t="shared" ref="S94:S104" si="85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78"/>
        <v>1</v>
      </c>
      <c r="U94" s="34">
        <f t="shared" si="79"/>
        <v>0</v>
      </c>
      <c r="V94" s="34">
        <f t="shared" si="80"/>
        <v>1</v>
      </c>
      <c r="W94" s="34" t="str">
        <f t="shared" si="81"/>
        <v>BKN</v>
      </c>
      <c r="X94" s="34">
        <f t="shared" si="82"/>
        <v>1</v>
      </c>
      <c r="Y94" s="34">
        <f t="shared" si="83"/>
        <v>800</v>
      </c>
      <c r="Z94" s="34">
        <f t="shared" si="84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s="51" t="s">
        <v>417</v>
      </c>
      <c r="M95" s="32">
        <f t="shared" si="72"/>
        <v>310</v>
      </c>
      <c r="N95" s="33">
        <f t="shared" si="73"/>
        <v>1</v>
      </c>
      <c r="O95" s="33">
        <f t="shared" si="74"/>
        <v>2</v>
      </c>
      <c r="P95" s="33">
        <f t="shared" si="75"/>
        <v>1</v>
      </c>
      <c r="Q95" s="34">
        <f t="shared" si="76"/>
        <v>0</v>
      </c>
      <c r="R95" s="33">
        <f t="shared" si="77"/>
        <v>1</v>
      </c>
      <c r="S95" s="34">
        <f t="shared" si="85"/>
        <v>8000</v>
      </c>
      <c r="T95" s="34">
        <f t="shared" si="78"/>
        <v>1</v>
      </c>
      <c r="U95" s="34">
        <f t="shared" si="79"/>
        <v>0</v>
      </c>
      <c r="V95" s="34">
        <f t="shared" si="80"/>
        <v>1</v>
      </c>
      <c r="W95" s="34" t="str">
        <f t="shared" si="81"/>
        <v>BKN</v>
      </c>
      <c r="X95" s="34">
        <f t="shared" si="82"/>
        <v>1</v>
      </c>
      <c r="Y95" s="34">
        <f t="shared" si="83"/>
        <v>800</v>
      </c>
      <c r="Z95" s="34">
        <f t="shared" si="84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s="51" t="s">
        <v>418</v>
      </c>
      <c r="M96" s="32">
        <f t="shared" si="72"/>
        <v>320</v>
      </c>
      <c r="N96" s="33">
        <f t="shared" si="73"/>
        <v>1</v>
      </c>
      <c r="O96" s="33">
        <f t="shared" si="74"/>
        <v>3</v>
      </c>
      <c r="P96" s="33">
        <f t="shared" si="75"/>
        <v>1</v>
      </c>
      <c r="Q96" s="34">
        <f t="shared" si="76"/>
        <v>0</v>
      </c>
      <c r="R96" s="33">
        <f t="shared" si="77"/>
        <v>1</v>
      </c>
      <c r="S96" s="34">
        <f t="shared" si="85"/>
        <v>8000</v>
      </c>
      <c r="T96" s="34">
        <f t="shared" si="78"/>
        <v>1</v>
      </c>
      <c r="U96" s="34">
        <f t="shared" si="79"/>
        <v>0</v>
      </c>
      <c r="V96" s="34">
        <f t="shared" si="80"/>
        <v>1</v>
      </c>
      <c r="W96" s="34" t="str">
        <f t="shared" si="81"/>
        <v>BKN</v>
      </c>
      <c r="X96" s="34">
        <f t="shared" si="82"/>
        <v>1</v>
      </c>
      <c r="Y96" s="34">
        <f t="shared" si="83"/>
        <v>800</v>
      </c>
      <c r="Z96" s="34">
        <f t="shared" si="84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s="51" t="s">
        <v>419</v>
      </c>
      <c r="M97" s="32">
        <f t="shared" si="72"/>
        <v>320</v>
      </c>
      <c r="N97" s="33">
        <f t="shared" si="73"/>
        <v>1</v>
      </c>
      <c r="O97" s="33">
        <f t="shared" si="74"/>
        <v>2</v>
      </c>
      <c r="P97" s="33">
        <f t="shared" si="75"/>
        <v>1</v>
      </c>
      <c r="Q97" s="34">
        <f t="shared" si="76"/>
        <v>0</v>
      </c>
      <c r="R97" s="33">
        <f t="shared" si="77"/>
        <v>1</v>
      </c>
      <c r="S97" s="34">
        <f t="shared" si="85"/>
        <v>8000</v>
      </c>
      <c r="T97" s="34">
        <f t="shared" si="78"/>
        <v>1</v>
      </c>
      <c r="U97" s="34">
        <f t="shared" si="79"/>
        <v>0</v>
      </c>
      <c r="V97" s="34">
        <f t="shared" si="80"/>
        <v>1</v>
      </c>
      <c r="W97" s="34" t="str">
        <f t="shared" si="81"/>
        <v>BKN</v>
      </c>
      <c r="X97" s="34">
        <f t="shared" si="82"/>
        <v>1</v>
      </c>
      <c r="Y97" s="34">
        <f t="shared" si="83"/>
        <v>800</v>
      </c>
      <c r="Z97" s="34">
        <f t="shared" si="84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s="51" t="s">
        <v>420</v>
      </c>
      <c r="M98" s="32">
        <f t="shared" si="72"/>
        <v>310</v>
      </c>
      <c r="N98" s="33">
        <f t="shared" si="73"/>
        <v>1</v>
      </c>
      <c r="O98" s="33">
        <f t="shared" si="74"/>
        <v>3</v>
      </c>
      <c r="P98" s="33">
        <f t="shared" si="75"/>
        <v>1</v>
      </c>
      <c r="Q98" s="34">
        <f t="shared" si="76"/>
        <v>0</v>
      </c>
      <c r="R98" s="33">
        <f t="shared" si="77"/>
        <v>1</v>
      </c>
      <c r="S98" s="34">
        <f t="shared" si="85"/>
        <v>8000</v>
      </c>
      <c r="T98" s="34">
        <f t="shared" si="78"/>
        <v>1</v>
      </c>
      <c r="U98" s="34">
        <f t="shared" si="79"/>
        <v>0</v>
      </c>
      <c r="V98" s="34">
        <f t="shared" si="80"/>
        <v>1</v>
      </c>
      <c r="W98" s="34" t="str">
        <f t="shared" si="81"/>
        <v>BKN</v>
      </c>
      <c r="X98" s="34">
        <f t="shared" si="82"/>
        <v>1</v>
      </c>
      <c r="Y98" s="34">
        <f t="shared" si="83"/>
        <v>900</v>
      </c>
      <c r="Z98" s="34">
        <f t="shared" si="84"/>
        <v>1</v>
      </c>
      <c r="AA98" s="25"/>
      <c r="AB98" s="25"/>
      <c r="AC98" s="25"/>
      <c r="AD98" s="25"/>
      <c r="AE98" s="25"/>
    </row>
    <row r="99" spans="1:31" ht="16.5">
      <c r="A99" s="55">
        <v>14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s="51" t="s">
        <v>423</v>
      </c>
      <c r="M99" s="32">
        <f t="shared" ref="M99:M104" si="86">IF(ISNUMBER(VALUE(FIND("VRB",L99))),999,VALUE(MID(L99,20,3)))</f>
        <v>310</v>
      </c>
      <c r="N99" s="33">
        <f t="shared" ref="N99:N104" si="87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88">VALUE(MID(L99,23,2))</f>
        <v>3</v>
      </c>
      <c r="P99" s="33">
        <f t="shared" ref="P99:P104" si="89">IF(ABS(O99-F99)&lt;11,1,0)</f>
        <v>1</v>
      </c>
      <c r="Q99" s="34">
        <f t="shared" ref="Q99:Q104" si="90">IF(MID(L99,25,1)="G","GUST",0)</f>
        <v>0</v>
      </c>
      <c r="R99" s="33">
        <f t="shared" ref="R99:R104" si="91">IF(G99=Q99,1,0)</f>
        <v>1</v>
      </c>
      <c r="S99" s="34">
        <f t="shared" si="85"/>
        <v>8000</v>
      </c>
      <c r="T99" s="34">
        <f t="shared" si="78"/>
        <v>1</v>
      </c>
      <c r="U99" s="34">
        <f>IF(AND(IFERROR(FIND("RA",#REF!),0)&gt;0, IFERROR(FIND("RA",#REF!),0)&lt;38),"RA",0)</f>
        <v>0</v>
      </c>
      <c r="V99" s="34">
        <f t="shared" si="80"/>
        <v>1</v>
      </c>
      <c r="W99" s="34" t="str">
        <f t="shared" ref="W99:W104" si="92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93">IF(OR(AND(OR(J99="SKC",J99="FEW",J99="SCT"),OR(W99="SKC",W99="FEW",W99="SCT")),(AND(OR(J99="BKN",J99="OVC"),OR(W99="BKN",W99="OVC")))),1,0)</f>
        <v>1</v>
      </c>
      <c r="Y99" s="34">
        <f t="shared" ref="Y99:Y104" si="94">IF(ISNUMBER(VALUE(FIND("CAVOK",L99))),9999,IF(ISNUMBER(VALUE(FIND("NSC",L99))),9999,(MID(L99,(FIND(W99,L99)+4),2))*100))</f>
        <v>900</v>
      </c>
      <c r="Z99" s="34">
        <f t="shared" ref="Z99:Z104" si="95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s="51" t="s">
        <v>424</v>
      </c>
      <c r="M100" s="32">
        <f t="shared" si="86"/>
        <v>310</v>
      </c>
      <c r="N100" s="33">
        <f t="shared" si="87"/>
        <v>1</v>
      </c>
      <c r="O100" s="33">
        <f t="shared" si="88"/>
        <v>3</v>
      </c>
      <c r="P100" s="33">
        <f t="shared" si="89"/>
        <v>1</v>
      </c>
      <c r="Q100" s="34">
        <f t="shared" si="90"/>
        <v>0</v>
      </c>
      <c r="R100" s="33">
        <f t="shared" si="91"/>
        <v>1</v>
      </c>
      <c r="S100" s="34">
        <f t="shared" si="85"/>
        <v>8000</v>
      </c>
      <c r="T100" s="34">
        <f t="shared" si="78"/>
        <v>1</v>
      </c>
      <c r="U100" s="34">
        <f>IF(AND(IFERROR(FIND("RA",#REF!),0)&gt;0, IFERROR(FIND("RA",#REF!),0)&lt;38),"RA",0)</f>
        <v>0</v>
      </c>
      <c r="V100" s="34">
        <f t="shared" si="80"/>
        <v>1</v>
      </c>
      <c r="W100" s="34" t="str">
        <f t="shared" si="92"/>
        <v>BKN</v>
      </c>
      <c r="X100" s="34">
        <f t="shared" si="93"/>
        <v>1</v>
      </c>
      <c r="Y100" s="34">
        <f t="shared" si="94"/>
        <v>900</v>
      </c>
      <c r="Z100" s="34">
        <f t="shared" si="95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s="51" t="s">
        <v>425</v>
      </c>
      <c r="M101" s="32">
        <f t="shared" si="86"/>
        <v>300</v>
      </c>
      <c r="N101" s="33">
        <f t="shared" si="87"/>
        <v>1</v>
      </c>
      <c r="O101" s="33">
        <f t="shared" si="88"/>
        <v>3</v>
      </c>
      <c r="P101" s="33">
        <f t="shared" si="89"/>
        <v>1</v>
      </c>
      <c r="Q101" s="34">
        <f t="shared" si="90"/>
        <v>0</v>
      </c>
      <c r="R101" s="33">
        <f t="shared" si="91"/>
        <v>1</v>
      </c>
      <c r="S101" s="34">
        <f t="shared" si="85"/>
        <v>8000</v>
      </c>
      <c r="T101" s="34">
        <f t="shared" si="78"/>
        <v>1</v>
      </c>
      <c r="U101" s="34">
        <f>IF(AND(IFERROR(FIND("RA",#REF!),0)&gt;0, IFERROR(FIND("RA",#REF!),0)&lt;38),"RA",0)</f>
        <v>0</v>
      </c>
      <c r="V101" s="34">
        <f t="shared" si="80"/>
        <v>1</v>
      </c>
      <c r="W101" s="34" t="str">
        <f t="shared" si="92"/>
        <v>BKN</v>
      </c>
      <c r="X101" s="34">
        <f t="shared" si="93"/>
        <v>1</v>
      </c>
      <c r="Y101" s="34">
        <f t="shared" si="94"/>
        <v>900</v>
      </c>
      <c r="Z101" s="34">
        <f t="shared" si="95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s="51" t="s">
        <v>426</v>
      </c>
      <c r="M102" s="32">
        <f t="shared" si="86"/>
        <v>120</v>
      </c>
      <c r="N102" s="33">
        <f t="shared" si="87"/>
        <v>1</v>
      </c>
      <c r="O102" s="33">
        <f t="shared" si="88"/>
        <v>3</v>
      </c>
      <c r="P102" s="33">
        <f t="shared" si="89"/>
        <v>1</v>
      </c>
      <c r="Q102" s="34">
        <f t="shared" si="90"/>
        <v>0</v>
      </c>
      <c r="R102" s="33">
        <f t="shared" si="91"/>
        <v>1</v>
      </c>
      <c r="S102" s="34">
        <f t="shared" si="85"/>
        <v>8000</v>
      </c>
      <c r="T102" s="34">
        <f t="shared" si="78"/>
        <v>1</v>
      </c>
      <c r="U102" s="34">
        <f>IF(AND(IFERROR(FIND("RA",#REF!),0)&gt;0, IFERROR(FIND("RA",#REF!),0)&lt;38),"RA",0)</f>
        <v>0</v>
      </c>
      <c r="V102" s="34">
        <f t="shared" si="80"/>
        <v>1</v>
      </c>
      <c r="W102" s="34" t="str">
        <f t="shared" si="92"/>
        <v>BKN</v>
      </c>
      <c r="X102" s="34">
        <f t="shared" si="93"/>
        <v>1</v>
      </c>
      <c r="Y102" s="34">
        <f t="shared" si="94"/>
        <v>900</v>
      </c>
      <c r="Z102" s="34">
        <f t="shared" si="95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s="51" t="s">
        <v>427</v>
      </c>
      <c r="M103" s="32">
        <f t="shared" si="86"/>
        <v>210</v>
      </c>
      <c r="N103" s="33">
        <f t="shared" si="87"/>
        <v>1</v>
      </c>
      <c r="O103" s="33">
        <f t="shared" si="88"/>
        <v>2</v>
      </c>
      <c r="P103" s="33">
        <f t="shared" si="89"/>
        <v>1</v>
      </c>
      <c r="Q103" s="34">
        <f t="shared" si="90"/>
        <v>0</v>
      </c>
      <c r="R103" s="33">
        <f t="shared" si="91"/>
        <v>1</v>
      </c>
      <c r="S103" s="34">
        <f t="shared" si="85"/>
        <v>8000</v>
      </c>
      <c r="T103" s="34">
        <f t="shared" si="78"/>
        <v>1</v>
      </c>
      <c r="U103" s="34">
        <f>IF(AND(IFERROR(FIND("RA",#REF!),0)&gt;0, IFERROR(FIND("RA",#REF!),0)&lt;38),"RA",0)</f>
        <v>0</v>
      </c>
      <c r="V103" s="34">
        <f t="shared" si="80"/>
        <v>1</v>
      </c>
      <c r="W103" s="34" t="str">
        <f t="shared" si="92"/>
        <v>BKN</v>
      </c>
      <c r="X103" s="34">
        <f t="shared" si="93"/>
        <v>1</v>
      </c>
      <c r="Y103" s="34">
        <f t="shared" si="94"/>
        <v>900</v>
      </c>
      <c r="Z103" s="34">
        <f t="shared" si="95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s="51" t="s">
        <v>428</v>
      </c>
      <c r="M104" s="32">
        <f t="shared" si="86"/>
        <v>20</v>
      </c>
      <c r="N104" s="33">
        <f t="shared" si="87"/>
        <v>1</v>
      </c>
      <c r="O104" s="33">
        <f t="shared" si="88"/>
        <v>3</v>
      </c>
      <c r="P104" s="33">
        <f t="shared" si="89"/>
        <v>1</v>
      </c>
      <c r="Q104" s="34">
        <f t="shared" si="90"/>
        <v>0</v>
      </c>
      <c r="R104" s="33">
        <f t="shared" si="91"/>
        <v>1</v>
      </c>
      <c r="S104" s="34">
        <f t="shared" si="85"/>
        <v>8000</v>
      </c>
      <c r="T104" s="34">
        <f t="shared" si="78"/>
        <v>1</v>
      </c>
      <c r="U104" s="34">
        <f>IF(AND(IFERROR(FIND("RA",#REF!),0)&gt;0, IFERROR(FIND("RA",#REF!),0)&lt;38),"RA",0)</f>
        <v>0</v>
      </c>
      <c r="V104" s="34">
        <f t="shared" si="80"/>
        <v>1</v>
      </c>
      <c r="W104" s="34" t="str">
        <f t="shared" si="92"/>
        <v>BKN</v>
      </c>
      <c r="X104" s="34">
        <f t="shared" si="93"/>
        <v>1</v>
      </c>
      <c r="Y104" s="34">
        <f t="shared" si="94"/>
        <v>900</v>
      </c>
      <c r="Z104" s="34">
        <f t="shared" si="95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12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12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100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9A74E-DA0F-4043-BCBF-FC0871DEFEA9}">
  <sheetPr>
    <tabColor theme="0"/>
  </sheetPr>
  <dimension ref="A1:AE115"/>
  <sheetViews>
    <sheetView topLeftCell="A61" workbookViewId="0">
      <selection activeCell="L108" sqref="L108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429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14</v>
      </c>
      <c r="B7" s="28">
        <v>0</v>
      </c>
      <c r="C7" s="51" t="s">
        <v>39</v>
      </c>
      <c r="D7" s="52"/>
      <c r="E7" s="51">
        <v>310</v>
      </c>
      <c r="F7" s="51">
        <v>2</v>
      </c>
      <c r="G7" s="51">
        <v>0</v>
      </c>
      <c r="H7" s="51">
        <v>8000</v>
      </c>
      <c r="I7" s="51">
        <v>0</v>
      </c>
      <c r="J7" s="51" t="s">
        <v>58</v>
      </c>
      <c r="K7" s="51">
        <v>900</v>
      </c>
      <c r="L7" s="51" t="s">
        <v>423</v>
      </c>
      <c r="M7" s="32">
        <f t="shared" ref="M7:M13" si="0">IF(ISNUMBER(VALUE(FIND("VRB",L7))),999,VALUE(MID(L7,20,3)))</f>
        <v>310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3" si="2">VALUE(MID(L7,23,2))</f>
        <v>3</v>
      </c>
      <c r="P7" s="33">
        <f t="shared" ref="P7:P13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8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0">IF(OR(AND(OR(J7="SKC",J7="FEW",J7="SCT"),OR(W7="SKC",W7="FEW",W7="SCT")),(AND(OR(J7="BKN",J7="OVC"),OR(W7="BKN",W7="OVC")))),1,0)</f>
        <v>1</v>
      </c>
      <c r="Y7" s="34">
        <f t="shared" ref="Y7:Y18" si="11">IF(ISNUMBER(VALUE(FIND("CAVOK",L7))),9999,IF(ISNUMBER(VALUE(FIND("NSC",L7))),9999,(MID(L7,(FIND(W7,L7)+4),2))*100))</f>
        <v>900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51" t="s">
        <v>39</v>
      </c>
      <c r="D8" s="52"/>
      <c r="E8" s="51">
        <v>310</v>
      </c>
      <c r="F8" s="51">
        <v>2</v>
      </c>
      <c r="G8" s="51">
        <v>0</v>
      </c>
      <c r="H8" s="51">
        <v>8000</v>
      </c>
      <c r="I8" s="51">
        <v>0</v>
      </c>
      <c r="J8" s="51" t="s">
        <v>58</v>
      </c>
      <c r="K8" s="51">
        <v>900</v>
      </c>
      <c r="L8" s="51" t="s">
        <v>424</v>
      </c>
      <c r="M8" s="32">
        <f t="shared" si="0"/>
        <v>310</v>
      </c>
      <c r="N8" s="33">
        <f t="shared" si="1"/>
        <v>1</v>
      </c>
      <c r="O8" s="33">
        <f t="shared" si="2"/>
        <v>3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51" t="s">
        <v>39</v>
      </c>
      <c r="D9" s="52"/>
      <c r="E9" s="51">
        <v>310</v>
      </c>
      <c r="F9" s="51">
        <v>2</v>
      </c>
      <c r="G9" s="51">
        <v>0</v>
      </c>
      <c r="H9" s="51">
        <v>8000</v>
      </c>
      <c r="I9" s="51">
        <v>0</v>
      </c>
      <c r="J9" s="51" t="s">
        <v>58</v>
      </c>
      <c r="K9" s="51">
        <v>900</v>
      </c>
      <c r="L9" s="51" t="s">
        <v>425</v>
      </c>
      <c r="M9" s="32">
        <f t="shared" si="0"/>
        <v>300</v>
      </c>
      <c r="N9" s="33">
        <f t="shared" si="1"/>
        <v>1</v>
      </c>
      <c r="O9" s="33">
        <f t="shared" si="2"/>
        <v>3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51" t="s">
        <v>39</v>
      </c>
      <c r="D10" s="52"/>
      <c r="E10" s="51">
        <v>310</v>
      </c>
      <c r="F10" s="51">
        <v>2</v>
      </c>
      <c r="G10" s="51">
        <v>0</v>
      </c>
      <c r="H10" s="51">
        <v>8000</v>
      </c>
      <c r="I10" s="51">
        <v>0</v>
      </c>
      <c r="J10" s="51" t="s">
        <v>58</v>
      </c>
      <c r="K10" s="51">
        <v>900</v>
      </c>
      <c r="L10" s="51" t="s">
        <v>426</v>
      </c>
      <c r="M10" s="32">
        <f t="shared" si="0"/>
        <v>120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51" t="s">
        <v>39</v>
      </c>
      <c r="D11" s="52"/>
      <c r="E11" s="51">
        <v>310</v>
      </c>
      <c r="F11" s="51">
        <v>2</v>
      </c>
      <c r="G11" s="51">
        <v>0</v>
      </c>
      <c r="H11" s="51">
        <v>8000</v>
      </c>
      <c r="I11" s="51">
        <v>0</v>
      </c>
      <c r="J11" s="51" t="s">
        <v>58</v>
      </c>
      <c r="K11" s="51">
        <v>900</v>
      </c>
      <c r="L11" s="51" t="s">
        <v>427</v>
      </c>
      <c r="M11" s="32">
        <f t="shared" si="0"/>
        <v>210</v>
      </c>
      <c r="N11" s="33">
        <f t="shared" si="1"/>
        <v>1</v>
      </c>
      <c r="O11" s="33">
        <f t="shared" si="2"/>
        <v>2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51" t="s">
        <v>39</v>
      </c>
      <c r="D12" s="52"/>
      <c r="E12" s="51">
        <v>310</v>
      </c>
      <c r="F12" s="51">
        <v>2</v>
      </c>
      <c r="G12" s="51">
        <v>0</v>
      </c>
      <c r="H12" s="51">
        <v>8000</v>
      </c>
      <c r="I12" s="51">
        <v>0</v>
      </c>
      <c r="J12" s="51" t="s">
        <v>58</v>
      </c>
      <c r="K12" s="51">
        <v>900</v>
      </c>
      <c r="L12" s="51" t="s">
        <v>428</v>
      </c>
      <c r="M12" s="32">
        <f t="shared" si="0"/>
        <v>20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51" t="s">
        <v>39</v>
      </c>
      <c r="D13" s="52"/>
      <c r="E13" s="51">
        <v>310</v>
      </c>
      <c r="F13" s="51">
        <v>2</v>
      </c>
      <c r="G13" s="51">
        <v>0</v>
      </c>
      <c r="H13" s="51">
        <v>8000</v>
      </c>
      <c r="I13" s="51">
        <v>0</v>
      </c>
      <c r="J13" s="51" t="s">
        <v>58</v>
      </c>
      <c r="K13" s="51">
        <v>900</v>
      </c>
      <c r="L13" s="51" t="s">
        <v>431</v>
      </c>
      <c r="M13" s="32">
        <f t="shared" si="0"/>
        <v>90</v>
      </c>
      <c r="N13" s="33">
        <f t="shared" si="1"/>
        <v>1</v>
      </c>
      <c r="O13" s="33">
        <f t="shared" si="2"/>
        <v>2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BKN</v>
      </c>
      <c r="X13" s="34">
        <f t="shared" si="10"/>
        <v>1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51" t="s">
        <v>39</v>
      </c>
      <c r="D14" s="52"/>
      <c r="E14" s="51">
        <v>310</v>
      </c>
      <c r="F14" s="51">
        <v>2</v>
      </c>
      <c r="G14" s="51">
        <v>0</v>
      </c>
      <c r="H14" s="51">
        <v>8000</v>
      </c>
      <c r="I14" s="51">
        <v>0</v>
      </c>
      <c r="J14" s="51" t="s">
        <v>58</v>
      </c>
      <c r="K14" s="51">
        <v>900</v>
      </c>
      <c r="L14" s="51" t="s">
        <v>432</v>
      </c>
      <c r="M14" s="32">
        <f t="shared" ref="M14:M18" si="14">IF(ISNUMBER(VALUE(FIND("VRB",L14))),999,VALUE(MID(L14,20,3)))</f>
        <v>130</v>
      </c>
      <c r="N14" s="33">
        <f t="shared" si="1"/>
        <v>1</v>
      </c>
      <c r="O14" s="33">
        <f t="shared" ref="O14:O18" si="15">VALUE(MID(L14,23,2))</f>
        <v>2</v>
      </c>
      <c r="P14" s="33">
        <f t="shared" ref="P14:P18" si="16">IF(ABS(O14-F14)&lt;11,1,0)</f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BKN</v>
      </c>
      <c r="X14" s="34">
        <f t="shared" si="10"/>
        <v>1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51" t="s">
        <v>39</v>
      </c>
      <c r="D15" s="52"/>
      <c r="E15" s="51">
        <v>310</v>
      </c>
      <c r="F15" s="51">
        <v>2</v>
      </c>
      <c r="G15" s="51">
        <v>0</v>
      </c>
      <c r="H15" s="51">
        <v>8000</v>
      </c>
      <c r="I15" s="51">
        <v>0</v>
      </c>
      <c r="J15" s="51" t="s">
        <v>58</v>
      </c>
      <c r="K15" s="51">
        <v>900</v>
      </c>
      <c r="L15" t="s">
        <v>444</v>
      </c>
      <c r="M15" s="32">
        <f t="shared" si="14"/>
        <v>40</v>
      </c>
      <c r="N15" s="33">
        <f t="shared" si="1"/>
        <v>1</v>
      </c>
      <c r="O15" s="33">
        <f t="shared" si="15"/>
        <v>2</v>
      </c>
      <c r="P15" s="33">
        <f t="shared" si="16"/>
        <v>1</v>
      </c>
      <c r="Q15" s="34">
        <f t="shared" si="4"/>
        <v>0</v>
      </c>
      <c r="R15" s="33">
        <f t="shared" si="5"/>
        <v>1</v>
      </c>
      <c r="S15" s="34">
        <f t="shared" si="13"/>
        <v>8000</v>
      </c>
      <c r="T15" s="34">
        <f t="shared" si="6"/>
        <v>1</v>
      </c>
      <c r="U15" s="34">
        <f t="shared" si="7"/>
        <v>0</v>
      </c>
      <c r="V15" s="34">
        <f t="shared" si="8"/>
        <v>1</v>
      </c>
      <c r="W15" s="34" t="str">
        <f t="shared" si="9"/>
        <v>BKN</v>
      </c>
      <c r="X15" s="34">
        <f t="shared" si="10"/>
        <v>1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51" t="s">
        <v>39</v>
      </c>
      <c r="D16" s="52"/>
      <c r="E16" s="51">
        <v>310</v>
      </c>
      <c r="F16" s="51">
        <v>2</v>
      </c>
      <c r="G16" s="51">
        <v>0</v>
      </c>
      <c r="H16" s="51">
        <v>8000</v>
      </c>
      <c r="I16" s="51">
        <v>0</v>
      </c>
      <c r="J16" s="51" t="s">
        <v>58</v>
      </c>
      <c r="K16" s="51">
        <v>900</v>
      </c>
      <c r="L16" t="s">
        <v>443</v>
      </c>
      <c r="M16" s="32">
        <f t="shared" si="14"/>
        <v>360</v>
      </c>
      <c r="N16" s="33">
        <f t="shared" si="1"/>
        <v>1</v>
      </c>
      <c r="O16" s="33">
        <f t="shared" si="15"/>
        <v>2</v>
      </c>
      <c r="P16" s="33">
        <f t="shared" si="16"/>
        <v>1</v>
      </c>
      <c r="Q16" s="34">
        <f t="shared" si="4"/>
        <v>0</v>
      </c>
      <c r="R16" s="33">
        <f t="shared" si="5"/>
        <v>1</v>
      </c>
      <c r="S16" s="34">
        <f t="shared" si="13"/>
        <v>8000</v>
      </c>
      <c r="T16" s="34">
        <f t="shared" si="6"/>
        <v>1</v>
      </c>
      <c r="U16" s="34">
        <f t="shared" si="7"/>
        <v>0</v>
      </c>
      <c r="V16" s="34">
        <f t="shared" si="8"/>
        <v>1</v>
      </c>
      <c r="W16" s="34" t="str">
        <f t="shared" si="9"/>
        <v>BKN</v>
      </c>
      <c r="X16" s="34">
        <f t="shared" si="10"/>
        <v>1</v>
      </c>
      <c r="Y16" s="34">
        <f t="shared" si="11"/>
        <v>900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51" t="s">
        <v>39</v>
      </c>
      <c r="D17" s="52"/>
      <c r="E17" s="51">
        <v>310</v>
      </c>
      <c r="F17" s="51">
        <v>2</v>
      </c>
      <c r="G17" s="51">
        <v>0</v>
      </c>
      <c r="H17" s="51">
        <v>8000</v>
      </c>
      <c r="I17" s="51">
        <v>0</v>
      </c>
      <c r="J17" s="51" t="s">
        <v>58</v>
      </c>
      <c r="K17" s="51">
        <v>900</v>
      </c>
      <c r="L17" t="s">
        <v>442</v>
      </c>
      <c r="M17" s="32">
        <f t="shared" si="14"/>
        <v>0</v>
      </c>
      <c r="N17" s="33">
        <f t="shared" si="1"/>
        <v>1</v>
      </c>
      <c r="O17" s="33">
        <f t="shared" si="15"/>
        <v>0</v>
      </c>
      <c r="P17" s="33">
        <f t="shared" si="16"/>
        <v>1</v>
      </c>
      <c r="Q17" s="34">
        <f t="shared" si="4"/>
        <v>0</v>
      </c>
      <c r="R17" s="33">
        <f t="shared" si="5"/>
        <v>1</v>
      </c>
      <c r="S17" s="34">
        <f t="shared" si="13"/>
        <v>8000</v>
      </c>
      <c r="T17" s="34">
        <f t="shared" si="6"/>
        <v>1</v>
      </c>
      <c r="U17" s="34">
        <f t="shared" si="7"/>
        <v>0</v>
      </c>
      <c r="V17" s="34">
        <f t="shared" si="8"/>
        <v>1</v>
      </c>
      <c r="W17" s="34" t="str">
        <f t="shared" si="9"/>
        <v>BKN</v>
      </c>
      <c r="X17" s="34">
        <f t="shared" si="10"/>
        <v>1</v>
      </c>
      <c r="Y17" s="34">
        <f t="shared" si="11"/>
        <v>900</v>
      </c>
      <c r="Z17" s="34">
        <f t="shared" si="12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51" t="s">
        <v>39</v>
      </c>
      <c r="D18" s="52"/>
      <c r="E18" s="51">
        <v>310</v>
      </c>
      <c r="F18" s="51">
        <v>2</v>
      </c>
      <c r="G18" s="51">
        <v>0</v>
      </c>
      <c r="H18" s="51">
        <v>8000</v>
      </c>
      <c r="I18" s="51">
        <v>0</v>
      </c>
      <c r="J18" s="51" t="s">
        <v>58</v>
      </c>
      <c r="K18" s="51">
        <v>900</v>
      </c>
      <c r="L18" t="s">
        <v>441</v>
      </c>
      <c r="M18" s="32">
        <f t="shared" si="14"/>
        <v>0</v>
      </c>
      <c r="N18" s="33">
        <f t="shared" si="1"/>
        <v>1</v>
      </c>
      <c r="O18" s="33">
        <f t="shared" si="15"/>
        <v>0</v>
      </c>
      <c r="P18" s="33">
        <f t="shared" si="16"/>
        <v>1</v>
      </c>
      <c r="Q18" s="34">
        <f t="shared" si="4"/>
        <v>0</v>
      </c>
      <c r="R18" s="33">
        <f t="shared" si="5"/>
        <v>1</v>
      </c>
      <c r="S18" s="34">
        <f t="shared" si="13"/>
        <v>8000</v>
      </c>
      <c r="T18" s="34">
        <f t="shared" si="6"/>
        <v>1</v>
      </c>
      <c r="U18" s="34">
        <f t="shared" si="7"/>
        <v>0</v>
      </c>
      <c r="V18" s="34">
        <f t="shared" si="8"/>
        <v>1</v>
      </c>
      <c r="W18" s="34" t="str">
        <f t="shared" si="9"/>
        <v>BKN</v>
      </c>
      <c r="X18" s="34">
        <f t="shared" si="10"/>
        <v>1</v>
      </c>
      <c r="Y18" s="34">
        <f t="shared" si="11"/>
        <v>900</v>
      </c>
      <c r="Z18" s="34">
        <f t="shared" si="12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12</v>
      </c>
      <c r="W23" s="25"/>
      <c r="X23" s="25">
        <f>SUM(X7:X18)</f>
        <v>12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12</v>
      </c>
      <c r="U24" s="25"/>
      <c r="V24" s="25">
        <f>SUMIF($C7:$C18,"GENERAL",V7:V18)</f>
        <v>12</v>
      </c>
      <c r="W24" s="25"/>
      <c r="X24" s="25">
        <f>SUMIF($C7:$C18,"GENERAL",X7:X18)</f>
        <v>12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100</v>
      </c>
      <c r="W28" s="38"/>
      <c r="X28" s="38">
        <f>(SUM(X24:X27)/COUNTA(X7:X18))*100</f>
        <v>100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430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14</v>
      </c>
      <c r="B36" s="28">
        <v>0.25</v>
      </c>
      <c r="C36" s="51" t="s">
        <v>39</v>
      </c>
      <c r="D36" s="52"/>
      <c r="E36" s="51">
        <v>50</v>
      </c>
      <c r="F36" s="51">
        <v>4</v>
      </c>
      <c r="G36" s="51">
        <v>0</v>
      </c>
      <c r="H36" s="51">
        <v>8000</v>
      </c>
      <c r="I36" s="51">
        <v>0</v>
      </c>
      <c r="J36" s="51" t="s">
        <v>58</v>
      </c>
      <c r="K36" s="51">
        <v>900</v>
      </c>
      <c r="L36" s="51" t="s">
        <v>431</v>
      </c>
      <c r="M36" s="32">
        <f t="shared" ref="M36:M37" si="17">IF(ISNUMBER(VALUE(FIND("VRB",L36))),999,VALUE(MID(L36,20,3)))</f>
        <v>90</v>
      </c>
      <c r="N36" s="33">
        <f t="shared" ref="N36:N37" si="1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37" si="19">VALUE(MID(L36,23,2))</f>
        <v>2</v>
      </c>
      <c r="P36" s="33">
        <f t="shared" ref="P36:P37" si="20">IF(ABS(O36-F36)&lt;11,1,0)</f>
        <v>1</v>
      </c>
      <c r="Q36" s="34">
        <f t="shared" ref="Q36:Q37" si="21">IF(MID(L36,25,1)="G","GUST",0)</f>
        <v>0</v>
      </c>
      <c r="R36" s="33">
        <f t="shared" ref="R36:R37" si="22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37" si="23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37" si="24">IF(AND(IFERROR(FIND("RA",L36),0)&gt;0, IFERROR(FIND("RA",L36),0)&lt;38),"RA",0)</f>
        <v>0</v>
      </c>
      <c r="V36" s="34">
        <f t="shared" ref="V36:V37" si="25">IF(U36=I36,1,0)</f>
        <v>1</v>
      </c>
      <c r="W36" s="34" t="str">
        <f t="shared" ref="W36:W37" si="26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37" si="27">IF(OR(AND(OR(J36="SKC",J36="FEW",J36="SCT"),OR(W36="SKC",W36="FEW",W36="SCT")),(AND(OR(J36="BKN",J36="OVC"),OR(W36="BKN",W36="OVC")))),1,0)</f>
        <v>1</v>
      </c>
      <c r="Y36" s="34">
        <f t="shared" ref="Y36:Y37" si="28">IF(ISNUMBER(VALUE(FIND("CAVOK",L36))),9999,IF(ISNUMBER(VALUE(FIND("NSC",L36))),9999,(MID(L36,(FIND(W36,L36)+4),2))*100))</f>
        <v>900</v>
      </c>
      <c r="Z36" s="34">
        <f t="shared" ref="Z36:Z37" si="29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51" t="s">
        <v>39</v>
      </c>
      <c r="D37" s="52"/>
      <c r="E37" s="51">
        <v>50</v>
      </c>
      <c r="F37" s="51">
        <v>4</v>
      </c>
      <c r="G37" s="51">
        <v>0</v>
      </c>
      <c r="H37" s="51">
        <v>8000</v>
      </c>
      <c r="I37" s="51">
        <v>0</v>
      </c>
      <c r="J37" s="51" t="s">
        <v>58</v>
      </c>
      <c r="K37" s="51">
        <v>900</v>
      </c>
      <c r="L37" s="51" t="s">
        <v>432</v>
      </c>
      <c r="M37" s="32">
        <f t="shared" si="17"/>
        <v>130</v>
      </c>
      <c r="N37" s="33">
        <f t="shared" si="18"/>
        <v>1</v>
      </c>
      <c r="O37" s="33">
        <f t="shared" si="19"/>
        <v>2</v>
      </c>
      <c r="P37" s="33">
        <f t="shared" si="20"/>
        <v>1</v>
      </c>
      <c r="Q37" s="34">
        <f t="shared" si="21"/>
        <v>0</v>
      </c>
      <c r="R37" s="33">
        <f t="shared" si="22"/>
        <v>1</v>
      </c>
      <c r="S37" s="34">
        <f t="shared" ref="S37" si="30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23"/>
        <v>1</v>
      </c>
      <c r="U37" s="34">
        <f t="shared" si="24"/>
        <v>0</v>
      </c>
      <c r="V37" s="34">
        <f t="shared" si="25"/>
        <v>1</v>
      </c>
      <c r="W37" s="34" t="str">
        <f t="shared" si="26"/>
        <v>BKN</v>
      </c>
      <c r="X37" s="34">
        <f t="shared" si="27"/>
        <v>1</v>
      </c>
      <c r="Y37" s="34">
        <f t="shared" si="28"/>
        <v>900</v>
      </c>
      <c r="Z37" s="34">
        <f t="shared" si="29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51" t="s">
        <v>39</v>
      </c>
      <c r="D38" s="52"/>
      <c r="E38" s="51">
        <v>50</v>
      </c>
      <c r="F38" s="51">
        <v>4</v>
      </c>
      <c r="G38" s="51">
        <v>0</v>
      </c>
      <c r="H38" s="51">
        <v>8000</v>
      </c>
      <c r="I38" s="51">
        <v>0</v>
      </c>
      <c r="J38" s="51" t="s">
        <v>58</v>
      </c>
      <c r="K38" s="51">
        <v>900</v>
      </c>
      <c r="L38" t="s">
        <v>444</v>
      </c>
      <c r="M38" s="32">
        <f t="shared" ref="M38:M47" si="31">IF(ISNUMBER(VALUE(FIND("VRB",L38))),999,VALUE(MID(L38,20,3)))</f>
        <v>40</v>
      </c>
      <c r="N38" s="33">
        <f t="shared" ref="N38:N47" si="32">IF(OR(ABS(E38-M38)&lt;61,AND(ABS(E38-M38)&gt;60,O38&lt;10),E38=M38,AND(E38=999,ISNUMBER(VALUE(FIND("TS",L38)))),AND(E38=999,ISNUMBER(VALUE(FIND("CB",L38)))),AND(E38=999,O38&lt;10),AND(F38&lt;10,M38=999,O38&lt;10)),1,0)</f>
        <v>1</v>
      </c>
      <c r="O38" s="33">
        <f t="shared" ref="O38:O47" si="33">VALUE(MID(L38,23,2))</f>
        <v>2</v>
      </c>
      <c r="P38" s="33">
        <f t="shared" ref="P38:P47" si="34">IF(ABS(O38-F38)&lt;11,1,0)</f>
        <v>1</v>
      </c>
      <c r="Q38" s="34">
        <f t="shared" ref="Q38:Q47" si="35">IF(MID(L38,25,1)="G","GUST",0)</f>
        <v>0</v>
      </c>
      <c r="R38" s="33">
        <f t="shared" ref="R38:R47" si="36">IF(G38=Q38,1,0)</f>
        <v>1</v>
      </c>
      <c r="S38" s="34">
        <f t="shared" ref="S38:S47" si="37">IF(ISNUMBER(VALUE(MID(L38,(FIND("KT",L38,FIND("Z",L38))+3),4))),VALUE(MID(L38,(FIND("KT",L38,FIND("Z",L38))+3),4)),IF(ISNUMBER(VALUE(MID(L38,(FIND("0V",L38)+6),4))),VALUE(MID(L38,(FIND("0V",L38)+6),4)),9999))</f>
        <v>8000</v>
      </c>
      <c r="T38" s="34">
        <f t="shared" ref="T38:T47" si="38">IF(OR(AND(H38&lt;801,S38&lt;801),AND(H38&gt;799,H38&lt;1501,S38&gt;799,S38&lt;1502),AND(H38&gt;1499,H38&lt;3001,S38&gt;1499,S38&lt;3001),AND(H38&gt;2999,H38&lt;5001,S38&gt;2999,S38&lt;5001),AND(H38&gt;4999,S38&gt;4999)),1,0)</f>
        <v>1</v>
      </c>
      <c r="U38" s="34">
        <f t="shared" ref="U38:U47" si="39">IF(AND(IFERROR(FIND("RA",L38),0)&gt;0, IFERROR(FIND("RA",L38),0)&lt;38),"RA",0)</f>
        <v>0</v>
      </c>
      <c r="V38" s="34">
        <f t="shared" ref="V38:V47" si="40">IF(U38=I38,1,0)</f>
        <v>1</v>
      </c>
      <c r="W38" s="34" t="str">
        <f t="shared" ref="W38:W47" si="41">IF(ISNUMBER(VALUE(FIND("FEW",L38))),"FEW",IF(ISNUMBER(VALUE(FIND("SCT",L38))),"SCT",IF(ISNUMBER(VALUE(FIND("BKN",L38))),"BKN",IF(ISNUMBER(VALUE(FIND("OVC",L38))),"OVC",IF(ISNUMBER(VALUE(FIND("SKC",L38))),"SKC",IF(ISNUMBER(VALUE(FIND("CAVOK",L38))),"SKC",IF(ISNUMBER(VALUE(FIND("NSC",L38))),"SKC","EROR")))))))</f>
        <v>BKN</v>
      </c>
      <c r="X38" s="34">
        <f t="shared" ref="X38:X47" si="42">IF(OR(AND(OR(J38="SKC",J38="FEW",J38="SCT"),OR(W38="SKC",W38="FEW",W38="SCT")),(AND(OR(J38="BKN",J38="OVC"),OR(W38="BKN",W38="OVC")))),1,0)</f>
        <v>1</v>
      </c>
      <c r="Y38" s="34">
        <f t="shared" ref="Y38:Y47" si="43">IF(ISNUMBER(VALUE(FIND("CAVOK",L38))),9999,IF(ISNUMBER(VALUE(FIND("NSC",L38))),9999,(MID(L38,(FIND(W38,L38)+4),2))*100))</f>
        <v>900</v>
      </c>
      <c r="Z38" s="34">
        <f t="shared" ref="Z38:Z47" si="44">IF(AND(Y38&lt;1001,ABS(K38-Y38)&lt;101),1,IF(AND(Y38&gt;1000,ABS(Y38-K38)/K38&lt;0.30005),1,0))</f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51" t="s">
        <v>39</v>
      </c>
      <c r="D39" s="52"/>
      <c r="E39" s="51">
        <v>50</v>
      </c>
      <c r="F39" s="51">
        <v>4</v>
      </c>
      <c r="G39" s="51">
        <v>0</v>
      </c>
      <c r="H39" s="51">
        <v>8000</v>
      </c>
      <c r="I39" s="51">
        <v>0</v>
      </c>
      <c r="J39" s="51" t="s">
        <v>58</v>
      </c>
      <c r="K39" s="51">
        <v>900</v>
      </c>
      <c r="L39" t="s">
        <v>443</v>
      </c>
      <c r="M39" s="32">
        <f t="shared" si="31"/>
        <v>360</v>
      </c>
      <c r="N39" s="33">
        <f t="shared" si="32"/>
        <v>1</v>
      </c>
      <c r="O39" s="33">
        <f t="shared" si="33"/>
        <v>2</v>
      </c>
      <c r="P39" s="33">
        <f t="shared" si="34"/>
        <v>1</v>
      </c>
      <c r="Q39" s="34">
        <f t="shared" si="35"/>
        <v>0</v>
      </c>
      <c r="R39" s="33">
        <f t="shared" si="36"/>
        <v>1</v>
      </c>
      <c r="S39" s="34">
        <f t="shared" si="37"/>
        <v>8000</v>
      </c>
      <c r="T39" s="34">
        <f t="shared" si="38"/>
        <v>1</v>
      </c>
      <c r="U39" s="34">
        <f t="shared" si="39"/>
        <v>0</v>
      </c>
      <c r="V39" s="34">
        <f t="shared" si="40"/>
        <v>1</v>
      </c>
      <c r="W39" s="34" t="str">
        <f t="shared" si="41"/>
        <v>BKN</v>
      </c>
      <c r="X39" s="34">
        <f t="shared" si="42"/>
        <v>1</v>
      </c>
      <c r="Y39" s="34">
        <f t="shared" si="43"/>
        <v>900</v>
      </c>
      <c r="Z39" s="34">
        <f t="shared" si="44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51" t="s">
        <v>39</v>
      </c>
      <c r="D40" s="52"/>
      <c r="E40" s="51">
        <v>50</v>
      </c>
      <c r="F40" s="51">
        <v>4</v>
      </c>
      <c r="G40" s="51">
        <v>0</v>
      </c>
      <c r="H40" s="51">
        <v>8000</v>
      </c>
      <c r="I40" s="51">
        <v>0</v>
      </c>
      <c r="J40" s="51" t="s">
        <v>58</v>
      </c>
      <c r="K40" s="51">
        <v>900</v>
      </c>
      <c r="L40" t="s">
        <v>442</v>
      </c>
      <c r="M40" s="32">
        <f t="shared" si="31"/>
        <v>0</v>
      </c>
      <c r="N40" s="33">
        <f t="shared" si="32"/>
        <v>1</v>
      </c>
      <c r="O40" s="33">
        <f t="shared" si="33"/>
        <v>0</v>
      </c>
      <c r="P40" s="33">
        <f t="shared" si="34"/>
        <v>1</v>
      </c>
      <c r="Q40" s="34">
        <f t="shared" si="35"/>
        <v>0</v>
      </c>
      <c r="R40" s="33">
        <f t="shared" si="36"/>
        <v>1</v>
      </c>
      <c r="S40" s="34">
        <f t="shared" si="37"/>
        <v>8000</v>
      </c>
      <c r="T40" s="34">
        <f t="shared" si="38"/>
        <v>1</v>
      </c>
      <c r="U40" s="34">
        <f t="shared" si="39"/>
        <v>0</v>
      </c>
      <c r="V40" s="34">
        <f t="shared" si="40"/>
        <v>1</v>
      </c>
      <c r="W40" s="34" t="str">
        <f t="shared" si="41"/>
        <v>BKN</v>
      </c>
      <c r="X40" s="34">
        <f t="shared" si="42"/>
        <v>1</v>
      </c>
      <c r="Y40" s="34">
        <f t="shared" si="43"/>
        <v>900</v>
      </c>
      <c r="Z40" s="34">
        <f t="shared" si="44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51" t="s">
        <v>39</v>
      </c>
      <c r="D41" s="52"/>
      <c r="E41" s="51">
        <v>50</v>
      </c>
      <c r="F41" s="51">
        <v>4</v>
      </c>
      <c r="G41" s="51">
        <v>0</v>
      </c>
      <c r="H41" s="51">
        <v>8000</v>
      </c>
      <c r="I41" s="51">
        <v>0</v>
      </c>
      <c r="J41" s="51" t="s">
        <v>58</v>
      </c>
      <c r="K41" s="51">
        <v>900</v>
      </c>
      <c r="L41" t="s">
        <v>441</v>
      </c>
      <c r="M41" s="32">
        <f t="shared" si="31"/>
        <v>0</v>
      </c>
      <c r="N41" s="33">
        <f t="shared" si="32"/>
        <v>1</v>
      </c>
      <c r="O41" s="33">
        <f t="shared" si="33"/>
        <v>0</v>
      </c>
      <c r="P41" s="33">
        <f t="shared" si="34"/>
        <v>1</v>
      </c>
      <c r="Q41" s="34">
        <f t="shared" si="35"/>
        <v>0</v>
      </c>
      <c r="R41" s="33">
        <f t="shared" si="36"/>
        <v>1</v>
      </c>
      <c r="S41" s="34">
        <f t="shared" si="37"/>
        <v>8000</v>
      </c>
      <c r="T41" s="34">
        <f t="shared" si="38"/>
        <v>1</v>
      </c>
      <c r="U41" s="34">
        <f t="shared" si="39"/>
        <v>0</v>
      </c>
      <c r="V41" s="34">
        <f t="shared" si="40"/>
        <v>1</v>
      </c>
      <c r="W41" s="34" t="str">
        <f t="shared" si="41"/>
        <v>BKN</v>
      </c>
      <c r="X41" s="34">
        <f t="shared" si="42"/>
        <v>1</v>
      </c>
      <c r="Y41" s="34">
        <f t="shared" si="43"/>
        <v>900</v>
      </c>
      <c r="Z41" s="34">
        <f t="shared" si="44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51" t="s">
        <v>39</v>
      </c>
      <c r="D42" s="52"/>
      <c r="E42" s="51">
        <v>50</v>
      </c>
      <c r="F42" s="51">
        <v>4</v>
      </c>
      <c r="G42" s="51">
        <v>0</v>
      </c>
      <c r="H42" s="51">
        <v>8000</v>
      </c>
      <c r="I42" s="51">
        <v>0</v>
      </c>
      <c r="J42" s="51" t="s">
        <v>58</v>
      </c>
      <c r="K42" s="51">
        <v>900</v>
      </c>
      <c r="L42" t="s">
        <v>440</v>
      </c>
      <c r="M42" s="32">
        <f t="shared" si="31"/>
        <v>350</v>
      </c>
      <c r="N42" s="33">
        <f t="shared" si="32"/>
        <v>1</v>
      </c>
      <c r="O42" s="33">
        <f t="shared" si="33"/>
        <v>1</v>
      </c>
      <c r="P42" s="33">
        <f t="shared" si="34"/>
        <v>1</v>
      </c>
      <c r="Q42" s="34">
        <f t="shared" si="35"/>
        <v>0</v>
      </c>
      <c r="R42" s="33">
        <f t="shared" si="36"/>
        <v>1</v>
      </c>
      <c r="S42" s="34">
        <f t="shared" si="37"/>
        <v>8000</v>
      </c>
      <c r="T42" s="34">
        <f t="shared" si="38"/>
        <v>1</v>
      </c>
      <c r="U42" s="34">
        <f t="shared" si="39"/>
        <v>0</v>
      </c>
      <c r="V42" s="34">
        <f t="shared" si="40"/>
        <v>1</v>
      </c>
      <c r="W42" s="34" t="str">
        <f t="shared" si="41"/>
        <v>BKN</v>
      </c>
      <c r="X42" s="34">
        <f t="shared" si="42"/>
        <v>1</v>
      </c>
      <c r="Y42" s="34">
        <f t="shared" si="43"/>
        <v>900</v>
      </c>
      <c r="Z42" s="34">
        <f t="shared" si="44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51" t="s">
        <v>39</v>
      </c>
      <c r="D43" s="52"/>
      <c r="E43" s="51">
        <v>50</v>
      </c>
      <c r="F43" s="51">
        <v>4</v>
      </c>
      <c r="G43" s="51">
        <v>0</v>
      </c>
      <c r="H43" s="51">
        <v>8000</v>
      </c>
      <c r="I43" s="51">
        <v>0</v>
      </c>
      <c r="J43" s="51" t="s">
        <v>58</v>
      </c>
      <c r="K43" s="51">
        <v>900</v>
      </c>
      <c r="L43" t="s">
        <v>439</v>
      </c>
      <c r="M43" s="32">
        <f t="shared" si="31"/>
        <v>320</v>
      </c>
      <c r="N43" s="33">
        <f t="shared" si="32"/>
        <v>1</v>
      </c>
      <c r="O43" s="33">
        <f t="shared" si="33"/>
        <v>1</v>
      </c>
      <c r="P43" s="33">
        <f t="shared" si="34"/>
        <v>1</v>
      </c>
      <c r="Q43" s="34">
        <f t="shared" si="35"/>
        <v>0</v>
      </c>
      <c r="R43" s="33">
        <f t="shared" si="36"/>
        <v>1</v>
      </c>
      <c r="S43" s="34">
        <f t="shared" si="37"/>
        <v>8000</v>
      </c>
      <c r="T43" s="34">
        <f t="shared" si="38"/>
        <v>1</v>
      </c>
      <c r="U43" s="34">
        <f t="shared" si="39"/>
        <v>0</v>
      </c>
      <c r="V43" s="34">
        <f t="shared" si="40"/>
        <v>1</v>
      </c>
      <c r="W43" s="34" t="str">
        <f t="shared" si="41"/>
        <v>BKN</v>
      </c>
      <c r="X43" s="34">
        <f t="shared" si="42"/>
        <v>1</v>
      </c>
      <c r="Y43" s="34">
        <f t="shared" si="43"/>
        <v>900</v>
      </c>
      <c r="Z43" s="34">
        <f t="shared" si="44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51" t="s">
        <v>39</v>
      </c>
      <c r="D44" s="52"/>
      <c r="E44" s="51">
        <v>50</v>
      </c>
      <c r="F44" s="51">
        <v>4</v>
      </c>
      <c r="G44" s="51">
        <v>0</v>
      </c>
      <c r="H44" s="51">
        <v>8000</v>
      </c>
      <c r="I44" s="51">
        <v>0</v>
      </c>
      <c r="J44" s="51" t="s">
        <v>58</v>
      </c>
      <c r="K44" s="51">
        <v>900</v>
      </c>
      <c r="L44" t="s">
        <v>438</v>
      </c>
      <c r="M44" s="32">
        <f t="shared" si="31"/>
        <v>0</v>
      </c>
      <c r="N44" s="33">
        <f t="shared" si="32"/>
        <v>1</v>
      </c>
      <c r="O44" s="33">
        <f t="shared" si="33"/>
        <v>0</v>
      </c>
      <c r="P44" s="33">
        <f t="shared" si="34"/>
        <v>1</v>
      </c>
      <c r="Q44" s="34">
        <f t="shared" si="35"/>
        <v>0</v>
      </c>
      <c r="R44" s="33">
        <f t="shared" si="36"/>
        <v>1</v>
      </c>
      <c r="S44" s="34">
        <f t="shared" si="37"/>
        <v>8000</v>
      </c>
      <c r="T44" s="34">
        <f t="shared" si="38"/>
        <v>1</v>
      </c>
      <c r="U44" s="34">
        <f t="shared" si="39"/>
        <v>0</v>
      </c>
      <c r="V44" s="34">
        <f t="shared" si="40"/>
        <v>1</v>
      </c>
      <c r="W44" s="34" t="str">
        <f t="shared" si="41"/>
        <v>BKN</v>
      </c>
      <c r="X44" s="34">
        <f t="shared" si="42"/>
        <v>1</v>
      </c>
      <c r="Y44" s="34">
        <f t="shared" si="43"/>
        <v>900</v>
      </c>
      <c r="Z44" s="34">
        <f t="shared" si="44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51" t="s">
        <v>39</v>
      </c>
      <c r="D45" s="52"/>
      <c r="E45" s="51">
        <v>50</v>
      </c>
      <c r="F45" s="51">
        <v>4</v>
      </c>
      <c r="G45" s="51">
        <v>0</v>
      </c>
      <c r="H45" s="51">
        <v>8000</v>
      </c>
      <c r="I45" s="51">
        <v>0</v>
      </c>
      <c r="J45" s="51" t="s">
        <v>58</v>
      </c>
      <c r="K45" s="51">
        <v>900</v>
      </c>
      <c r="L45" t="s">
        <v>437</v>
      </c>
      <c r="M45" s="32">
        <f t="shared" si="31"/>
        <v>0</v>
      </c>
      <c r="N45" s="33">
        <f t="shared" si="32"/>
        <v>1</v>
      </c>
      <c r="O45" s="33">
        <f t="shared" si="33"/>
        <v>0</v>
      </c>
      <c r="P45" s="33">
        <f t="shared" si="34"/>
        <v>1</v>
      </c>
      <c r="Q45" s="34">
        <f t="shared" si="35"/>
        <v>0</v>
      </c>
      <c r="R45" s="33">
        <f t="shared" si="36"/>
        <v>1</v>
      </c>
      <c r="S45" s="34">
        <f t="shared" si="37"/>
        <v>8000</v>
      </c>
      <c r="T45" s="34">
        <f t="shared" si="38"/>
        <v>1</v>
      </c>
      <c r="U45" s="34">
        <f t="shared" si="39"/>
        <v>0</v>
      </c>
      <c r="V45" s="34">
        <f t="shared" si="40"/>
        <v>1</v>
      </c>
      <c r="W45" s="34" t="str">
        <f t="shared" si="41"/>
        <v>BKN</v>
      </c>
      <c r="X45" s="34">
        <f t="shared" si="42"/>
        <v>1</v>
      </c>
      <c r="Y45" s="34">
        <f t="shared" si="43"/>
        <v>900</v>
      </c>
      <c r="Z45" s="34">
        <f t="shared" si="44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51" t="s">
        <v>39</v>
      </c>
      <c r="D46" s="52"/>
      <c r="E46" s="51">
        <v>50</v>
      </c>
      <c r="F46" s="51">
        <v>4</v>
      </c>
      <c r="G46" s="51">
        <v>0</v>
      </c>
      <c r="H46" s="51">
        <v>8000</v>
      </c>
      <c r="I46" s="51">
        <v>0</v>
      </c>
      <c r="J46" s="51" t="s">
        <v>58</v>
      </c>
      <c r="K46" s="51">
        <v>900</v>
      </c>
      <c r="L46" t="s">
        <v>436</v>
      </c>
      <c r="M46" s="32">
        <f t="shared" si="31"/>
        <v>260</v>
      </c>
      <c r="N46" s="33">
        <f t="shared" si="32"/>
        <v>1</v>
      </c>
      <c r="O46" s="33">
        <f t="shared" si="33"/>
        <v>2</v>
      </c>
      <c r="P46" s="33">
        <f t="shared" si="34"/>
        <v>1</v>
      </c>
      <c r="Q46" s="34">
        <f t="shared" si="35"/>
        <v>0</v>
      </c>
      <c r="R46" s="33">
        <f t="shared" si="36"/>
        <v>1</v>
      </c>
      <c r="S46" s="34">
        <f t="shared" si="37"/>
        <v>8000</v>
      </c>
      <c r="T46" s="34">
        <f t="shared" si="38"/>
        <v>1</v>
      </c>
      <c r="U46" s="34">
        <f t="shared" si="39"/>
        <v>0</v>
      </c>
      <c r="V46" s="34">
        <f t="shared" si="40"/>
        <v>1</v>
      </c>
      <c r="W46" s="34" t="str">
        <f t="shared" si="41"/>
        <v>BKN</v>
      </c>
      <c r="X46" s="34">
        <f t="shared" si="42"/>
        <v>1</v>
      </c>
      <c r="Y46" s="34">
        <f t="shared" si="43"/>
        <v>900</v>
      </c>
      <c r="Z46" s="34">
        <f t="shared" si="44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51" t="s">
        <v>39</v>
      </c>
      <c r="D47" s="52"/>
      <c r="E47" s="51">
        <v>50</v>
      </c>
      <c r="F47" s="51">
        <v>4</v>
      </c>
      <c r="G47" s="51">
        <v>0</v>
      </c>
      <c r="H47" s="51">
        <v>8000</v>
      </c>
      <c r="I47" s="51">
        <v>0</v>
      </c>
      <c r="J47" s="51" t="s">
        <v>58</v>
      </c>
      <c r="K47" s="51">
        <v>900</v>
      </c>
      <c r="L47" t="s">
        <v>435</v>
      </c>
      <c r="M47" s="32">
        <f t="shared" si="31"/>
        <v>0</v>
      </c>
      <c r="N47" s="33">
        <f t="shared" si="32"/>
        <v>1</v>
      </c>
      <c r="O47" s="33">
        <f t="shared" si="33"/>
        <v>0</v>
      </c>
      <c r="P47" s="33">
        <f t="shared" si="34"/>
        <v>1</v>
      </c>
      <c r="Q47" s="34">
        <f t="shared" si="35"/>
        <v>0</v>
      </c>
      <c r="R47" s="33">
        <f t="shared" si="36"/>
        <v>1</v>
      </c>
      <c r="S47" s="34">
        <f t="shared" si="37"/>
        <v>8000</v>
      </c>
      <c r="T47" s="34">
        <f t="shared" si="38"/>
        <v>1</v>
      </c>
      <c r="U47" s="34">
        <f t="shared" si="39"/>
        <v>0</v>
      </c>
      <c r="V47" s="34">
        <f t="shared" si="40"/>
        <v>1</v>
      </c>
      <c r="W47" s="34" t="str">
        <f t="shared" si="41"/>
        <v>BKN</v>
      </c>
      <c r="X47" s="34">
        <f t="shared" si="42"/>
        <v>1</v>
      </c>
      <c r="Y47" s="34">
        <f t="shared" si="43"/>
        <v>900</v>
      </c>
      <c r="Z47" s="34">
        <f t="shared" si="44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12</v>
      </c>
      <c r="W52" s="25"/>
      <c r="X52" s="25">
        <f>SUM(X36:X47)</f>
        <v>12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12</v>
      </c>
      <c r="W53" s="25"/>
      <c r="X53" s="25">
        <f>SUMIF($C36:$C47,"GENERAL",X36:X47)</f>
        <v>12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100</v>
      </c>
      <c r="W57" s="38"/>
      <c r="X57" s="38">
        <f>(SUM(X53:X56)/COUNTA(X36:X47))*100</f>
        <v>100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433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14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58</v>
      </c>
      <c r="K65" s="51">
        <v>900</v>
      </c>
      <c r="L65" t="s">
        <v>440</v>
      </c>
      <c r="M65" s="32">
        <f t="shared" ref="M65:M70" si="45">IF(ISNUMBER(VALUE(FIND("VRB",L65))),999,VALUE(MID(L65,20,3)))</f>
        <v>350</v>
      </c>
      <c r="N65" s="33">
        <f t="shared" ref="N65:N70" si="46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47">VALUE(MID(L65,23,2))</f>
        <v>1</v>
      </c>
      <c r="P65" s="33">
        <f t="shared" ref="P65:P70" si="48">IF(ABS(O65-F65)&lt;11,1,0)</f>
        <v>1</v>
      </c>
      <c r="Q65" s="34">
        <f t="shared" ref="Q65:Q70" si="49">IF(MID(L65,25,1)="G","GUST",0)</f>
        <v>0</v>
      </c>
      <c r="R65" s="33">
        <f t="shared" ref="R65:R70" si="50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51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52">IF(AND(IFERROR(FIND("RA",L65),0)&gt;0, IFERROR(FIND("RA",L65),0)&lt;38),"RA",0)</f>
        <v>0</v>
      </c>
      <c r="V65" s="34">
        <f t="shared" ref="V65:V70" si="53">IF(U65=I65,1,0)</f>
        <v>1</v>
      </c>
      <c r="W65" s="34" t="str">
        <f t="shared" ref="W65:W70" si="54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0" si="55">IF(OR(AND(OR(J65="SKC",J65="FEW",J65="SCT"),OR(W65="SKC",W65="FEW",W65="SCT")),(AND(OR(J65="BKN",J65="OVC"),OR(W65="BKN",W65="OVC")))),1,0)</f>
        <v>1</v>
      </c>
      <c r="Y65" s="34">
        <f t="shared" ref="Y65:Y70" si="56">IF(ISNUMBER(VALUE(FIND("CAVOK",L65))),9999,IF(ISNUMBER(VALUE(FIND("NSC",L65))),9999,(MID(L65,(FIND(W65,L65)+4),2))*100))</f>
        <v>900</v>
      </c>
      <c r="Z65" s="34">
        <f t="shared" ref="Z65:Z70" si="57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58</v>
      </c>
      <c r="K66" s="51">
        <v>900</v>
      </c>
      <c r="L66" t="s">
        <v>439</v>
      </c>
      <c r="M66" s="32">
        <f t="shared" si="45"/>
        <v>320</v>
      </c>
      <c r="N66" s="33">
        <f t="shared" si="46"/>
        <v>1</v>
      </c>
      <c r="O66" s="33">
        <f t="shared" si="47"/>
        <v>1</v>
      </c>
      <c r="P66" s="33">
        <f t="shared" si="48"/>
        <v>1</v>
      </c>
      <c r="Q66" s="34">
        <f t="shared" si="49"/>
        <v>0</v>
      </c>
      <c r="R66" s="33">
        <f t="shared" si="50"/>
        <v>1</v>
      </c>
      <c r="S66" s="34">
        <f t="shared" ref="S66:S70" si="58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51"/>
        <v>1</v>
      </c>
      <c r="U66" s="34">
        <f t="shared" si="52"/>
        <v>0</v>
      </c>
      <c r="V66" s="34">
        <f t="shared" si="53"/>
        <v>1</v>
      </c>
      <c r="W66" s="34" t="str">
        <f t="shared" si="54"/>
        <v>BKN</v>
      </c>
      <c r="X66" s="34">
        <f t="shared" si="55"/>
        <v>1</v>
      </c>
      <c r="Y66" s="34">
        <f t="shared" si="56"/>
        <v>900</v>
      </c>
      <c r="Z66" s="34">
        <f t="shared" si="57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1" t="s">
        <v>58</v>
      </c>
      <c r="K67" s="51">
        <v>900</v>
      </c>
      <c r="L67" t="s">
        <v>438</v>
      </c>
      <c r="M67" s="32">
        <f t="shared" si="45"/>
        <v>0</v>
      </c>
      <c r="N67" s="33">
        <f t="shared" si="46"/>
        <v>1</v>
      </c>
      <c r="O67" s="33">
        <f t="shared" si="47"/>
        <v>0</v>
      </c>
      <c r="P67" s="33">
        <f t="shared" si="48"/>
        <v>1</v>
      </c>
      <c r="Q67" s="34">
        <f t="shared" si="49"/>
        <v>0</v>
      </c>
      <c r="R67" s="33">
        <f t="shared" si="50"/>
        <v>1</v>
      </c>
      <c r="S67" s="34">
        <f t="shared" si="58"/>
        <v>8000</v>
      </c>
      <c r="T67" s="34">
        <f t="shared" si="51"/>
        <v>1</v>
      </c>
      <c r="U67" s="34">
        <f t="shared" si="52"/>
        <v>0</v>
      </c>
      <c r="V67" s="34">
        <f t="shared" si="53"/>
        <v>1</v>
      </c>
      <c r="W67" s="34" t="str">
        <f t="shared" si="54"/>
        <v>BKN</v>
      </c>
      <c r="X67" s="34">
        <f t="shared" si="55"/>
        <v>1</v>
      </c>
      <c r="Y67" s="34">
        <f t="shared" si="56"/>
        <v>900</v>
      </c>
      <c r="Z67" s="34">
        <f t="shared" si="57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1" t="s">
        <v>58</v>
      </c>
      <c r="K68" s="51">
        <v>900</v>
      </c>
      <c r="L68" t="s">
        <v>437</v>
      </c>
      <c r="M68" s="32">
        <f t="shared" si="45"/>
        <v>0</v>
      </c>
      <c r="N68" s="33">
        <f t="shared" si="46"/>
        <v>1</v>
      </c>
      <c r="O68" s="33">
        <f t="shared" si="47"/>
        <v>0</v>
      </c>
      <c r="P68" s="33">
        <f t="shared" si="48"/>
        <v>1</v>
      </c>
      <c r="Q68" s="34">
        <f t="shared" si="49"/>
        <v>0</v>
      </c>
      <c r="R68" s="33">
        <f t="shared" si="50"/>
        <v>1</v>
      </c>
      <c r="S68" s="34">
        <f t="shared" si="58"/>
        <v>8000</v>
      </c>
      <c r="T68" s="34">
        <f t="shared" si="51"/>
        <v>1</v>
      </c>
      <c r="U68" s="34">
        <f t="shared" si="52"/>
        <v>0</v>
      </c>
      <c r="V68" s="34">
        <f t="shared" si="53"/>
        <v>1</v>
      </c>
      <c r="W68" s="34" t="str">
        <f t="shared" si="54"/>
        <v>BKN</v>
      </c>
      <c r="X68" s="34">
        <f t="shared" si="55"/>
        <v>1</v>
      </c>
      <c r="Y68" s="34">
        <f t="shared" si="56"/>
        <v>900</v>
      </c>
      <c r="Z68" s="34">
        <f t="shared" si="57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1" t="s">
        <v>58</v>
      </c>
      <c r="K69" s="51">
        <v>900</v>
      </c>
      <c r="L69" t="s">
        <v>436</v>
      </c>
      <c r="M69" s="32">
        <f t="shared" si="45"/>
        <v>260</v>
      </c>
      <c r="N69" s="33">
        <f t="shared" si="46"/>
        <v>1</v>
      </c>
      <c r="O69" s="33">
        <f t="shared" si="47"/>
        <v>2</v>
      </c>
      <c r="P69" s="33">
        <f t="shared" si="48"/>
        <v>1</v>
      </c>
      <c r="Q69" s="34">
        <f t="shared" si="49"/>
        <v>0</v>
      </c>
      <c r="R69" s="33">
        <f t="shared" si="50"/>
        <v>1</v>
      </c>
      <c r="S69" s="34">
        <f t="shared" si="58"/>
        <v>8000</v>
      </c>
      <c r="T69" s="34">
        <f t="shared" si="51"/>
        <v>1</v>
      </c>
      <c r="U69" s="34">
        <f t="shared" si="52"/>
        <v>0</v>
      </c>
      <c r="V69" s="34">
        <f t="shared" si="53"/>
        <v>1</v>
      </c>
      <c r="W69" s="34" t="str">
        <f t="shared" si="54"/>
        <v>BKN</v>
      </c>
      <c r="X69" s="34">
        <f t="shared" si="55"/>
        <v>1</v>
      </c>
      <c r="Y69" s="34">
        <f t="shared" si="56"/>
        <v>900</v>
      </c>
      <c r="Z69" s="34">
        <f t="shared" si="57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1" t="s">
        <v>58</v>
      </c>
      <c r="K70" s="51">
        <v>900</v>
      </c>
      <c r="L70" t="s">
        <v>435</v>
      </c>
      <c r="M70" s="32">
        <f t="shared" si="45"/>
        <v>0</v>
      </c>
      <c r="N70" s="33">
        <f t="shared" si="46"/>
        <v>1</v>
      </c>
      <c r="O70" s="33">
        <f t="shared" si="47"/>
        <v>0</v>
      </c>
      <c r="P70" s="33">
        <f t="shared" si="48"/>
        <v>1</v>
      </c>
      <c r="Q70" s="34">
        <f t="shared" si="49"/>
        <v>0</v>
      </c>
      <c r="R70" s="33">
        <f t="shared" si="50"/>
        <v>1</v>
      </c>
      <c r="S70" s="34">
        <f t="shared" si="58"/>
        <v>8000</v>
      </c>
      <c r="T70" s="34">
        <f t="shared" si="51"/>
        <v>1</v>
      </c>
      <c r="U70" s="34">
        <f t="shared" si="52"/>
        <v>0</v>
      </c>
      <c r="V70" s="34">
        <f t="shared" si="53"/>
        <v>1</v>
      </c>
      <c r="W70" s="34" t="str">
        <f t="shared" si="54"/>
        <v>BKN</v>
      </c>
      <c r="X70" s="34">
        <f t="shared" si="55"/>
        <v>1</v>
      </c>
      <c r="Y70" s="34">
        <f t="shared" si="56"/>
        <v>900</v>
      </c>
      <c r="Z70" s="34">
        <f t="shared" si="57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t="s">
        <v>450</v>
      </c>
      <c r="M71" s="32">
        <f t="shared" ref="M71:M76" si="59">IF(ISNUMBER(VALUE(FIND("VRB",L71))),999,VALUE(MID(L71,20,3)))</f>
        <v>0</v>
      </c>
      <c r="N71" s="33">
        <f t="shared" ref="N71:N76" si="60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61">VALUE(MID(L71,23,2))</f>
        <v>0</v>
      </c>
      <c r="P71" s="33">
        <f t="shared" ref="P71:P76" si="62">IF(ABS(O71-F71)&lt;11,1,0)</f>
        <v>1</v>
      </c>
      <c r="Q71" s="34">
        <f t="shared" ref="Q71:Q76" si="63">IF(MID(L71,25,1)="G","GUST",0)</f>
        <v>0</v>
      </c>
      <c r="R71" s="33">
        <f t="shared" ref="R71:R76" si="64">IF(G71=Q71,1,0)</f>
        <v>1</v>
      </c>
      <c r="S71" s="34">
        <f t="shared" ref="S71:S76" si="65">IF(ISNUMBER(VALUE(MID(L71,(FIND("KT",L71,FIND("Z",L71))+3),4))),VALUE(MID(L71,(FIND("KT",L71,FIND("Z",L71))+3),4)),IF(ISNUMBER(VALUE(MID(L71,(FIND("0V",L71)+6),4))),VALUE(MID(L71,(FIND("0V",L71)+6),4)),9999))</f>
        <v>8000</v>
      </c>
      <c r="T71" s="34">
        <f t="shared" ref="T71:T76" si="66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67">IF(AND(IFERROR(FIND("RA",L71),0)&gt;0, IFERROR(FIND("RA",L71),0)&lt;38),"RA",0)</f>
        <v>0</v>
      </c>
      <c r="V71" s="34">
        <f t="shared" ref="V71:V76" si="68">IF(U71=I71,1,0)</f>
        <v>1</v>
      </c>
      <c r="W71" s="34" t="str">
        <f t="shared" ref="W71:W76" si="69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0">IF(OR(AND(OR(J71="SKC",J71="FEW",J71="SCT"),OR(W71="SKC",W71="FEW",W71="SCT")),(AND(OR(J71="BKN",J71="OVC"),OR(W71="BKN",W71="OVC")))),1,0)</f>
        <v>1</v>
      </c>
      <c r="Y71" s="34">
        <f t="shared" ref="Y71:Y76" si="71">IF(ISNUMBER(VALUE(FIND("CAVOK",L71))),9999,IF(ISNUMBER(VALUE(FIND("NSC",L71))),9999,(MID(L71,(FIND(W71,L71)+4),2))*100))</f>
        <v>900</v>
      </c>
      <c r="Z71" s="34">
        <f t="shared" ref="Z71:Z76" si="72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t="s">
        <v>449</v>
      </c>
      <c r="M72" s="32">
        <f t="shared" si="59"/>
        <v>0</v>
      </c>
      <c r="N72" s="33">
        <f t="shared" si="60"/>
        <v>1</v>
      </c>
      <c r="O72" s="33">
        <f t="shared" si="61"/>
        <v>0</v>
      </c>
      <c r="P72" s="33">
        <f t="shared" si="62"/>
        <v>1</v>
      </c>
      <c r="Q72" s="34">
        <f t="shared" si="63"/>
        <v>0</v>
      </c>
      <c r="R72" s="33">
        <f t="shared" si="64"/>
        <v>1</v>
      </c>
      <c r="S72" s="34">
        <f t="shared" si="65"/>
        <v>8000</v>
      </c>
      <c r="T72" s="34">
        <f t="shared" si="66"/>
        <v>1</v>
      </c>
      <c r="U72" s="34">
        <f t="shared" si="67"/>
        <v>0</v>
      </c>
      <c r="V72" s="34">
        <f t="shared" si="68"/>
        <v>1</v>
      </c>
      <c r="W72" s="34" t="str">
        <f t="shared" si="69"/>
        <v>BKN</v>
      </c>
      <c r="X72" s="34">
        <f t="shared" si="70"/>
        <v>1</v>
      </c>
      <c r="Y72" s="34">
        <f t="shared" si="71"/>
        <v>900</v>
      </c>
      <c r="Z72" s="34">
        <f t="shared" si="72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t="s">
        <v>448</v>
      </c>
      <c r="M73" s="32">
        <f t="shared" si="59"/>
        <v>300</v>
      </c>
      <c r="N73" s="33">
        <f t="shared" si="60"/>
        <v>1</v>
      </c>
      <c r="O73" s="33">
        <f t="shared" si="61"/>
        <v>2</v>
      </c>
      <c r="P73" s="33">
        <f t="shared" si="62"/>
        <v>1</v>
      </c>
      <c r="Q73" s="34">
        <f t="shared" si="63"/>
        <v>0</v>
      </c>
      <c r="R73" s="33">
        <f t="shared" si="64"/>
        <v>1</v>
      </c>
      <c r="S73" s="34">
        <f t="shared" si="65"/>
        <v>8000</v>
      </c>
      <c r="T73" s="34">
        <f t="shared" si="66"/>
        <v>1</v>
      </c>
      <c r="U73" s="34">
        <f t="shared" si="67"/>
        <v>0</v>
      </c>
      <c r="V73" s="34">
        <f t="shared" si="68"/>
        <v>1</v>
      </c>
      <c r="W73" s="34" t="str">
        <f t="shared" si="69"/>
        <v>BKN</v>
      </c>
      <c r="X73" s="34">
        <f t="shared" si="70"/>
        <v>1</v>
      </c>
      <c r="Y73" s="34">
        <f t="shared" si="71"/>
        <v>900</v>
      </c>
      <c r="Z73" s="34">
        <f t="shared" si="72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t="s">
        <v>447</v>
      </c>
      <c r="M74" s="32">
        <f t="shared" si="59"/>
        <v>40</v>
      </c>
      <c r="N74" s="33">
        <f t="shared" si="60"/>
        <v>1</v>
      </c>
      <c r="O74" s="33">
        <f t="shared" si="61"/>
        <v>5</v>
      </c>
      <c r="P74" s="33">
        <f t="shared" si="62"/>
        <v>1</v>
      </c>
      <c r="Q74" s="34">
        <f t="shared" si="63"/>
        <v>0</v>
      </c>
      <c r="R74" s="33">
        <f t="shared" si="64"/>
        <v>1</v>
      </c>
      <c r="S74" s="34">
        <f t="shared" si="65"/>
        <v>5000</v>
      </c>
      <c r="T74" s="34">
        <f t="shared" si="66"/>
        <v>1</v>
      </c>
      <c r="U74" s="34" t="str">
        <f t="shared" si="67"/>
        <v>RA</v>
      </c>
      <c r="V74" s="34">
        <f t="shared" si="68"/>
        <v>0</v>
      </c>
      <c r="W74" s="34" t="str">
        <f t="shared" si="69"/>
        <v>BKN</v>
      </c>
      <c r="X74" s="34">
        <f t="shared" si="70"/>
        <v>1</v>
      </c>
      <c r="Y74" s="34">
        <f t="shared" si="71"/>
        <v>900</v>
      </c>
      <c r="Z74" s="34">
        <f t="shared" si="72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t="s">
        <v>446</v>
      </c>
      <c r="M75" s="32">
        <f t="shared" si="59"/>
        <v>90</v>
      </c>
      <c r="N75" s="33">
        <f t="shared" si="60"/>
        <v>1</v>
      </c>
      <c r="O75" s="33">
        <f t="shared" si="61"/>
        <v>6</v>
      </c>
      <c r="P75" s="33">
        <f t="shared" si="62"/>
        <v>1</v>
      </c>
      <c r="Q75" s="34">
        <f t="shared" si="63"/>
        <v>0</v>
      </c>
      <c r="R75" s="33">
        <f t="shared" si="64"/>
        <v>1</v>
      </c>
      <c r="S75" s="34">
        <f t="shared" si="65"/>
        <v>3000</v>
      </c>
      <c r="T75" s="34">
        <f t="shared" si="66"/>
        <v>0</v>
      </c>
      <c r="U75" s="34" t="str">
        <f t="shared" si="67"/>
        <v>RA</v>
      </c>
      <c r="V75" s="34">
        <f t="shared" si="68"/>
        <v>0</v>
      </c>
      <c r="W75" s="34" t="str">
        <f t="shared" si="69"/>
        <v>FEW</v>
      </c>
      <c r="X75" s="34">
        <f t="shared" si="70"/>
        <v>0</v>
      </c>
      <c r="Y75" s="34">
        <f t="shared" si="71"/>
        <v>800</v>
      </c>
      <c r="Z75" s="34">
        <f t="shared" si="72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t="s">
        <v>445</v>
      </c>
      <c r="M76" s="32">
        <f t="shared" si="59"/>
        <v>0</v>
      </c>
      <c r="N76" s="33">
        <f t="shared" si="60"/>
        <v>1</v>
      </c>
      <c r="O76" s="33">
        <f t="shared" si="61"/>
        <v>0</v>
      </c>
      <c r="P76" s="33">
        <f t="shared" si="62"/>
        <v>1</v>
      </c>
      <c r="Q76" s="34">
        <f t="shared" si="63"/>
        <v>0</v>
      </c>
      <c r="R76" s="33">
        <f t="shared" si="64"/>
        <v>1</v>
      </c>
      <c r="S76" s="34">
        <f t="shared" si="65"/>
        <v>7000</v>
      </c>
      <c r="T76" s="34">
        <f t="shared" si="66"/>
        <v>1</v>
      </c>
      <c r="U76" s="34">
        <f t="shared" si="67"/>
        <v>0</v>
      </c>
      <c r="V76" s="34">
        <f t="shared" si="68"/>
        <v>1</v>
      </c>
      <c r="W76" s="34" t="str">
        <f t="shared" si="69"/>
        <v>BKN</v>
      </c>
      <c r="X76" s="34">
        <f t="shared" si="70"/>
        <v>1</v>
      </c>
      <c r="Y76" s="34">
        <f t="shared" si="71"/>
        <v>800</v>
      </c>
      <c r="Z76" s="34">
        <f t="shared" si="72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11</v>
      </c>
      <c r="U80" s="25"/>
      <c r="V80" s="25">
        <f>SUM(V64:V76)</f>
        <v>10</v>
      </c>
      <c r="W80" s="25"/>
      <c r="X80" s="25">
        <f>SUM(X64:X76)</f>
        <v>11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11</v>
      </c>
      <c r="U81" s="25"/>
      <c r="V81" s="25">
        <f>SUMIF($C64:$C76,"GENERAL",V64:V76)</f>
        <v>10</v>
      </c>
      <c r="W81" s="25"/>
      <c r="X81" s="25">
        <f>SUMIF($C64:$C76,"GENERAL",X64:X76)</f>
        <v>11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91.666666666666657</v>
      </c>
      <c r="U85" s="38"/>
      <c r="V85" s="38">
        <f>(SUM(V81:V84)/COUNTA(V64:V76))*100</f>
        <v>83.333333333333343</v>
      </c>
      <c r="W85" s="38"/>
      <c r="X85" s="38">
        <f>(SUM(X81:X84)/COUNTA(X64:X76))*100</f>
        <v>91.666666666666657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434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14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t="s">
        <v>450</v>
      </c>
      <c r="M93" s="32">
        <f t="shared" ref="M93:M99" si="73">IF(ISNUMBER(VALUE(FIND("VRB",L93))),999,VALUE(MID(L93,20,3)))</f>
        <v>0</v>
      </c>
      <c r="N93" s="33">
        <f t="shared" ref="N93:N99" si="74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9" si="75">VALUE(MID(L93,23,2))</f>
        <v>0</v>
      </c>
      <c r="P93" s="33">
        <f t="shared" ref="P93:P99" si="76">IF(ABS(O93-F93)&lt;11,1,0)</f>
        <v>1</v>
      </c>
      <c r="Q93" s="34">
        <f t="shared" ref="Q93:Q99" si="77">IF(MID(L93,25,1)="G","GUST",0)</f>
        <v>0</v>
      </c>
      <c r="R93" s="33">
        <f t="shared" ref="R93:R99" si="78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9" si="79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9" si="80">IF(AND(IFERROR(FIND("RA",L93),0)&gt;0, IFERROR(FIND("RA",L93),0)&lt;38),"RA",0)</f>
        <v>0</v>
      </c>
      <c r="V93" s="34">
        <f t="shared" ref="V93:V99" si="81">IF(U93=I93,1,0)</f>
        <v>1</v>
      </c>
      <c r="W93" s="34" t="str">
        <f t="shared" ref="W93:W99" si="82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9" si="83">IF(OR(AND(OR(J93="SKC",J93="FEW",J93="SCT"),OR(W93="SKC",W93="FEW",W93="SCT")),(AND(OR(J93="BKN",J93="OVC"),OR(W93="BKN",W93="OVC")))),1,0)</f>
        <v>1</v>
      </c>
      <c r="Y93" s="34">
        <f t="shared" ref="Y93:Y99" si="84">IF(ISNUMBER(VALUE(FIND("CAVOK",L93))),9999,IF(ISNUMBER(VALUE(FIND("NSC",L93))),9999,(MID(L93,(FIND(W93,L93)+4),2))*100))</f>
        <v>900</v>
      </c>
      <c r="Z93" s="34">
        <f t="shared" ref="Z93:Z99" si="85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t="s">
        <v>449</v>
      </c>
      <c r="M94" s="32">
        <f t="shared" si="73"/>
        <v>0</v>
      </c>
      <c r="N94" s="33">
        <f t="shared" si="74"/>
        <v>1</v>
      </c>
      <c r="O94" s="33">
        <f t="shared" si="75"/>
        <v>0</v>
      </c>
      <c r="P94" s="33">
        <f t="shared" si="76"/>
        <v>1</v>
      </c>
      <c r="Q94" s="34">
        <f t="shared" si="77"/>
        <v>0</v>
      </c>
      <c r="R94" s="33">
        <f t="shared" si="78"/>
        <v>1</v>
      </c>
      <c r="S94" s="34">
        <f t="shared" ref="S94:S99" si="86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79"/>
        <v>1</v>
      </c>
      <c r="U94" s="34">
        <f t="shared" si="80"/>
        <v>0</v>
      </c>
      <c r="V94" s="34">
        <f t="shared" si="81"/>
        <v>1</v>
      </c>
      <c r="W94" s="34" t="str">
        <f t="shared" si="82"/>
        <v>BKN</v>
      </c>
      <c r="X94" s="34">
        <f t="shared" si="83"/>
        <v>1</v>
      </c>
      <c r="Y94" s="34">
        <f t="shared" si="84"/>
        <v>900</v>
      </c>
      <c r="Z94" s="34">
        <f t="shared" si="85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t="s">
        <v>448</v>
      </c>
      <c r="M95" s="32">
        <f t="shared" si="73"/>
        <v>300</v>
      </c>
      <c r="N95" s="33">
        <f t="shared" si="74"/>
        <v>1</v>
      </c>
      <c r="O95" s="33">
        <f t="shared" si="75"/>
        <v>2</v>
      </c>
      <c r="P95" s="33">
        <f t="shared" si="76"/>
        <v>1</v>
      </c>
      <c r="Q95" s="34">
        <f t="shared" si="77"/>
        <v>0</v>
      </c>
      <c r="R95" s="33">
        <f t="shared" si="78"/>
        <v>1</v>
      </c>
      <c r="S95" s="34">
        <f t="shared" si="86"/>
        <v>8000</v>
      </c>
      <c r="T95" s="34">
        <f t="shared" si="79"/>
        <v>1</v>
      </c>
      <c r="U95" s="34">
        <f t="shared" si="80"/>
        <v>0</v>
      </c>
      <c r="V95" s="34">
        <f t="shared" si="81"/>
        <v>1</v>
      </c>
      <c r="W95" s="34" t="str">
        <f t="shared" si="82"/>
        <v>BKN</v>
      </c>
      <c r="X95" s="34">
        <f t="shared" si="83"/>
        <v>1</v>
      </c>
      <c r="Y95" s="34">
        <f t="shared" si="84"/>
        <v>900</v>
      </c>
      <c r="Z95" s="34">
        <f t="shared" si="85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t="s">
        <v>447</v>
      </c>
      <c r="M96" s="32">
        <f t="shared" si="73"/>
        <v>40</v>
      </c>
      <c r="N96" s="33">
        <f t="shared" si="74"/>
        <v>1</v>
      </c>
      <c r="O96" s="33">
        <f t="shared" si="75"/>
        <v>5</v>
      </c>
      <c r="P96" s="33">
        <f t="shared" si="76"/>
        <v>1</v>
      </c>
      <c r="Q96" s="34">
        <f t="shared" si="77"/>
        <v>0</v>
      </c>
      <c r="R96" s="33">
        <f t="shared" si="78"/>
        <v>1</v>
      </c>
      <c r="S96" s="34">
        <f t="shared" si="86"/>
        <v>5000</v>
      </c>
      <c r="T96" s="34">
        <f t="shared" si="79"/>
        <v>1</v>
      </c>
      <c r="U96" s="34" t="str">
        <f t="shared" si="80"/>
        <v>RA</v>
      </c>
      <c r="V96" s="34">
        <f t="shared" si="81"/>
        <v>0</v>
      </c>
      <c r="W96" s="34" t="str">
        <f t="shared" si="82"/>
        <v>BKN</v>
      </c>
      <c r="X96" s="34">
        <f t="shared" si="83"/>
        <v>1</v>
      </c>
      <c r="Y96" s="34">
        <f t="shared" si="84"/>
        <v>900</v>
      </c>
      <c r="Z96" s="34">
        <f t="shared" si="85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t="s">
        <v>446</v>
      </c>
      <c r="M97" s="32">
        <f t="shared" si="73"/>
        <v>90</v>
      </c>
      <c r="N97" s="33">
        <f t="shared" si="74"/>
        <v>1</v>
      </c>
      <c r="O97" s="33">
        <f t="shared" si="75"/>
        <v>6</v>
      </c>
      <c r="P97" s="33">
        <f t="shared" si="76"/>
        <v>1</v>
      </c>
      <c r="Q97" s="34">
        <f t="shared" si="77"/>
        <v>0</v>
      </c>
      <c r="R97" s="33">
        <f t="shared" si="78"/>
        <v>1</v>
      </c>
      <c r="S97" s="34">
        <f t="shared" si="86"/>
        <v>3000</v>
      </c>
      <c r="T97" s="34">
        <f t="shared" si="79"/>
        <v>0</v>
      </c>
      <c r="U97" s="34" t="str">
        <f t="shared" si="80"/>
        <v>RA</v>
      </c>
      <c r="V97" s="34">
        <f t="shared" si="81"/>
        <v>0</v>
      </c>
      <c r="W97" s="34" t="str">
        <f t="shared" si="82"/>
        <v>FEW</v>
      </c>
      <c r="X97" s="34">
        <f t="shared" si="83"/>
        <v>0</v>
      </c>
      <c r="Y97" s="34">
        <f t="shared" si="84"/>
        <v>800</v>
      </c>
      <c r="Z97" s="34">
        <f t="shared" si="85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t="s">
        <v>445</v>
      </c>
      <c r="M98" s="32">
        <f t="shared" si="73"/>
        <v>0</v>
      </c>
      <c r="N98" s="33">
        <f t="shared" si="74"/>
        <v>1</v>
      </c>
      <c r="O98" s="33">
        <f t="shared" si="75"/>
        <v>0</v>
      </c>
      <c r="P98" s="33">
        <f t="shared" si="76"/>
        <v>1</v>
      </c>
      <c r="Q98" s="34">
        <f t="shared" si="77"/>
        <v>0</v>
      </c>
      <c r="R98" s="33">
        <f t="shared" si="78"/>
        <v>1</v>
      </c>
      <c r="S98" s="34">
        <f t="shared" si="86"/>
        <v>7000</v>
      </c>
      <c r="T98" s="34">
        <f t="shared" si="79"/>
        <v>1</v>
      </c>
      <c r="U98" s="34">
        <f t="shared" si="80"/>
        <v>0</v>
      </c>
      <c r="V98" s="34">
        <f t="shared" si="81"/>
        <v>1</v>
      </c>
      <c r="W98" s="34" t="str">
        <f t="shared" si="82"/>
        <v>BKN</v>
      </c>
      <c r="X98" s="34">
        <f t="shared" si="83"/>
        <v>1</v>
      </c>
      <c r="Y98" s="34">
        <f t="shared" si="84"/>
        <v>800</v>
      </c>
      <c r="Z98" s="34">
        <f t="shared" si="85"/>
        <v>1</v>
      </c>
      <c r="AA98" s="25"/>
      <c r="AB98" s="25"/>
      <c r="AC98" s="25"/>
      <c r="AD98" s="25"/>
      <c r="AE98" s="25"/>
    </row>
    <row r="99" spans="1:31" ht="16.5">
      <c r="A99" s="55">
        <v>15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t="s">
        <v>451</v>
      </c>
      <c r="M99" s="32">
        <f t="shared" si="73"/>
        <v>0</v>
      </c>
      <c r="N99" s="33">
        <f t="shared" si="74"/>
        <v>1</v>
      </c>
      <c r="O99" s="33">
        <f t="shared" si="75"/>
        <v>0</v>
      </c>
      <c r="P99" s="33">
        <f t="shared" si="76"/>
        <v>1</v>
      </c>
      <c r="Q99" s="34">
        <f t="shared" si="77"/>
        <v>0</v>
      </c>
      <c r="R99" s="33">
        <f t="shared" si="78"/>
        <v>1</v>
      </c>
      <c r="S99" s="34">
        <f t="shared" si="86"/>
        <v>8000</v>
      </c>
      <c r="T99" s="34">
        <f t="shared" si="79"/>
        <v>1</v>
      </c>
      <c r="U99" s="34">
        <f t="shared" si="80"/>
        <v>0</v>
      </c>
      <c r="V99" s="34">
        <f t="shared" si="81"/>
        <v>1</v>
      </c>
      <c r="W99" s="34" t="str">
        <f t="shared" si="82"/>
        <v>BKN</v>
      </c>
      <c r="X99" s="34">
        <f t="shared" si="83"/>
        <v>1</v>
      </c>
      <c r="Y99" s="34">
        <f t="shared" si="84"/>
        <v>900</v>
      </c>
      <c r="Z99" s="34">
        <f t="shared" si="85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s="51" t="s">
        <v>455</v>
      </c>
      <c r="M100" s="32">
        <f t="shared" ref="M100:M104" si="87">IF(ISNUMBER(VALUE(FIND("VRB",L100))),999,VALUE(MID(L100,20,3)))</f>
        <v>40</v>
      </c>
      <c r="N100" s="33">
        <f t="shared" ref="N100:N104" si="88">IF(OR(ABS(E100-M100)&lt;61,AND(ABS(E100-M100)&gt;60,O100&lt;10),E100=M100,AND(E100=999,ISNUMBER(VALUE(FIND("TS",L100)))),AND(E100=999,ISNUMBER(VALUE(FIND("CB",L100)))),AND(E100=999,O100&lt;10),AND(F100&lt;10,M100=999,O100&lt;10)),1,0)</f>
        <v>1</v>
      </c>
      <c r="O100" s="33">
        <f t="shared" ref="O100:O104" si="89">VALUE(MID(L100,23,2))</f>
        <v>2</v>
      </c>
      <c r="P100" s="33">
        <f t="shared" ref="P100:P104" si="90">IF(ABS(O100-F100)&lt;11,1,0)</f>
        <v>1</v>
      </c>
      <c r="Q100" s="34">
        <f t="shared" ref="Q100:Q104" si="91">IF(MID(L100,25,1)="G","GUST",0)</f>
        <v>0</v>
      </c>
      <c r="R100" s="33">
        <f t="shared" ref="R100:R104" si="92">IF(G100=Q100,1,0)</f>
        <v>1</v>
      </c>
      <c r="S100" s="34">
        <f t="shared" ref="S100:S104" si="93">IF(ISNUMBER(VALUE(MID(L100,(FIND("KT",L100,FIND("Z",L100))+3),4))),VALUE(MID(L100,(FIND("KT",L100,FIND("Z",L100))+3),4)),IF(ISNUMBER(VALUE(MID(L100,(FIND("0V",L100)+6),4))),VALUE(MID(L100,(FIND("0V",L100)+6),4)),9999))</f>
        <v>8000</v>
      </c>
      <c r="T100" s="34">
        <f t="shared" ref="T100:T104" si="94">IF(OR(AND(H100&lt;801,S100&lt;801),AND(H100&gt;799,H100&lt;1501,S100&gt;799,S100&lt;1502),AND(H100&gt;1499,H100&lt;3001,S100&gt;1499,S100&lt;3001),AND(H100&gt;2999,H100&lt;5001,S100&gt;2999,S100&lt;5001),AND(H100&gt;4999,S100&gt;4999)),1,0)</f>
        <v>1</v>
      </c>
      <c r="U100" s="34">
        <f t="shared" ref="U100:U104" si="95">IF(AND(IFERROR(FIND("RA",L100),0)&gt;0, IFERROR(FIND("RA",L100),0)&lt;38),"RA",0)</f>
        <v>0</v>
      </c>
      <c r="V100" s="34">
        <f t="shared" ref="V100:V104" si="96">IF(U100=I100,1,0)</f>
        <v>1</v>
      </c>
      <c r="W100" s="34" t="str">
        <f t="shared" ref="W100:W104" si="97">IF(ISNUMBER(VALUE(FIND("FEW",L100))),"FEW",IF(ISNUMBER(VALUE(FIND("SCT",L100))),"SCT",IF(ISNUMBER(VALUE(FIND("BKN",L100))),"BKN",IF(ISNUMBER(VALUE(FIND("OVC",L100))),"OVC",IF(ISNUMBER(VALUE(FIND("SKC",L100))),"SKC",IF(ISNUMBER(VALUE(FIND("CAVOK",L100))),"SKC",IF(ISNUMBER(VALUE(FIND("NSC",L100))),"SKC","EROR")))))))</f>
        <v>BKN</v>
      </c>
      <c r="X100" s="34">
        <f t="shared" ref="X100:X104" si="98">IF(OR(AND(OR(J100="SKC",J100="FEW",J100="SCT"),OR(W100="SKC",W100="FEW",W100="SCT")),(AND(OR(J100="BKN",J100="OVC"),OR(W100="BKN",W100="OVC")))),1,0)</f>
        <v>1</v>
      </c>
      <c r="Y100" s="34">
        <f t="shared" ref="Y100:Y104" si="99">IF(ISNUMBER(VALUE(FIND("CAVOK",L100))),9999,IF(ISNUMBER(VALUE(FIND("NSC",L100))),9999,(MID(L100,(FIND(W100,L100)+4),2))*100))</f>
        <v>900</v>
      </c>
      <c r="Z100" s="34">
        <f t="shared" ref="Z100:Z104" si="100">IF(AND(Y100&lt;1001,ABS(K100-Y100)&lt;101),1,IF(AND(Y100&gt;1000,ABS(Y100-K100)/K100&lt;0.30005),1,0))</f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t="s">
        <v>456</v>
      </c>
      <c r="M101" s="32">
        <f t="shared" si="87"/>
        <v>30</v>
      </c>
      <c r="N101" s="33">
        <f t="shared" si="88"/>
        <v>1</v>
      </c>
      <c r="O101" s="33">
        <f t="shared" si="89"/>
        <v>3</v>
      </c>
      <c r="P101" s="33">
        <f t="shared" si="90"/>
        <v>1</v>
      </c>
      <c r="Q101" s="34">
        <f t="shared" si="91"/>
        <v>0</v>
      </c>
      <c r="R101" s="33">
        <f t="shared" si="92"/>
        <v>1</v>
      </c>
      <c r="S101" s="34">
        <f t="shared" si="93"/>
        <v>4000</v>
      </c>
      <c r="T101" s="34">
        <f t="shared" si="94"/>
        <v>0</v>
      </c>
      <c r="U101" s="34">
        <f t="shared" si="95"/>
        <v>0</v>
      </c>
      <c r="V101" s="34">
        <f t="shared" si="96"/>
        <v>1</v>
      </c>
      <c r="W101" s="34" t="str">
        <f t="shared" si="97"/>
        <v>BKN</v>
      </c>
      <c r="X101" s="34">
        <f t="shared" si="98"/>
        <v>1</v>
      </c>
      <c r="Y101" s="34">
        <f t="shared" si="99"/>
        <v>900</v>
      </c>
      <c r="Z101" s="34">
        <f t="shared" si="100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t="s">
        <v>454</v>
      </c>
      <c r="M102" s="32">
        <f t="shared" si="87"/>
        <v>350</v>
      </c>
      <c r="N102" s="33">
        <f t="shared" si="88"/>
        <v>1</v>
      </c>
      <c r="O102" s="33">
        <f t="shared" si="89"/>
        <v>3</v>
      </c>
      <c r="P102" s="33">
        <f t="shared" si="90"/>
        <v>1</v>
      </c>
      <c r="Q102" s="34">
        <f t="shared" si="91"/>
        <v>0</v>
      </c>
      <c r="R102" s="33">
        <f t="shared" si="92"/>
        <v>1</v>
      </c>
      <c r="S102" s="34">
        <f t="shared" si="93"/>
        <v>8000</v>
      </c>
      <c r="T102" s="34">
        <f t="shared" si="94"/>
        <v>1</v>
      </c>
      <c r="U102" s="34">
        <f t="shared" si="95"/>
        <v>0</v>
      </c>
      <c r="V102" s="34">
        <f t="shared" si="96"/>
        <v>1</v>
      </c>
      <c r="W102" s="34" t="str">
        <f t="shared" si="97"/>
        <v>BKN</v>
      </c>
      <c r="X102" s="34">
        <f t="shared" si="98"/>
        <v>1</v>
      </c>
      <c r="Y102" s="34">
        <f t="shared" si="99"/>
        <v>800</v>
      </c>
      <c r="Z102" s="34">
        <f t="shared" si="100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t="s">
        <v>453</v>
      </c>
      <c r="M103" s="32">
        <f t="shared" si="87"/>
        <v>320</v>
      </c>
      <c r="N103" s="33">
        <f t="shared" si="88"/>
        <v>1</v>
      </c>
      <c r="O103" s="33">
        <f t="shared" si="89"/>
        <v>3</v>
      </c>
      <c r="P103" s="33">
        <f t="shared" si="90"/>
        <v>1</v>
      </c>
      <c r="Q103" s="34">
        <f t="shared" si="91"/>
        <v>0</v>
      </c>
      <c r="R103" s="33">
        <f t="shared" si="92"/>
        <v>1</v>
      </c>
      <c r="S103" s="34">
        <f t="shared" si="93"/>
        <v>8000</v>
      </c>
      <c r="T103" s="34">
        <f t="shared" si="94"/>
        <v>1</v>
      </c>
      <c r="U103" s="34">
        <f t="shared" si="95"/>
        <v>0</v>
      </c>
      <c r="V103" s="34">
        <f t="shared" si="96"/>
        <v>1</v>
      </c>
      <c r="W103" s="34" t="str">
        <f t="shared" si="97"/>
        <v>BKN</v>
      </c>
      <c r="X103" s="34">
        <f t="shared" si="98"/>
        <v>1</v>
      </c>
      <c r="Y103" s="34">
        <f t="shared" si="99"/>
        <v>800</v>
      </c>
      <c r="Z103" s="34">
        <f t="shared" si="100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t="s">
        <v>452</v>
      </c>
      <c r="M104" s="32">
        <f t="shared" si="87"/>
        <v>320</v>
      </c>
      <c r="N104" s="33">
        <f t="shared" si="88"/>
        <v>1</v>
      </c>
      <c r="O104" s="33">
        <f t="shared" si="89"/>
        <v>3</v>
      </c>
      <c r="P104" s="33">
        <f t="shared" si="90"/>
        <v>1</v>
      </c>
      <c r="Q104" s="34">
        <f t="shared" si="91"/>
        <v>0</v>
      </c>
      <c r="R104" s="33">
        <f t="shared" si="92"/>
        <v>1</v>
      </c>
      <c r="S104" s="34">
        <f t="shared" si="93"/>
        <v>8000</v>
      </c>
      <c r="T104" s="34">
        <f t="shared" si="94"/>
        <v>1</v>
      </c>
      <c r="U104" s="34">
        <f t="shared" si="95"/>
        <v>0</v>
      </c>
      <c r="V104" s="34">
        <f t="shared" si="96"/>
        <v>1</v>
      </c>
      <c r="W104" s="34" t="str">
        <f t="shared" si="97"/>
        <v>BKN</v>
      </c>
      <c r="X104" s="34">
        <f t="shared" si="98"/>
        <v>1</v>
      </c>
      <c r="Y104" s="34">
        <f t="shared" si="99"/>
        <v>900</v>
      </c>
      <c r="Z104" s="34">
        <f t="shared" si="100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10</v>
      </c>
      <c r="U109" s="25"/>
      <c r="V109" s="25">
        <f>SUM(V93:V104)</f>
        <v>10</v>
      </c>
      <c r="W109" s="25"/>
      <c r="X109" s="25">
        <f>SUM(X93:X104)</f>
        <v>11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10</v>
      </c>
      <c r="U110" s="25"/>
      <c r="V110" s="25">
        <f>SUMIF($C93:$C104,"GENERAL",V93:V104)</f>
        <v>10</v>
      </c>
      <c r="W110" s="25"/>
      <c r="X110" s="25">
        <f>SUMIF($C93:$C104,"GENERAL",X93:X104)</f>
        <v>11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83.333333333333343</v>
      </c>
      <c r="U114" s="38"/>
      <c r="V114" s="38">
        <f>(SUM(V110:V113)/COUNTA(V93:V104))*100</f>
        <v>83.333333333333343</v>
      </c>
      <c r="W114" s="38"/>
      <c r="X114" s="38">
        <f>(SUM(X110:X113)/COUNTA(X93:X104))*100</f>
        <v>91.666666666666657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C0E40-D8C1-9444-946F-2722F42B1983}">
  <sheetPr>
    <tabColor theme="0"/>
  </sheetPr>
  <dimension ref="A1:AE115"/>
  <sheetViews>
    <sheetView topLeftCell="A79" zoomScale="85" zoomScaleNormal="85" workbookViewId="0">
      <selection activeCell="L104" sqref="L99:L104"/>
    </sheetView>
  </sheetViews>
  <sheetFormatPr defaultColWidth="11.5" defaultRowHeight="15.75"/>
  <cols>
    <col min="12" max="12" width="55.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457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15</v>
      </c>
      <c r="B7" s="28">
        <v>0</v>
      </c>
      <c r="C7" s="51" t="s">
        <v>39</v>
      </c>
      <c r="D7" s="29"/>
      <c r="E7" s="29">
        <v>100</v>
      </c>
      <c r="F7" s="29">
        <v>3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1" t="s">
        <v>451</v>
      </c>
      <c r="M7" s="32">
        <f t="shared" ref="M7:M12" si="0">IF(ISNUMBER(VALUE(FIND("VRB",L7))),999,VALUE(MID(L7,20,3)))</f>
        <v>0</v>
      </c>
      <c r="N7" s="33">
        <f t="shared" ref="N7:N12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2" si="2">VALUE(MID(L7,23,2))</f>
        <v>0</v>
      </c>
      <c r="P7" s="33">
        <f t="shared" ref="P7:P12" si="3">IF(ABS(O7-F7)&lt;11,1,0)</f>
        <v>1</v>
      </c>
      <c r="Q7" s="34">
        <f t="shared" ref="Q7:Q12" si="4">IF(MID(L7,25,1)="G","GUST",0)</f>
        <v>0</v>
      </c>
      <c r="R7" s="33">
        <f t="shared" ref="R7:R12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2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2" si="7">IF(AND(IFERROR(FIND("RA",L7),0)&gt;0, IFERROR(FIND("RA",L7),0)&lt;38),"RA",0)</f>
        <v>0</v>
      </c>
      <c r="V7" s="34">
        <f t="shared" ref="V7:V12" si="8">IF(U7=I7,1,0)</f>
        <v>1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2" si="10">IF(OR(AND(OR(J7="SKC",J7="FEW",J7="SCT"),OR(W7="SKC",W7="FEW",W7="SCT")),(AND(OR(J7="BKN",J7="OVC"),OR(W7="BKN",W7="OVC")))),1,0)</f>
        <v>1</v>
      </c>
      <c r="Y7" s="34">
        <f t="shared" ref="Y7:Y12" si="11">IF(ISNUMBER(VALUE(FIND("CAVOK",L7))),9999,IF(ISNUMBER(VALUE(FIND("NSC",L7))),9999,(MID(L7,(FIND(W7,L7)+4),2))*100))</f>
        <v>900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51" t="s">
        <v>39</v>
      </c>
      <c r="D8" s="29"/>
      <c r="E8" s="29">
        <v>100</v>
      </c>
      <c r="F8" s="29">
        <v>3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65" t="s">
        <v>455</v>
      </c>
      <c r="M8" s="32">
        <f t="shared" si="0"/>
        <v>40</v>
      </c>
      <c r="N8" s="33">
        <f t="shared" si="1"/>
        <v>1</v>
      </c>
      <c r="O8" s="33">
        <f t="shared" si="2"/>
        <v>2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51" t="s">
        <v>39</v>
      </c>
      <c r="D9" s="29"/>
      <c r="E9" s="29">
        <v>100</v>
      </c>
      <c r="F9" s="29">
        <v>3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1" t="s">
        <v>456</v>
      </c>
      <c r="M9" s="32">
        <f t="shared" si="0"/>
        <v>30</v>
      </c>
      <c r="N9" s="33">
        <f t="shared" si="1"/>
        <v>1</v>
      </c>
      <c r="O9" s="33">
        <f t="shared" si="2"/>
        <v>3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4000</v>
      </c>
      <c r="T9" s="34">
        <f t="shared" si="6"/>
        <v>0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51" t="s">
        <v>39</v>
      </c>
      <c r="D10" s="29"/>
      <c r="E10" s="29">
        <v>100</v>
      </c>
      <c r="F10" s="29">
        <v>3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1" t="s">
        <v>454</v>
      </c>
      <c r="M10" s="32">
        <f t="shared" si="0"/>
        <v>350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800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51" t="s">
        <v>39</v>
      </c>
      <c r="D11" s="29"/>
      <c r="E11" s="29">
        <v>100</v>
      </c>
      <c r="F11" s="29">
        <v>3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1" t="s">
        <v>453</v>
      </c>
      <c r="M11" s="32">
        <f t="shared" si="0"/>
        <v>320</v>
      </c>
      <c r="N11" s="33">
        <f t="shared" si="1"/>
        <v>1</v>
      </c>
      <c r="O11" s="33">
        <f t="shared" si="2"/>
        <v>3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800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51" t="s">
        <v>39</v>
      </c>
      <c r="D12" s="29"/>
      <c r="E12" s="29">
        <v>100</v>
      </c>
      <c r="F12" s="29">
        <v>3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1" t="s">
        <v>452</v>
      </c>
      <c r="M12" s="32">
        <f t="shared" si="0"/>
        <v>320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51" t="s">
        <v>39</v>
      </c>
      <c r="D13" s="29"/>
      <c r="E13" s="29">
        <v>100</v>
      </c>
      <c r="F13" s="29">
        <v>3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1" t="s">
        <v>459</v>
      </c>
      <c r="M13" s="32">
        <f t="shared" ref="M13:M18" si="14">IF(ISNUMBER(VALUE(FIND("VRB",L13))),999,VALUE(MID(L13,20,3)))</f>
        <v>10</v>
      </c>
      <c r="N13" s="33">
        <f t="shared" ref="N13:N18" si="15">IF(OR(ABS(E13-M13)&lt;61,AND(ABS(E13-M13)&gt;60,O13&lt;10),E13=M13,AND(E13=999,ISNUMBER(VALUE(FIND("TS",L13)))),AND(E13=999,ISNUMBER(VALUE(FIND("CB",L13)))),AND(E13=999,O13&lt;10),AND(F13&lt;10,M13=999,O13&lt;10)),1,0)</f>
        <v>1</v>
      </c>
      <c r="O13" s="33">
        <f t="shared" ref="O13:O18" si="16">VALUE(MID(L13,23,2))</f>
        <v>4</v>
      </c>
      <c r="P13" s="33">
        <f t="shared" ref="P13:P18" si="17">IF(ABS(O13-F13)&lt;11,1,0)</f>
        <v>1</v>
      </c>
      <c r="Q13" s="34">
        <f t="shared" ref="Q13:Q18" si="18">IF(MID(L13,25,1)="G","GUST",0)</f>
        <v>0</v>
      </c>
      <c r="R13" s="33">
        <f t="shared" ref="R13:R18" si="19">IF(G13=Q13,1,0)</f>
        <v>1</v>
      </c>
      <c r="S13" s="34">
        <f t="shared" si="13"/>
        <v>8000</v>
      </c>
      <c r="T13" s="34">
        <f t="shared" ref="T13:T18" si="20">IF(OR(AND(H13&lt;801,S13&lt;801),AND(H13&gt;799,H13&lt;1501,S13&gt;799,S13&lt;1502),AND(H13&gt;1499,H13&lt;3001,S13&gt;1499,S13&lt;3001),AND(H13&gt;2999,H13&lt;5001,S13&gt;2999,S13&lt;5001),AND(H13&gt;4999,S13&gt;4999)),1,0)</f>
        <v>1</v>
      </c>
      <c r="U13" s="34">
        <f t="shared" ref="U13:U18" si="21">IF(AND(IFERROR(FIND("RA",L13),0)&gt;0, IFERROR(FIND("RA",L13),0)&lt;38),"RA",0)</f>
        <v>0</v>
      </c>
      <c r="V13" s="34">
        <f t="shared" ref="V13:V18" si="22">IF(U13=I13,1,0)</f>
        <v>1</v>
      </c>
      <c r="W13" s="34" t="str">
        <f t="shared" ref="W13:W18" si="23"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FEW</v>
      </c>
      <c r="X13" s="34">
        <f t="shared" ref="X13:X18" si="24">IF(OR(AND(OR(J13="SKC",J13="FEW",J13="SCT"),OR(W13="SKC",W13="FEW",W13="SCT")),(AND(OR(J13="BKN",J13="OVC"),OR(W13="BKN",W13="OVC")))),1,0)</f>
        <v>0</v>
      </c>
      <c r="Y13" s="34">
        <f t="shared" ref="Y13:Y18" si="25">IF(ISNUMBER(VALUE(FIND("CAVOK",L13))),9999,IF(ISNUMBER(VALUE(FIND("NSC",L13))),9999,(MID(L13,(FIND(W13,L13)+4),2))*100))</f>
        <v>800</v>
      </c>
      <c r="Z13" s="34">
        <f t="shared" ref="Z13:Z18" si="26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51" t="s">
        <v>39</v>
      </c>
      <c r="D14" s="29"/>
      <c r="E14" s="29">
        <v>100</v>
      </c>
      <c r="F14" s="29">
        <v>3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1" t="s">
        <v>460</v>
      </c>
      <c r="M14" s="32">
        <f t="shared" si="14"/>
        <v>20</v>
      </c>
      <c r="N14" s="33">
        <f t="shared" si="15"/>
        <v>1</v>
      </c>
      <c r="O14" s="33">
        <f t="shared" si="16"/>
        <v>4</v>
      </c>
      <c r="P14" s="33">
        <f t="shared" si="17"/>
        <v>1</v>
      </c>
      <c r="Q14" s="34">
        <f t="shared" si="18"/>
        <v>0</v>
      </c>
      <c r="R14" s="33">
        <f t="shared" si="19"/>
        <v>1</v>
      </c>
      <c r="S14" s="34">
        <f t="shared" si="13"/>
        <v>8000</v>
      </c>
      <c r="T14" s="34">
        <f t="shared" si="20"/>
        <v>1</v>
      </c>
      <c r="U14" s="34">
        <f t="shared" si="21"/>
        <v>0</v>
      </c>
      <c r="V14" s="34">
        <f t="shared" si="22"/>
        <v>1</v>
      </c>
      <c r="W14" s="34" t="str">
        <f t="shared" si="23"/>
        <v>FEW</v>
      </c>
      <c r="X14" s="34">
        <f t="shared" si="24"/>
        <v>0</v>
      </c>
      <c r="Y14" s="34">
        <f t="shared" si="25"/>
        <v>800</v>
      </c>
      <c r="Z14" s="34">
        <f t="shared" si="26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51" t="s">
        <v>39</v>
      </c>
      <c r="D15" s="29"/>
      <c r="E15" s="29">
        <v>100</v>
      </c>
      <c r="F15" s="29">
        <v>3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s="1" t="s">
        <v>465</v>
      </c>
      <c r="M15" s="32">
        <f t="shared" si="14"/>
        <v>30</v>
      </c>
      <c r="N15" s="33">
        <f t="shared" si="15"/>
        <v>1</v>
      </c>
      <c r="O15" s="33">
        <f t="shared" si="16"/>
        <v>3</v>
      </c>
      <c r="P15" s="33">
        <f t="shared" si="17"/>
        <v>1</v>
      </c>
      <c r="Q15" s="34">
        <f t="shared" si="18"/>
        <v>0</v>
      </c>
      <c r="R15" s="33">
        <f t="shared" si="19"/>
        <v>1</v>
      </c>
      <c r="S15" s="34">
        <f t="shared" si="13"/>
        <v>8000</v>
      </c>
      <c r="T15" s="34">
        <f t="shared" si="20"/>
        <v>1</v>
      </c>
      <c r="U15" s="34">
        <f t="shared" si="21"/>
        <v>0</v>
      </c>
      <c r="V15" s="34">
        <f t="shared" si="22"/>
        <v>1</v>
      </c>
      <c r="W15" s="34" t="str">
        <f t="shared" si="23"/>
        <v>FEW</v>
      </c>
      <c r="X15" s="34">
        <f t="shared" si="24"/>
        <v>0</v>
      </c>
      <c r="Y15" s="34">
        <f t="shared" si="25"/>
        <v>800</v>
      </c>
      <c r="Z15" s="34">
        <f t="shared" si="26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51" t="s">
        <v>39</v>
      </c>
      <c r="D16" s="29"/>
      <c r="E16" s="29">
        <v>100</v>
      </c>
      <c r="F16" s="29">
        <v>3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1" t="s">
        <v>466</v>
      </c>
      <c r="M16" s="32">
        <f t="shared" si="14"/>
        <v>80</v>
      </c>
      <c r="N16" s="33">
        <f t="shared" si="15"/>
        <v>1</v>
      </c>
      <c r="O16" s="33">
        <f t="shared" si="16"/>
        <v>2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20"/>
        <v>1</v>
      </c>
      <c r="U16" s="34">
        <f t="shared" si="21"/>
        <v>0</v>
      </c>
      <c r="V16" s="34">
        <f t="shared" si="22"/>
        <v>1</v>
      </c>
      <c r="W16" s="34" t="str">
        <f t="shared" si="23"/>
        <v>FEW</v>
      </c>
      <c r="X16" s="34">
        <f t="shared" si="24"/>
        <v>0</v>
      </c>
      <c r="Y16" s="34">
        <f t="shared" si="25"/>
        <v>800</v>
      </c>
      <c r="Z16" s="34">
        <f t="shared" si="26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51" t="s">
        <v>39</v>
      </c>
      <c r="D17" s="29"/>
      <c r="E17" s="29">
        <v>100</v>
      </c>
      <c r="F17" s="29">
        <v>3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1" t="s">
        <v>467</v>
      </c>
      <c r="M17" s="32">
        <f t="shared" si="14"/>
        <v>80</v>
      </c>
      <c r="N17" s="33">
        <f t="shared" si="15"/>
        <v>1</v>
      </c>
      <c r="O17" s="33">
        <f t="shared" si="16"/>
        <v>2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8000</v>
      </c>
      <c r="T17" s="34">
        <f t="shared" si="20"/>
        <v>1</v>
      </c>
      <c r="U17" s="34">
        <f t="shared" si="21"/>
        <v>0</v>
      </c>
      <c r="V17" s="34">
        <f t="shared" si="22"/>
        <v>1</v>
      </c>
      <c r="W17" s="34" t="str">
        <f t="shared" si="23"/>
        <v>FEW</v>
      </c>
      <c r="X17" s="34">
        <f t="shared" si="24"/>
        <v>0</v>
      </c>
      <c r="Y17" s="34">
        <f t="shared" si="25"/>
        <v>800</v>
      </c>
      <c r="Z17" s="34">
        <f t="shared" si="26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51" t="s">
        <v>39</v>
      </c>
      <c r="D18" s="29"/>
      <c r="E18" s="29">
        <v>100</v>
      </c>
      <c r="F18" s="29">
        <v>3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1" t="s">
        <v>468</v>
      </c>
      <c r="M18" s="32">
        <f t="shared" si="14"/>
        <v>0</v>
      </c>
      <c r="N18" s="33">
        <f t="shared" si="15"/>
        <v>1</v>
      </c>
      <c r="O18" s="33">
        <f t="shared" si="16"/>
        <v>0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8000</v>
      </c>
      <c r="T18" s="34">
        <f t="shared" si="20"/>
        <v>1</v>
      </c>
      <c r="U18" s="34">
        <f t="shared" si="21"/>
        <v>0</v>
      </c>
      <c r="V18" s="34">
        <f t="shared" si="22"/>
        <v>1</v>
      </c>
      <c r="W18" s="34" t="str">
        <f t="shared" si="23"/>
        <v>BKN</v>
      </c>
      <c r="X18" s="34">
        <f t="shared" si="24"/>
        <v>1</v>
      </c>
      <c r="Y18" s="34">
        <f t="shared" si="25"/>
        <v>900</v>
      </c>
      <c r="Z18" s="34">
        <f t="shared" si="26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11</v>
      </c>
      <c r="U23" s="25"/>
      <c r="V23" s="25">
        <f>SUM(V7:V18)</f>
        <v>12</v>
      </c>
      <c r="W23" s="25"/>
      <c r="X23" s="25">
        <f>SUM(X7:X18)</f>
        <v>7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11</v>
      </c>
      <c r="U24" s="25"/>
      <c r="V24" s="25">
        <f>SUMIF($C7:$C18,"GENERAL",V7:V18)</f>
        <v>12</v>
      </c>
      <c r="W24" s="25"/>
      <c r="X24" s="25">
        <f>SUMIF($C7:$C18,"GENERAL",X7:X18)</f>
        <v>7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91.666666666666657</v>
      </c>
      <c r="U28" s="38"/>
      <c r="V28" s="38">
        <f>(SUM(V24:V27)/COUNTA(V7:V18))*100</f>
        <v>100</v>
      </c>
      <c r="W28" s="38"/>
      <c r="X28" s="38">
        <f>(SUM(X24:X27)/COUNTA(X7:X18))*100</f>
        <v>58.333333333333336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458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15</v>
      </c>
      <c r="B36" s="28">
        <v>0.25</v>
      </c>
      <c r="C36" s="29" t="s">
        <v>39</v>
      </c>
      <c r="D36" s="30"/>
      <c r="E36" s="29">
        <v>340</v>
      </c>
      <c r="F36" s="29">
        <v>3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1" t="s">
        <v>459</v>
      </c>
      <c r="M36" s="32">
        <f t="shared" ref="M36:M41" si="27">IF(ISNUMBER(VALUE(FIND("VRB",L36))),999,VALUE(MID(L36,20,3)))</f>
        <v>10</v>
      </c>
      <c r="N36" s="33">
        <f t="shared" ref="N36:N41" si="2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9">VALUE(MID(L36,23,2))</f>
        <v>4</v>
      </c>
      <c r="P36" s="33">
        <f t="shared" ref="P36:P41" si="30">IF(ABS(O36-F36)&lt;11,1,0)</f>
        <v>1</v>
      </c>
      <c r="Q36" s="34">
        <f t="shared" ref="Q36:Q41" si="31">IF(MID(L36,25,1)="G","GUST",0)</f>
        <v>0</v>
      </c>
      <c r="R36" s="33">
        <f t="shared" ref="R36:R41" si="32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33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4">IF(AND(IFERROR(FIND("RA",L36),0)&gt;0, IFERROR(FIND("RA",L36),0)&lt;38),"RA",0)</f>
        <v>0</v>
      </c>
      <c r="V36" s="34">
        <f t="shared" ref="V36:V41" si="35">IF(U36=I36,1,0)</f>
        <v>1</v>
      </c>
      <c r="W36" s="34" t="str">
        <f t="shared" ref="W36:W41" si="36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FEW</v>
      </c>
      <c r="X36" s="34">
        <f t="shared" ref="X36:X41" si="37">IF(OR(AND(OR(J36="SKC",J36="FEW",J36="SCT"),OR(W36="SKC",W36="FEW",W36="SCT")),(AND(OR(J36="BKN",J36="OVC"),OR(W36="BKN",W36="OVC")))),1,0)</f>
        <v>0</v>
      </c>
      <c r="Y36" s="34">
        <f t="shared" ref="Y36:Y41" si="38">IF(ISNUMBER(VALUE(FIND("CAVOK",L36))),9999,IF(ISNUMBER(VALUE(FIND("NSC",L36))),9999,(MID(L36,(FIND(W36,L36)+4),2))*100))</f>
        <v>800</v>
      </c>
      <c r="Z36" s="34">
        <f t="shared" ref="Z36:Z41" si="39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340</v>
      </c>
      <c r="F37" s="29">
        <v>3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1" t="s">
        <v>460</v>
      </c>
      <c r="M37" s="32">
        <f t="shared" si="27"/>
        <v>20</v>
      </c>
      <c r="N37" s="33">
        <f t="shared" si="28"/>
        <v>1</v>
      </c>
      <c r="O37" s="33">
        <f t="shared" si="29"/>
        <v>4</v>
      </c>
      <c r="P37" s="33">
        <f t="shared" si="30"/>
        <v>1</v>
      </c>
      <c r="Q37" s="34">
        <f t="shared" si="31"/>
        <v>0</v>
      </c>
      <c r="R37" s="33">
        <f t="shared" si="32"/>
        <v>1</v>
      </c>
      <c r="S37" s="34">
        <f t="shared" ref="S37:S47" si="40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3"/>
        <v>1</v>
      </c>
      <c r="U37" s="34">
        <f t="shared" si="34"/>
        <v>0</v>
      </c>
      <c r="V37" s="34">
        <f t="shared" si="35"/>
        <v>1</v>
      </c>
      <c r="W37" s="34" t="str">
        <f t="shared" si="36"/>
        <v>FEW</v>
      </c>
      <c r="X37" s="34">
        <f t="shared" si="37"/>
        <v>0</v>
      </c>
      <c r="Y37" s="34">
        <f t="shared" si="38"/>
        <v>800</v>
      </c>
      <c r="Z37" s="34">
        <f t="shared" si="39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340</v>
      </c>
      <c r="F38" s="29">
        <v>3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s="1" t="s">
        <v>465</v>
      </c>
      <c r="M38" s="32">
        <f t="shared" si="27"/>
        <v>30</v>
      </c>
      <c r="N38" s="33">
        <f t="shared" si="28"/>
        <v>1</v>
      </c>
      <c r="O38" s="33">
        <f t="shared" si="29"/>
        <v>3</v>
      </c>
      <c r="P38" s="33">
        <f t="shared" si="30"/>
        <v>1</v>
      </c>
      <c r="Q38" s="34">
        <f t="shared" si="31"/>
        <v>0</v>
      </c>
      <c r="R38" s="33">
        <f t="shared" si="32"/>
        <v>1</v>
      </c>
      <c r="S38" s="34">
        <f t="shared" si="40"/>
        <v>8000</v>
      </c>
      <c r="T38" s="34">
        <f t="shared" si="33"/>
        <v>1</v>
      </c>
      <c r="U38" s="34">
        <f t="shared" si="34"/>
        <v>0</v>
      </c>
      <c r="V38" s="34">
        <f t="shared" si="35"/>
        <v>1</v>
      </c>
      <c r="W38" s="34" t="str">
        <f t="shared" si="36"/>
        <v>FEW</v>
      </c>
      <c r="X38" s="34">
        <f t="shared" si="37"/>
        <v>0</v>
      </c>
      <c r="Y38" s="34">
        <f t="shared" si="38"/>
        <v>800</v>
      </c>
      <c r="Z38" s="34">
        <f t="shared" si="39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340</v>
      </c>
      <c r="F39" s="29">
        <v>3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s="1" t="s">
        <v>466</v>
      </c>
      <c r="M39" s="32">
        <f t="shared" si="27"/>
        <v>80</v>
      </c>
      <c r="N39" s="33">
        <f t="shared" si="28"/>
        <v>1</v>
      </c>
      <c r="O39" s="33">
        <f t="shared" si="29"/>
        <v>2</v>
      </c>
      <c r="P39" s="33">
        <f t="shared" si="30"/>
        <v>1</v>
      </c>
      <c r="Q39" s="34">
        <f t="shared" si="31"/>
        <v>0</v>
      </c>
      <c r="R39" s="33">
        <f t="shared" si="32"/>
        <v>1</v>
      </c>
      <c r="S39" s="34">
        <f t="shared" si="40"/>
        <v>8000</v>
      </c>
      <c r="T39" s="34">
        <f t="shared" si="33"/>
        <v>1</v>
      </c>
      <c r="U39" s="34">
        <f t="shared" si="34"/>
        <v>0</v>
      </c>
      <c r="V39" s="34">
        <f t="shared" si="35"/>
        <v>1</v>
      </c>
      <c r="W39" s="34" t="str">
        <f t="shared" si="36"/>
        <v>FEW</v>
      </c>
      <c r="X39" s="34">
        <f t="shared" si="37"/>
        <v>0</v>
      </c>
      <c r="Y39" s="34">
        <f t="shared" si="38"/>
        <v>800</v>
      </c>
      <c r="Z39" s="34">
        <f t="shared" si="39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340</v>
      </c>
      <c r="F40" s="29">
        <v>3</v>
      </c>
      <c r="G40" s="29">
        <v>0</v>
      </c>
      <c r="H40" s="29">
        <v>8000</v>
      </c>
      <c r="I40" s="29">
        <v>0</v>
      </c>
      <c r="J40" s="29" t="s">
        <v>58</v>
      </c>
      <c r="K40" s="29">
        <v>900</v>
      </c>
      <c r="L40" s="1" t="s">
        <v>467</v>
      </c>
      <c r="M40" s="32">
        <f t="shared" si="27"/>
        <v>80</v>
      </c>
      <c r="N40" s="33">
        <f t="shared" si="28"/>
        <v>1</v>
      </c>
      <c r="O40" s="33">
        <f t="shared" si="29"/>
        <v>2</v>
      </c>
      <c r="P40" s="33">
        <f t="shared" si="30"/>
        <v>1</v>
      </c>
      <c r="Q40" s="34">
        <f t="shared" si="31"/>
        <v>0</v>
      </c>
      <c r="R40" s="33">
        <f t="shared" si="32"/>
        <v>1</v>
      </c>
      <c r="S40" s="34">
        <f t="shared" si="40"/>
        <v>8000</v>
      </c>
      <c r="T40" s="34">
        <f t="shared" si="33"/>
        <v>1</v>
      </c>
      <c r="U40" s="34">
        <f t="shared" si="34"/>
        <v>0</v>
      </c>
      <c r="V40" s="34">
        <f t="shared" si="35"/>
        <v>1</v>
      </c>
      <c r="W40" s="34" t="str">
        <f t="shared" si="36"/>
        <v>FEW</v>
      </c>
      <c r="X40" s="34">
        <f t="shared" si="37"/>
        <v>0</v>
      </c>
      <c r="Y40" s="34">
        <f t="shared" si="38"/>
        <v>800</v>
      </c>
      <c r="Z40" s="34">
        <f t="shared" si="39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340</v>
      </c>
      <c r="F41" s="29">
        <v>3</v>
      </c>
      <c r="G41" s="29">
        <v>0</v>
      </c>
      <c r="H41" s="29">
        <v>8000</v>
      </c>
      <c r="I41" s="29">
        <v>0</v>
      </c>
      <c r="J41" s="29" t="s">
        <v>58</v>
      </c>
      <c r="K41" s="29">
        <v>900</v>
      </c>
      <c r="L41" s="1" t="s">
        <v>468</v>
      </c>
      <c r="M41" s="32">
        <f t="shared" si="27"/>
        <v>0</v>
      </c>
      <c r="N41" s="33">
        <f t="shared" si="28"/>
        <v>1</v>
      </c>
      <c r="O41" s="33">
        <f t="shared" si="29"/>
        <v>0</v>
      </c>
      <c r="P41" s="33">
        <f t="shared" si="30"/>
        <v>1</v>
      </c>
      <c r="Q41" s="34">
        <f t="shared" si="31"/>
        <v>0</v>
      </c>
      <c r="R41" s="33">
        <f t="shared" si="32"/>
        <v>1</v>
      </c>
      <c r="S41" s="34">
        <f t="shared" si="40"/>
        <v>8000</v>
      </c>
      <c r="T41" s="34">
        <f t="shared" si="33"/>
        <v>1</v>
      </c>
      <c r="U41" s="34">
        <f t="shared" si="34"/>
        <v>0</v>
      </c>
      <c r="V41" s="34">
        <f t="shared" si="35"/>
        <v>1</v>
      </c>
      <c r="W41" s="34" t="str">
        <f t="shared" si="36"/>
        <v>BKN</v>
      </c>
      <c r="X41" s="34">
        <f t="shared" si="37"/>
        <v>1</v>
      </c>
      <c r="Y41" s="34">
        <f t="shared" si="38"/>
        <v>900</v>
      </c>
      <c r="Z41" s="34">
        <f t="shared" si="39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340</v>
      </c>
      <c r="F42" s="29">
        <v>3</v>
      </c>
      <c r="G42" s="29">
        <v>0</v>
      </c>
      <c r="H42" s="29">
        <v>8000</v>
      </c>
      <c r="I42" s="29">
        <v>0</v>
      </c>
      <c r="J42" s="29" t="s">
        <v>58</v>
      </c>
      <c r="K42" s="29">
        <v>900</v>
      </c>
      <c r="L42" s="1" t="s">
        <v>469</v>
      </c>
      <c r="M42" s="32">
        <f t="shared" ref="M42:M47" si="41">IF(ISNUMBER(VALUE(FIND("VRB",L42))),999,VALUE(MID(L42,20,3)))</f>
        <v>250</v>
      </c>
      <c r="N42" s="33">
        <f t="shared" ref="N42:N47" si="42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3">VALUE(MID(L42,23,2))</f>
        <v>2</v>
      </c>
      <c r="P42" s="33">
        <f t="shared" ref="P42:P47" si="44">IF(ABS(O42-F42)&lt;11,1,0)</f>
        <v>1</v>
      </c>
      <c r="Q42" s="34">
        <f t="shared" ref="Q42:Q47" si="45">IF(MID(L42,25,1)="G","GUST",0)</f>
        <v>0</v>
      </c>
      <c r="R42" s="33">
        <f t="shared" ref="R42:R47" si="46">IF(G42=Q42,1,0)</f>
        <v>1</v>
      </c>
      <c r="S42" s="34">
        <f t="shared" si="40"/>
        <v>8000</v>
      </c>
      <c r="T42" s="34">
        <f t="shared" ref="T42:T47" si="47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>
        <f t="shared" ref="U42:U47" si="48">IF(AND(IFERROR(FIND("RA",L42),0)&gt;0, IFERROR(FIND("RA",L42),0)&lt;38),"RA",0)</f>
        <v>0</v>
      </c>
      <c r="V42" s="34">
        <f t="shared" ref="V42:V47" si="49">IF(U42=I42,1,0)</f>
        <v>1</v>
      </c>
      <c r="W42" s="34" t="str">
        <f t="shared" ref="W42:W47" si="50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BKN</v>
      </c>
      <c r="X42" s="34">
        <f t="shared" ref="X42:X47" si="51">IF(OR(AND(OR(J42="SKC",J42="FEW",J42="SCT"),OR(W42="SKC",W42="FEW",W42="SCT")),(AND(OR(J42="BKN",J42="OVC"),OR(W42="BKN",W42="OVC")))),1,0)</f>
        <v>1</v>
      </c>
      <c r="Y42" s="34">
        <f t="shared" ref="Y42:Y47" si="52">IF(ISNUMBER(VALUE(FIND("CAVOK",L42))),9999,IF(ISNUMBER(VALUE(FIND("NSC",L42))),9999,(MID(L42,(FIND(W42,L42)+4),2))*100))</f>
        <v>900</v>
      </c>
      <c r="Z42" s="34">
        <f t="shared" ref="Z42:Z47" si="53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340</v>
      </c>
      <c r="F43" s="29">
        <v>3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s="1" t="s">
        <v>470</v>
      </c>
      <c r="M43" s="32">
        <f t="shared" si="41"/>
        <v>240</v>
      </c>
      <c r="N43" s="33">
        <f t="shared" si="42"/>
        <v>1</v>
      </c>
      <c r="O43" s="33">
        <f t="shared" si="43"/>
        <v>2</v>
      </c>
      <c r="P43" s="33">
        <f t="shared" si="44"/>
        <v>1</v>
      </c>
      <c r="Q43" s="34">
        <f t="shared" si="45"/>
        <v>0</v>
      </c>
      <c r="R43" s="33">
        <f t="shared" si="46"/>
        <v>1</v>
      </c>
      <c r="S43" s="34">
        <f t="shared" si="40"/>
        <v>8000</v>
      </c>
      <c r="T43" s="34">
        <f t="shared" si="47"/>
        <v>1</v>
      </c>
      <c r="U43" s="34">
        <f t="shared" si="48"/>
        <v>0</v>
      </c>
      <c r="V43" s="34">
        <f t="shared" si="49"/>
        <v>1</v>
      </c>
      <c r="W43" s="34" t="str">
        <f t="shared" si="50"/>
        <v>BKN</v>
      </c>
      <c r="X43" s="34">
        <f t="shared" si="51"/>
        <v>1</v>
      </c>
      <c r="Y43" s="34">
        <f t="shared" si="52"/>
        <v>900</v>
      </c>
      <c r="Z43" s="34">
        <f t="shared" si="53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340</v>
      </c>
      <c r="F44" s="29">
        <v>3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s="1" t="s">
        <v>471</v>
      </c>
      <c r="M44" s="32">
        <f t="shared" si="41"/>
        <v>0</v>
      </c>
      <c r="N44" s="33">
        <f t="shared" si="42"/>
        <v>1</v>
      </c>
      <c r="O44" s="33">
        <f t="shared" si="43"/>
        <v>0</v>
      </c>
      <c r="P44" s="33">
        <f t="shared" si="44"/>
        <v>1</v>
      </c>
      <c r="Q44" s="34">
        <f t="shared" si="45"/>
        <v>0</v>
      </c>
      <c r="R44" s="33">
        <f t="shared" si="46"/>
        <v>1</v>
      </c>
      <c r="S44" s="34">
        <f t="shared" si="40"/>
        <v>8000</v>
      </c>
      <c r="T44" s="34">
        <f t="shared" si="47"/>
        <v>1</v>
      </c>
      <c r="U44" s="34">
        <f t="shared" si="48"/>
        <v>0</v>
      </c>
      <c r="V44" s="34">
        <f t="shared" si="49"/>
        <v>1</v>
      </c>
      <c r="W44" s="34" t="str">
        <f t="shared" si="50"/>
        <v>BKN</v>
      </c>
      <c r="X44" s="34">
        <f t="shared" si="51"/>
        <v>1</v>
      </c>
      <c r="Y44" s="34">
        <f t="shared" si="52"/>
        <v>900</v>
      </c>
      <c r="Z44" s="34">
        <f t="shared" si="53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340</v>
      </c>
      <c r="F45" s="29">
        <v>3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s="1" t="s">
        <v>472</v>
      </c>
      <c r="M45" s="32">
        <f t="shared" si="41"/>
        <v>20</v>
      </c>
      <c r="N45" s="33">
        <f t="shared" si="42"/>
        <v>1</v>
      </c>
      <c r="O45" s="33">
        <f t="shared" si="43"/>
        <v>3</v>
      </c>
      <c r="P45" s="33">
        <f t="shared" si="44"/>
        <v>1</v>
      </c>
      <c r="Q45" s="34">
        <f t="shared" si="45"/>
        <v>0</v>
      </c>
      <c r="R45" s="33">
        <f t="shared" si="46"/>
        <v>1</v>
      </c>
      <c r="S45" s="34">
        <f t="shared" si="40"/>
        <v>400</v>
      </c>
      <c r="T45" s="34">
        <f t="shared" si="47"/>
        <v>0</v>
      </c>
      <c r="U45" s="34" t="str">
        <f t="shared" si="48"/>
        <v>RA</v>
      </c>
      <c r="V45" s="34">
        <f t="shared" si="49"/>
        <v>0</v>
      </c>
      <c r="W45" s="34" t="str">
        <f t="shared" si="50"/>
        <v>BKN</v>
      </c>
      <c r="X45" s="34">
        <f t="shared" si="51"/>
        <v>1</v>
      </c>
      <c r="Y45" s="34">
        <f t="shared" si="52"/>
        <v>800</v>
      </c>
      <c r="Z45" s="34">
        <f t="shared" si="53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340</v>
      </c>
      <c r="F46" s="29">
        <v>3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1" t="s">
        <v>473</v>
      </c>
      <c r="M46" s="32">
        <f t="shared" si="41"/>
        <v>280</v>
      </c>
      <c r="N46" s="33">
        <f t="shared" si="42"/>
        <v>1</v>
      </c>
      <c r="O46" s="33">
        <f t="shared" si="43"/>
        <v>2</v>
      </c>
      <c r="P46" s="33">
        <f t="shared" si="44"/>
        <v>1</v>
      </c>
      <c r="Q46" s="34">
        <f t="shared" si="45"/>
        <v>0</v>
      </c>
      <c r="R46" s="33">
        <f t="shared" si="46"/>
        <v>1</v>
      </c>
      <c r="S46" s="34">
        <f t="shared" si="40"/>
        <v>8000</v>
      </c>
      <c r="T46" s="34">
        <f t="shared" si="47"/>
        <v>1</v>
      </c>
      <c r="U46" s="34">
        <f t="shared" si="48"/>
        <v>0</v>
      </c>
      <c r="V46" s="34">
        <f t="shared" si="49"/>
        <v>1</v>
      </c>
      <c r="W46" s="34" t="str">
        <f t="shared" si="50"/>
        <v>BKN</v>
      </c>
      <c r="X46" s="34">
        <f t="shared" si="51"/>
        <v>1</v>
      </c>
      <c r="Y46" s="34">
        <f t="shared" si="52"/>
        <v>900</v>
      </c>
      <c r="Z46" s="34">
        <f t="shared" si="53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340</v>
      </c>
      <c r="F47" s="29">
        <v>3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1" t="s">
        <v>474</v>
      </c>
      <c r="M47" s="32">
        <f t="shared" si="41"/>
        <v>0</v>
      </c>
      <c r="N47" s="33">
        <f t="shared" si="42"/>
        <v>1</v>
      </c>
      <c r="O47" s="33">
        <f t="shared" si="43"/>
        <v>0</v>
      </c>
      <c r="P47" s="33">
        <f t="shared" si="44"/>
        <v>1</v>
      </c>
      <c r="Q47" s="34">
        <f t="shared" si="45"/>
        <v>0</v>
      </c>
      <c r="R47" s="33">
        <f t="shared" si="46"/>
        <v>1</v>
      </c>
      <c r="S47" s="34">
        <f t="shared" si="40"/>
        <v>7000</v>
      </c>
      <c r="T47" s="34">
        <f t="shared" si="47"/>
        <v>1</v>
      </c>
      <c r="U47" s="34">
        <f t="shared" si="48"/>
        <v>0</v>
      </c>
      <c r="V47" s="34">
        <f t="shared" si="49"/>
        <v>1</v>
      </c>
      <c r="W47" s="34" t="str">
        <f t="shared" si="50"/>
        <v>BKN</v>
      </c>
      <c r="X47" s="34">
        <f t="shared" si="51"/>
        <v>1</v>
      </c>
      <c r="Y47" s="34">
        <f t="shared" si="52"/>
        <v>900</v>
      </c>
      <c r="Z47" s="34">
        <f t="shared" si="53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11</v>
      </c>
      <c r="U52" s="25"/>
      <c r="V52" s="25">
        <f>SUM(V36:V47)</f>
        <v>11</v>
      </c>
      <c r="W52" s="25"/>
      <c r="X52" s="25">
        <f>SUM(X36:X47)</f>
        <v>7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11</v>
      </c>
      <c r="U53" s="25"/>
      <c r="V53" s="25">
        <f>SUMIF($C36:$C47,"GENERAL",V36:V47)</f>
        <v>11</v>
      </c>
      <c r="W53" s="25"/>
      <c r="X53" s="25">
        <f>SUMIF($C36:$C47,"GENERAL",X36:X47)</f>
        <v>7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91.666666666666657</v>
      </c>
      <c r="U57" s="38"/>
      <c r="V57" s="38">
        <f>(SUM(V53:V56)/COUNTA(V36:V47))*100</f>
        <v>91.666666666666657</v>
      </c>
      <c r="W57" s="38"/>
      <c r="X57" s="38">
        <f>(SUM(X53:X56)/COUNTA(X36:X47))*100</f>
        <v>58.333333333333336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461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15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51</v>
      </c>
      <c r="K65" s="51">
        <v>800</v>
      </c>
      <c r="L65" s="1" t="s">
        <v>469</v>
      </c>
      <c r="M65" s="32">
        <f t="shared" ref="M65:M70" si="54">IF(ISNUMBER(VALUE(FIND("VRB",L65))),999,VALUE(MID(L65,20,3)))</f>
        <v>250</v>
      </c>
      <c r="N65" s="33">
        <f t="shared" ref="N65:N70" si="55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6">VALUE(MID(L65,23,2))</f>
        <v>2</v>
      </c>
      <c r="P65" s="33">
        <f t="shared" ref="P65:P70" si="57">IF(ABS(O65-F65)&lt;11,1,0)</f>
        <v>1</v>
      </c>
      <c r="Q65" s="34">
        <f t="shared" ref="Q65:Q70" si="58">IF(MID(L65,25,1)="G","GUST",0)</f>
        <v>0</v>
      </c>
      <c r="R65" s="33">
        <f t="shared" ref="R65:R70" si="59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60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61">IF(AND(IFERROR(FIND("RA",L65),0)&gt;0, IFERROR(FIND("RA",L65),0)&lt;38),"RA",0)</f>
        <v>0</v>
      </c>
      <c r="V65" s="34">
        <f t="shared" ref="V65:V70" si="62">IF(U65=I65,1,0)</f>
        <v>1</v>
      </c>
      <c r="W65" s="34" t="str">
        <f t="shared" ref="W65:W70" si="63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0" si="64">IF(OR(AND(OR(J65="SKC",J65="FEW",J65="SCT"),OR(W65="SKC",W65="FEW",W65="SCT")),(AND(OR(J65="BKN",J65="OVC"),OR(W65="BKN",W65="OVC")))),1,0)</f>
        <v>0</v>
      </c>
      <c r="Y65" s="34">
        <f t="shared" ref="Y65:Y70" si="65">IF(ISNUMBER(VALUE(FIND("CAVOK",L65))),9999,IF(ISNUMBER(VALUE(FIND("NSC",L65))),9999,(MID(L65,(FIND(W65,L65)+4),2))*100))</f>
        <v>900</v>
      </c>
      <c r="Z65" s="34">
        <f t="shared" ref="Z65:Z70" si="66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51</v>
      </c>
      <c r="K66" s="51">
        <v>800</v>
      </c>
      <c r="L66" s="1" t="s">
        <v>470</v>
      </c>
      <c r="M66" s="32">
        <f t="shared" si="54"/>
        <v>240</v>
      </c>
      <c r="N66" s="33">
        <f t="shared" si="55"/>
        <v>1</v>
      </c>
      <c r="O66" s="33">
        <f t="shared" si="56"/>
        <v>2</v>
      </c>
      <c r="P66" s="33">
        <f t="shared" si="57"/>
        <v>1</v>
      </c>
      <c r="Q66" s="34">
        <f t="shared" si="58"/>
        <v>0</v>
      </c>
      <c r="R66" s="33">
        <f t="shared" si="59"/>
        <v>1</v>
      </c>
      <c r="S66" s="34">
        <f t="shared" ref="S66:S76" si="67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60"/>
        <v>1</v>
      </c>
      <c r="U66" s="34">
        <f t="shared" si="61"/>
        <v>0</v>
      </c>
      <c r="V66" s="34">
        <f t="shared" si="62"/>
        <v>1</v>
      </c>
      <c r="W66" s="34" t="str">
        <f t="shared" si="63"/>
        <v>BKN</v>
      </c>
      <c r="X66" s="34">
        <f t="shared" si="64"/>
        <v>0</v>
      </c>
      <c r="Y66" s="34">
        <f t="shared" si="65"/>
        <v>900</v>
      </c>
      <c r="Z66" s="34">
        <f t="shared" si="66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1" t="s">
        <v>51</v>
      </c>
      <c r="K67" s="51">
        <v>800</v>
      </c>
      <c r="L67" s="1" t="s">
        <v>471</v>
      </c>
      <c r="M67" s="32">
        <f t="shared" si="54"/>
        <v>0</v>
      </c>
      <c r="N67" s="33">
        <f t="shared" si="55"/>
        <v>1</v>
      </c>
      <c r="O67" s="33">
        <f t="shared" si="56"/>
        <v>0</v>
      </c>
      <c r="P67" s="33">
        <f t="shared" si="57"/>
        <v>1</v>
      </c>
      <c r="Q67" s="34">
        <f t="shared" si="58"/>
        <v>0</v>
      </c>
      <c r="R67" s="33">
        <f t="shared" si="59"/>
        <v>1</v>
      </c>
      <c r="S67" s="34">
        <f t="shared" si="67"/>
        <v>8000</v>
      </c>
      <c r="T67" s="34">
        <f t="shared" si="60"/>
        <v>1</v>
      </c>
      <c r="U67" s="34">
        <f t="shared" si="61"/>
        <v>0</v>
      </c>
      <c r="V67" s="34">
        <f t="shared" si="62"/>
        <v>1</v>
      </c>
      <c r="W67" s="34" t="str">
        <f t="shared" si="63"/>
        <v>BKN</v>
      </c>
      <c r="X67" s="34">
        <f t="shared" si="64"/>
        <v>0</v>
      </c>
      <c r="Y67" s="34">
        <f t="shared" si="65"/>
        <v>900</v>
      </c>
      <c r="Z67" s="34">
        <f t="shared" si="66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1" t="s">
        <v>51</v>
      </c>
      <c r="K68" s="51">
        <v>800</v>
      </c>
      <c r="L68" s="1" t="s">
        <v>472</v>
      </c>
      <c r="M68" s="32">
        <f t="shared" si="54"/>
        <v>20</v>
      </c>
      <c r="N68" s="33">
        <f t="shared" si="55"/>
        <v>1</v>
      </c>
      <c r="O68" s="33">
        <f t="shared" si="56"/>
        <v>3</v>
      </c>
      <c r="P68" s="33">
        <f t="shared" si="57"/>
        <v>1</v>
      </c>
      <c r="Q68" s="34">
        <f t="shared" si="58"/>
        <v>0</v>
      </c>
      <c r="R68" s="33">
        <f t="shared" si="59"/>
        <v>1</v>
      </c>
      <c r="S68" s="34">
        <f t="shared" si="67"/>
        <v>400</v>
      </c>
      <c r="T68" s="34">
        <f t="shared" si="60"/>
        <v>0</v>
      </c>
      <c r="U68" s="34" t="str">
        <f t="shared" si="61"/>
        <v>RA</v>
      </c>
      <c r="V68" s="34">
        <f t="shared" si="62"/>
        <v>0</v>
      </c>
      <c r="W68" s="34" t="str">
        <f t="shared" si="63"/>
        <v>BKN</v>
      </c>
      <c r="X68" s="34">
        <f t="shared" si="64"/>
        <v>0</v>
      </c>
      <c r="Y68" s="34">
        <f t="shared" si="65"/>
        <v>800</v>
      </c>
      <c r="Z68" s="34">
        <f t="shared" si="66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34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1" t="s">
        <v>58</v>
      </c>
      <c r="K69" s="51">
        <v>900</v>
      </c>
      <c r="L69" s="1" t="s">
        <v>473</v>
      </c>
      <c r="M69" s="32">
        <f t="shared" si="54"/>
        <v>280</v>
      </c>
      <c r="N69" s="33">
        <f t="shared" si="55"/>
        <v>1</v>
      </c>
      <c r="O69" s="33">
        <f t="shared" si="56"/>
        <v>2</v>
      </c>
      <c r="P69" s="33">
        <f t="shared" si="57"/>
        <v>1</v>
      </c>
      <c r="Q69" s="34">
        <f t="shared" si="58"/>
        <v>0</v>
      </c>
      <c r="R69" s="33">
        <f t="shared" si="59"/>
        <v>1</v>
      </c>
      <c r="S69" s="34">
        <f t="shared" si="67"/>
        <v>8000</v>
      </c>
      <c r="T69" s="34">
        <f t="shared" si="60"/>
        <v>1</v>
      </c>
      <c r="U69" s="34">
        <f t="shared" si="61"/>
        <v>0</v>
      </c>
      <c r="V69" s="34">
        <f t="shared" si="62"/>
        <v>1</v>
      </c>
      <c r="W69" s="34" t="str">
        <f t="shared" si="63"/>
        <v>BKN</v>
      </c>
      <c r="X69" s="34">
        <f t="shared" si="64"/>
        <v>1</v>
      </c>
      <c r="Y69" s="34">
        <f t="shared" si="65"/>
        <v>900</v>
      </c>
      <c r="Z69" s="34">
        <f t="shared" si="66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34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1" t="s">
        <v>58</v>
      </c>
      <c r="K70" s="51">
        <v>900</v>
      </c>
      <c r="L70" s="1" t="s">
        <v>474</v>
      </c>
      <c r="M70" s="32">
        <f t="shared" si="54"/>
        <v>0</v>
      </c>
      <c r="N70" s="33">
        <f t="shared" si="55"/>
        <v>1</v>
      </c>
      <c r="O70" s="33">
        <f t="shared" si="56"/>
        <v>0</v>
      </c>
      <c r="P70" s="33">
        <f t="shared" si="57"/>
        <v>1</v>
      </c>
      <c r="Q70" s="34">
        <f t="shared" si="58"/>
        <v>0</v>
      </c>
      <c r="R70" s="33">
        <f t="shared" si="59"/>
        <v>1</v>
      </c>
      <c r="S70" s="34">
        <f t="shared" si="67"/>
        <v>7000</v>
      </c>
      <c r="T70" s="34">
        <f t="shared" si="60"/>
        <v>1</v>
      </c>
      <c r="U70" s="34">
        <f t="shared" si="61"/>
        <v>0</v>
      </c>
      <c r="V70" s="34">
        <f t="shared" si="62"/>
        <v>1</v>
      </c>
      <c r="W70" s="34" t="str">
        <f t="shared" si="63"/>
        <v>BKN</v>
      </c>
      <c r="X70" s="34">
        <f t="shared" si="64"/>
        <v>1</v>
      </c>
      <c r="Y70" s="34">
        <f t="shared" si="65"/>
        <v>900</v>
      </c>
      <c r="Z70" s="34">
        <f t="shared" si="66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34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s="1" t="s">
        <v>475</v>
      </c>
      <c r="M71" s="32">
        <f t="shared" ref="M71:M76" si="68">IF(ISNUMBER(VALUE(FIND("VRB",L71))),999,VALUE(MID(L71,20,3)))</f>
        <v>0</v>
      </c>
      <c r="N71" s="33">
        <f t="shared" ref="N71:N76" si="69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0">VALUE(MID(L71,23,2))</f>
        <v>0</v>
      </c>
      <c r="P71" s="33">
        <f t="shared" ref="P71:P76" si="71">IF(ABS(O71-F71)&lt;11,1,0)</f>
        <v>1</v>
      </c>
      <c r="Q71" s="34">
        <f t="shared" ref="Q71:Q76" si="72">IF(MID(L71,25,1)="G","GUST",0)</f>
        <v>0</v>
      </c>
      <c r="R71" s="33">
        <f t="shared" ref="R71:R76" si="73">IF(G71=Q71,1,0)</f>
        <v>1</v>
      </c>
      <c r="S71" s="34">
        <f t="shared" si="67"/>
        <v>8000</v>
      </c>
      <c r="T71" s="34">
        <f t="shared" ref="T71:T76" si="74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75">IF(AND(IFERROR(FIND("RA",L71),0)&gt;0, IFERROR(FIND("RA",L71),0)&lt;38),"RA",0)</f>
        <v>0</v>
      </c>
      <c r="V71" s="34">
        <f t="shared" ref="V71:V76" si="76">IF(U71=I71,1,0)</f>
        <v>1</v>
      </c>
      <c r="W71" s="34" t="str">
        <f t="shared" ref="W71:W76" si="77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8">IF(OR(AND(OR(J71="SKC",J71="FEW",J71="SCT"),OR(W71="SKC",W71="FEW",W71="SCT")),(AND(OR(J71="BKN",J71="OVC"),OR(W71="BKN",W71="OVC")))),1,0)</f>
        <v>1</v>
      </c>
      <c r="Y71" s="34">
        <f t="shared" ref="Y71:Y76" si="79">IF(ISNUMBER(VALUE(FIND("CAVOK",L71))),9999,IF(ISNUMBER(VALUE(FIND("NSC",L71))),9999,(MID(L71,(FIND(W71,L71)+4),2))*100))</f>
        <v>900</v>
      </c>
      <c r="Z71" s="34">
        <f t="shared" ref="Z71:Z76" si="80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34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s="1" t="s">
        <v>476</v>
      </c>
      <c r="M72" s="32">
        <f t="shared" si="68"/>
        <v>350</v>
      </c>
      <c r="N72" s="33">
        <f t="shared" si="69"/>
        <v>1</v>
      </c>
      <c r="O72" s="33">
        <f t="shared" si="70"/>
        <v>2</v>
      </c>
      <c r="P72" s="33">
        <f t="shared" si="71"/>
        <v>1</v>
      </c>
      <c r="Q72" s="34">
        <f t="shared" si="72"/>
        <v>0</v>
      </c>
      <c r="R72" s="33">
        <f t="shared" si="73"/>
        <v>1</v>
      </c>
      <c r="S72" s="34">
        <f t="shared" si="67"/>
        <v>8000</v>
      </c>
      <c r="T72" s="34">
        <f t="shared" si="74"/>
        <v>1</v>
      </c>
      <c r="U72" s="34">
        <f t="shared" si="75"/>
        <v>0</v>
      </c>
      <c r="V72" s="34">
        <f t="shared" si="76"/>
        <v>1</v>
      </c>
      <c r="W72" s="34" t="str">
        <f t="shared" si="77"/>
        <v>BKN</v>
      </c>
      <c r="X72" s="34">
        <f t="shared" si="78"/>
        <v>1</v>
      </c>
      <c r="Y72" s="34">
        <f t="shared" si="79"/>
        <v>900</v>
      </c>
      <c r="Z72" s="34">
        <f t="shared" si="8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34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s="1" t="s">
        <v>477</v>
      </c>
      <c r="M73" s="32">
        <f t="shared" si="68"/>
        <v>360</v>
      </c>
      <c r="N73" s="33">
        <f t="shared" si="69"/>
        <v>1</v>
      </c>
      <c r="O73" s="33">
        <f t="shared" si="70"/>
        <v>2</v>
      </c>
      <c r="P73" s="33">
        <f t="shared" si="71"/>
        <v>1</v>
      </c>
      <c r="Q73" s="34">
        <f t="shared" si="72"/>
        <v>0</v>
      </c>
      <c r="R73" s="33">
        <f t="shared" si="73"/>
        <v>1</v>
      </c>
      <c r="S73" s="34">
        <f t="shared" si="67"/>
        <v>8000</v>
      </c>
      <c r="T73" s="34">
        <f t="shared" si="74"/>
        <v>1</v>
      </c>
      <c r="U73" s="34">
        <f t="shared" si="75"/>
        <v>0</v>
      </c>
      <c r="V73" s="34">
        <f t="shared" si="76"/>
        <v>1</v>
      </c>
      <c r="W73" s="34" t="str">
        <f t="shared" si="77"/>
        <v>BKN</v>
      </c>
      <c r="X73" s="34">
        <f t="shared" si="78"/>
        <v>1</v>
      </c>
      <c r="Y73" s="34">
        <f t="shared" si="79"/>
        <v>900</v>
      </c>
      <c r="Z73" s="34">
        <f t="shared" si="8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34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s="1" t="s">
        <v>478</v>
      </c>
      <c r="M74" s="32">
        <f t="shared" si="68"/>
        <v>40</v>
      </c>
      <c r="N74" s="33">
        <f t="shared" si="69"/>
        <v>1</v>
      </c>
      <c r="O74" s="33">
        <f t="shared" si="70"/>
        <v>5</v>
      </c>
      <c r="P74" s="33">
        <f t="shared" si="71"/>
        <v>1</v>
      </c>
      <c r="Q74" s="34">
        <f t="shared" si="72"/>
        <v>0</v>
      </c>
      <c r="R74" s="33">
        <f t="shared" si="73"/>
        <v>1</v>
      </c>
      <c r="S74" s="34">
        <f t="shared" si="67"/>
        <v>8000</v>
      </c>
      <c r="T74" s="34">
        <f t="shared" si="74"/>
        <v>1</v>
      </c>
      <c r="U74" s="34" t="str">
        <f t="shared" si="75"/>
        <v>RA</v>
      </c>
      <c r="V74" s="34">
        <f t="shared" si="76"/>
        <v>0</v>
      </c>
      <c r="W74" s="34" t="str">
        <f t="shared" si="77"/>
        <v>BKN</v>
      </c>
      <c r="X74" s="34">
        <f t="shared" si="78"/>
        <v>1</v>
      </c>
      <c r="Y74" s="34">
        <f t="shared" si="79"/>
        <v>900</v>
      </c>
      <c r="Z74" s="34">
        <f t="shared" si="8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34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s="1" t="s">
        <v>479</v>
      </c>
      <c r="M75" s="32">
        <f t="shared" si="68"/>
        <v>90</v>
      </c>
      <c r="N75" s="33">
        <f t="shared" si="69"/>
        <v>1</v>
      </c>
      <c r="O75" s="33">
        <f t="shared" si="70"/>
        <v>6</v>
      </c>
      <c r="P75" s="33">
        <f t="shared" si="71"/>
        <v>1</v>
      </c>
      <c r="Q75" s="34">
        <f t="shared" si="72"/>
        <v>0</v>
      </c>
      <c r="R75" s="33">
        <f t="shared" si="73"/>
        <v>1</v>
      </c>
      <c r="S75" s="34">
        <f t="shared" si="67"/>
        <v>3000</v>
      </c>
      <c r="T75" s="34">
        <f t="shared" si="74"/>
        <v>0</v>
      </c>
      <c r="U75" s="34" t="str">
        <f t="shared" si="75"/>
        <v>RA</v>
      </c>
      <c r="V75" s="34">
        <f t="shared" si="76"/>
        <v>0</v>
      </c>
      <c r="W75" s="34" t="str">
        <f t="shared" si="77"/>
        <v>FEW</v>
      </c>
      <c r="X75" s="34">
        <f t="shared" si="78"/>
        <v>0</v>
      </c>
      <c r="Y75" s="34">
        <f t="shared" si="79"/>
        <v>800</v>
      </c>
      <c r="Z75" s="34">
        <f t="shared" si="8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34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s="1" t="s">
        <v>480</v>
      </c>
      <c r="M76" s="32">
        <f t="shared" si="68"/>
        <v>220</v>
      </c>
      <c r="N76" s="33">
        <f t="shared" si="69"/>
        <v>1</v>
      </c>
      <c r="O76" s="33">
        <f t="shared" si="70"/>
        <v>2</v>
      </c>
      <c r="P76" s="33">
        <f t="shared" si="71"/>
        <v>1</v>
      </c>
      <c r="Q76" s="34">
        <f t="shared" si="72"/>
        <v>0</v>
      </c>
      <c r="R76" s="33">
        <f t="shared" si="73"/>
        <v>1</v>
      </c>
      <c r="S76" s="34">
        <f t="shared" si="67"/>
        <v>8000</v>
      </c>
      <c r="T76" s="34">
        <f t="shared" si="74"/>
        <v>1</v>
      </c>
      <c r="U76" s="34">
        <f t="shared" si="75"/>
        <v>0</v>
      </c>
      <c r="V76" s="34">
        <f t="shared" si="76"/>
        <v>1</v>
      </c>
      <c r="W76" s="34" t="str">
        <f t="shared" si="77"/>
        <v>BKN</v>
      </c>
      <c r="X76" s="34">
        <f t="shared" si="78"/>
        <v>1</v>
      </c>
      <c r="Y76" s="34">
        <f t="shared" si="79"/>
        <v>900</v>
      </c>
      <c r="Z76" s="34">
        <f t="shared" si="8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 ht="20.25">
      <c r="A79" s="25"/>
      <c r="B79" s="25"/>
      <c r="C79" s="41"/>
      <c r="D79" s="25"/>
      <c r="E79" s="56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10</v>
      </c>
      <c r="U80" s="25"/>
      <c r="V80" s="25">
        <f>SUM(V64:V76)</f>
        <v>9</v>
      </c>
      <c r="W80" s="25"/>
      <c r="X80" s="25">
        <f>SUM(X64:X76)</f>
        <v>7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4</v>
      </c>
      <c r="O81" s="25"/>
      <c r="P81" s="25">
        <f>SUMIF($C64:$C76,"GENERAL",P64:P76)</f>
        <v>4</v>
      </c>
      <c r="Q81" s="25"/>
      <c r="R81" s="25">
        <f>SUMIF($C64:$C76,"GENERAL",R64:R76)</f>
        <v>4</v>
      </c>
      <c r="S81" s="25"/>
      <c r="T81" s="25">
        <f>SUMIF($C64:$C76,"GENERAL",T64:T76)</f>
        <v>3</v>
      </c>
      <c r="U81" s="25"/>
      <c r="V81" s="25">
        <f>SUMIF($C64:$C76,"GENERAL",V64:V76)</f>
        <v>3</v>
      </c>
      <c r="W81" s="25"/>
      <c r="X81" s="25">
        <f>SUMIF($C64:$C76,"GENERAL",X64:X76)</f>
        <v>0</v>
      </c>
      <c r="Y81" s="25"/>
      <c r="Z81" s="25">
        <f>SUMIF($C64:$C76,"GENERAL",Z64:Z76)</f>
        <v>4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8</v>
      </c>
      <c r="O82" s="25"/>
      <c r="P82" s="25">
        <f>SUMIF($C64:$C76,"BECMG",P64:P76)</f>
        <v>8</v>
      </c>
      <c r="Q82" s="25"/>
      <c r="R82" s="25">
        <f>SUMIF($C64:$C76,"BECMG",R64:R76)</f>
        <v>8</v>
      </c>
      <c r="S82" s="25"/>
      <c r="T82" s="25">
        <f>SUMIF($C64:$C76,"BECMG",T64:T76)</f>
        <v>7</v>
      </c>
      <c r="U82" s="25"/>
      <c r="V82" s="25">
        <f>SUMIF($C64:$C76,"BECMG",V64:V76)</f>
        <v>6</v>
      </c>
      <c r="W82" s="25"/>
      <c r="X82" s="25">
        <f>SUMIF($C64:$C76,"BECMG",X64:X76)</f>
        <v>7</v>
      </c>
      <c r="Y82" s="25"/>
      <c r="Z82" s="25">
        <f>SUMIF($C64:$C76,"BECMG",Z64:Z76)</f>
        <v>8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83.333333333333343</v>
      </c>
      <c r="U85" s="38"/>
      <c r="V85" s="38">
        <f>(SUM(V81:V84)/COUNTA(V64:V76))*100</f>
        <v>75</v>
      </c>
      <c r="W85" s="38"/>
      <c r="X85" s="38">
        <f>(SUM(X81:X84)/COUNTA(X64:X76))*100</f>
        <v>58.333333333333336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462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15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800</v>
      </c>
      <c r="L93" s="1" t="s">
        <v>475</v>
      </c>
      <c r="M93" s="32">
        <f t="shared" ref="M93:M98" si="81">IF(ISNUMBER(VALUE(FIND("VRB",L93))),999,VALUE(MID(L93,20,3)))</f>
        <v>0</v>
      </c>
      <c r="N93" s="33">
        <f t="shared" ref="N93:N98" si="82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3">VALUE(MID(L93,23,2))</f>
        <v>0</v>
      </c>
      <c r="P93" s="33">
        <f t="shared" ref="P93:P98" si="84">IF(ABS(O93-F93)&lt;11,1,0)</f>
        <v>1</v>
      </c>
      <c r="Q93" s="34">
        <f t="shared" ref="Q93:Q98" si="85">IF(MID(L93,25,1)="G","GUST",0)</f>
        <v>0</v>
      </c>
      <c r="R93" s="33">
        <f t="shared" ref="R93:R98" si="86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87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8">IF(AND(IFERROR(FIND("RA",L93),0)&gt;0, IFERROR(FIND("RA",L93),0)&lt;38),"RA",0)</f>
        <v>0</v>
      </c>
      <c r="V93" s="34">
        <f t="shared" ref="V93:V98" si="89">IF(U93=I93,1,0)</f>
        <v>1</v>
      </c>
      <c r="W93" s="34" t="str">
        <f t="shared" ref="W93:W98" si="90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91">IF(OR(AND(OR(J93="SKC",J93="FEW",J93="SCT"),OR(W93="SKC",W93="FEW",W93="SCT")),(AND(OR(J93="BKN",J93="OVC"),OR(W93="BKN",W93="OVC")))),1,0)</f>
        <v>1</v>
      </c>
      <c r="Y93" s="34">
        <f t="shared" ref="Y93:Y98" si="92">IF(ISNUMBER(VALUE(FIND("CAVOK",L93))),9999,IF(ISNUMBER(VALUE(FIND("NSC",L93))),9999,(MID(L93,(FIND(W93,L93)+4),2))*100))</f>
        <v>900</v>
      </c>
      <c r="Z93" s="34">
        <f t="shared" ref="Z93:Z98" si="93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800</v>
      </c>
      <c r="L94" s="1" t="s">
        <v>476</v>
      </c>
      <c r="M94" s="32">
        <f t="shared" si="81"/>
        <v>350</v>
      </c>
      <c r="N94" s="33">
        <f t="shared" si="82"/>
        <v>1</v>
      </c>
      <c r="O94" s="33">
        <f t="shared" si="83"/>
        <v>2</v>
      </c>
      <c r="P94" s="33">
        <f t="shared" si="84"/>
        <v>1</v>
      </c>
      <c r="Q94" s="34">
        <f t="shared" si="85"/>
        <v>0</v>
      </c>
      <c r="R94" s="33">
        <f t="shared" si="86"/>
        <v>1</v>
      </c>
      <c r="S94" s="34">
        <f t="shared" ref="S94:S104" si="94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7"/>
        <v>1</v>
      </c>
      <c r="U94" s="34">
        <f t="shared" si="88"/>
        <v>0</v>
      </c>
      <c r="V94" s="34">
        <f t="shared" si="89"/>
        <v>1</v>
      </c>
      <c r="W94" s="34" t="str">
        <f t="shared" si="90"/>
        <v>BKN</v>
      </c>
      <c r="X94" s="34">
        <f t="shared" si="91"/>
        <v>1</v>
      </c>
      <c r="Y94" s="34">
        <f t="shared" si="92"/>
        <v>900</v>
      </c>
      <c r="Z94" s="34">
        <f t="shared" si="93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40</v>
      </c>
      <c r="D95" s="52"/>
      <c r="E95" s="51">
        <v>0</v>
      </c>
      <c r="F95" s="51">
        <v>0</v>
      </c>
      <c r="G95" s="51">
        <v>0</v>
      </c>
      <c r="H95" s="51">
        <v>4000</v>
      </c>
      <c r="I95" s="51" t="s">
        <v>52</v>
      </c>
      <c r="J95" s="51" t="s">
        <v>51</v>
      </c>
      <c r="K95" s="51">
        <v>800</v>
      </c>
      <c r="L95" s="1" t="s">
        <v>477</v>
      </c>
      <c r="M95" s="32">
        <f t="shared" si="81"/>
        <v>360</v>
      </c>
      <c r="N95" s="33">
        <f t="shared" si="82"/>
        <v>1</v>
      </c>
      <c r="O95" s="33">
        <f t="shared" si="83"/>
        <v>2</v>
      </c>
      <c r="P95" s="33">
        <f t="shared" si="84"/>
        <v>1</v>
      </c>
      <c r="Q95" s="34">
        <f t="shared" si="85"/>
        <v>0</v>
      </c>
      <c r="R95" s="33">
        <f t="shared" si="86"/>
        <v>1</v>
      </c>
      <c r="S95" s="34">
        <f t="shared" si="94"/>
        <v>8000</v>
      </c>
      <c r="T95" s="34">
        <f t="shared" si="87"/>
        <v>0</v>
      </c>
      <c r="U95" s="34">
        <f t="shared" si="88"/>
        <v>0</v>
      </c>
      <c r="V95" s="34">
        <f t="shared" si="89"/>
        <v>0</v>
      </c>
      <c r="W95" s="34" t="str">
        <f t="shared" si="90"/>
        <v>BKN</v>
      </c>
      <c r="X95" s="34">
        <f t="shared" si="91"/>
        <v>0</v>
      </c>
      <c r="Y95" s="34">
        <f t="shared" si="92"/>
        <v>900</v>
      </c>
      <c r="Z95" s="34">
        <f t="shared" si="93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40</v>
      </c>
      <c r="D96" s="52"/>
      <c r="E96" s="51">
        <v>0</v>
      </c>
      <c r="F96" s="51">
        <v>0</v>
      </c>
      <c r="G96" s="51">
        <v>0</v>
      </c>
      <c r="H96" s="51">
        <v>4000</v>
      </c>
      <c r="I96" s="51" t="s">
        <v>52</v>
      </c>
      <c r="J96" s="51" t="s">
        <v>51</v>
      </c>
      <c r="K96" s="51">
        <v>800</v>
      </c>
      <c r="L96" s="1" t="s">
        <v>478</v>
      </c>
      <c r="M96" s="32">
        <f t="shared" si="81"/>
        <v>40</v>
      </c>
      <c r="N96" s="33">
        <f t="shared" si="82"/>
        <v>1</v>
      </c>
      <c r="O96" s="33">
        <f t="shared" si="83"/>
        <v>5</v>
      </c>
      <c r="P96" s="33">
        <f t="shared" si="84"/>
        <v>1</v>
      </c>
      <c r="Q96" s="34">
        <f t="shared" si="85"/>
        <v>0</v>
      </c>
      <c r="R96" s="33">
        <f t="shared" si="86"/>
        <v>1</v>
      </c>
      <c r="S96" s="34">
        <f t="shared" si="94"/>
        <v>8000</v>
      </c>
      <c r="T96" s="34">
        <f t="shared" si="87"/>
        <v>0</v>
      </c>
      <c r="U96" s="34" t="str">
        <f t="shared" si="88"/>
        <v>RA</v>
      </c>
      <c r="V96" s="34">
        <f t="shared" si="89"/>
        <v>1</v>
      </c>
      <c r="W96" s="34" t="str">
        <f t="shared" si="90"/>
        <v>BKN</v>
      </c>
      <c r="X96" s="34">
        <f t="shared" si="91"/>
        <v>0</v>
      </c>
      <c r="Y96" s="34">
        <f t="shared" si="92"/>
        <v>900</v>
      </c>
      <c r="Z96" s="34">
        <f t="shared" si="93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40</v>
      </c>
      <c r="D97" s="52"/>
      <c r="E97" s="51">
        <v>0</v>
      </c>
      <c r="F97" s="51">
        <v>0</v>
      </c>
      <c r="G97" s="51">
        <v>0</v>
      </c>
      <c r="H97" s="51">
        <v>4000</v>
      </c>
      <c r="I97" s="51" t="s">
        <v>52</v>
      </c>
      <c r="J97" s="51" t="s">
        <v>51</v>
      </c>
      <c r="K97" s="51">
        <v>800</v>
      </c>
      <c r="L97" s="1" t="s">
        <v>479</v>
      </c>
      <c r="M97" s="32">
        <f t="shared" si="81"/>
        <v>90</v>
      </c>
      <c r="N97" s="33">
        <f t="shared" si="82"/>
        <v>1</v>
      </c>
      <c r="O97" s="33">
        <f t="shared" si="83"/>
        <v>6</v>
      </c>
      <c r="P97" s="33">
        <f t="shared" si="84"/>
        <v>1</v>
      </c>
      <c r="Q97" s="34">
        <f t="shared" si="85"/>
        <v>0</v>
      </c>
      <c r="R97" s="33">
        <f t="shared" si="86"/>
        <v>1</v>
      </c>
      <c r="S97" s="34">
        <f t="shared" si="94"/>
        <v>3000</v>
      </c>
      <c r="T97" s="34">
        <f t="shared" si="87"/>
        <v>1</v>
      </c>
      <c r="U97" s="34" t="str">
        <f t="shared" si="88"/>
        <v>RA</v>
      </c>
      <c r="V97" s="34">
        <f t="shared" si="89"/>
        <v>1</v>
      </c>
      <c r="W97" s="34" t="str">
        <f t="shared" si="90"/>
        <v>FEW</v>
      </c>
      <c r="X97" s="34">
        <f t="shared" si="91"/>
        <v>1</v>
      </c>
      <c r="Y97" s="34">
        <f t="shared" si="92"/>
        <v>800</v>
      </c>
      <c r="Z97" s="34">
        <f t="shared" si="93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800</v>
      </c>
      <c r="L98" s="1" t="s">
        <v>480</v>
      </c>
      <c r="M98" s="32">
        <f t="shared" si="81"/>
        <v>220</v>
      </c>
      <c r="N98" s="33">
        <f t="shared" si="82"/>
        <v>1</v>
      </c>
      <c r="O98" s="33">
        <f t="shared" si="83"/>
        <v>2</v>
      </c>
      <c r="P98" s="33">
        <f t="shared" si="84"/>
        <v>1</v>
      </c>
      <c r="Q98" s="34">
        <f t="shared" si="85"/>
        <v>0</v>
      </c>
      <c r="R98" s="33">
        <f t="shared" si="86"/>
        <v>1</v>
      </c>
      <c r="S98" s="34">
        <f t="shared" si="94"/>
        <v>8000</v>
      </c>
      <c r="T98" s="34">
        <f t="shared" si="87"/>
        <v>1</v>
      </c>
      <c r="U98" s="34">
        <f t="shared" si="88"/>
        <v>0</v>
      </c>
      <c r="V98" s="34">
        <f t="shared" si="89"/>
        <v>1</v>
      </c>
      <c r="W98" s="34" t="str">
        <f t="shared" si="90"/>
        <v>BKN</v>
      </c>
      <c r="X98" s="34">
        <f t="shared" si="91"/>
        <v>1</v>
      </c>
      <c r="Y98" s="34">
        <f t="shared" si="92"/>
        <v>900</v>
      </c>
      <c r="Z98" s="34">
        <f t="shared" si="93"/>
        <v>1</v>
      </c>
      <c r="AA98" s="25"/>
      <c r="AB98" s="25"/>
      <c r="AC98" s="25"/>
      <c r="AD98" s="25"/>
      <c r="AE98" s="25"/>
    </row>
    <row r="99" spans="1:31" ht="16.5">
      <c r="A99" s="55">
        <v>16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800</v>
      </c>
      <c r="L99" s="1" t="s">
        <v>481</v>
      </c>
      <c r="M99" s="32">
        <f t="shared" ref="M99:M104" si="95">IF(ISNUMBER(VALUE(FIND("VRB",L99))),999,VALUE(MID(L99,20,3)))</f>
        <v>240</v>
      </c>
      <c r="N99" s="33">
        <f t="shared" ref="N99:N104" si="96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7">VALUE(MID(L99,23,2))</f>
        <v>2</v>
      </c>
      <c r="P99" s="33">
        <f t="shared" ref="P99:P104" si="98">IF(ABS(O99-F99)&lt;11,1,0)</f>
        <v>1</v>
      </c>
      <c r="Q99" s="34">
        <f t="shared" ref="Q99:Q104" si="99">IF(MID(L99,25,1)="G","GUST",0)</f>
        <v>0</v>
      </c>
      <c r="R99" s="33">
        <f t="shared" ref="R99:R104" si="100">IF(G99=Q99,1,0)</f>
        <v>1</v>
      </c>
      <c r="S99" s="34">
        <f t="shared" si="94"/>
        <v>8000</v>
      </c>
      <c r="T99" s="34">
        <f t="shared" ref="T99:T104" si="101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02">IF(AND(IFERROR(FIND("RA",L99),0)&gt;0, IFERROR(FIND("RA",L99),0)&lt;38),"RA",0)</f>
        <v>0</v>
      </c>
      <c r="V99" s="34">
        <f t="shared" ref="V99:V104" si="103">IF(U99=I99,1,0)</f>
        <v>1</v>
      </c>
      <c r="W99" s="34" t="str">
        <f t="shared" ref="W99:W104" si="104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05">IF(OR(AND(OR(J99="SKC",J99="FEW",J99="SCT"),OR(W99="SKC",W99="FEW",W99="SCT")),(AND(OR(J99="BKN",J99="OVC"),OR(W99="BKN",W99="OVC")))),1,0)</f>
        <v>1</v>
      </c>
      <c r="Y99" s="34">
        <f t="shared" ref="Y99:Y104" si="106">IF(ISNUMBER(VALUE(FIND("CAVOK",L99))),9999,IF(ISNUMBER(VALUE(FIND("NSC",L99))),9999,(MID(L99,(FIND(W99,L99)+4),2))*100))</f>
        <v>900</v>
      </c>
      <c r="Z99" s="34">
        <f t="shared" ref="Z99:Z104" si="107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800</v>
      </c>
      <c r="L100" s="1" t="s">
        <v>482</v>
      </c>
      <c r="M100" s="32">
        <f t="shared" si="95"/>
        <v>240</v>
      </c>
      <c r="N100" s="33">
        <f t="shared" si="96"/>
        <v>1</v>
      </c>
      <c r="O100" s="33">
        <f t="shared" si="97"/>
        <v>2</v>
      </c>
      <c r="P100" s="33">
        <f t="shared" si="98"/>
        <v>1</v>
      </c>
      <c r="Q100" s="34">
        <f t="shared" si="99"/>
        <v>0</v>
      </c>
      <c r="R100" s="33">
        <f t="shared" si="100"/>
        <v>1</v>
      </c>
      <c r="S100" s="34">
        <f t="shared" si="94"/>
        <v>8000</v>
      </c>
      <c r="T100" s="34">
        <f t="shared" si="101"/>
        <v>1</v>
      </c>
      <c r="U100" s="34">
        <f t="shared" si="102"/>
        <v>0</v>
      </c>
      <c r="V100" s="34">
        <f t="shared" si="103"/>
        <v>1</v>
      </c>
      <c r="W100" s="34" t="str">
        <f t="shared" si="104"/>
        <v>BKN</v>
      </c>
      <c r="X100" s="34">
        <f t="shared" si="105"/>
        <v>1</v>
      </c>
      <c r="Y100" s="34">
        <f t="shared" si="106"/>
        <v>900</v>
      </c>
      <c r="Z100" s="34">
        <f t="shared" si="107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800</v>
      </c>
      <c r="L101" s="1" t="s">
        <v>483</v>
      </c>
      <c r="M101" s="32">
        <f t="shared" si="95"/>
        <v>120</v>
      </c>
      <c r="N101" s="33">
        <f t="shared" si="96"/>
        <v>1</v>
      </c>
      <c r="O101" s="33">
        <f t="shared" si="97"/>
        <v>2</v>
      </c>
      <c r="P101" s="33">
        <f t="shared" si="98"/>
        <v>1</v>
      </c>
      <c r="Q101" s="34">
        <f t="shared" si="99"/>
        <v>0</v>
      </c>
      <c r="R101" s="33">
        <f t="shared" si="100"/>
        <v>1</v>
      </c>
      <c r="S101" s="34">
        <f t="shared" si="94"/>
        <v>8000</v>
      </c>
      <c r="T101" s="34">
        <f t="shared" si="101"/>
        <v>1</v>
      </c>
      <c r="U101" s="34">
        <f t="shared" si="102"/>
        <v>0</v>
      </c>
      <c r="V101" s="34">
        <f t="shared" si="103"/>
        <v>1</v>
      </c>
      <c r="W101" s="34" t="str">
        <f t="shared" si="104"/>
        <v>BKN</v>
      </c>
      <c r="X101" s="34">
        <f t="shared" si="105"/>
        <v>1</v>
      </c>
      <c r="Y101" s="34">
        <f t="shared" si="106"/>
        <v>900</v>
      </c>
      <c r="Z101" s="34">
        <f t="shared" si="107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34</v>
      </c>
      <c r="D102" s="52"/>
      <c r="E102" s="51">
        <v>320</v>
      </c>
      <c r="F102" s="51">
        <v>2</v>
      </c>
      <c r="G102" s="51">
        <v>0</v>
      </c>
      <c r="H102" s="51">
        <v>8000</v>
      </c>
      <c r="I102" s="51">
        <v>0</v>
      </c>
      <c r="J102" s="51" t="s">
        <v>58</v>
      </c>
      <c r="K102" s="51">
        <v>800</v>
      </c>
      <c r="L102" s="1" t="s">
        <v>484</v>
      </c>
      <c r="M102" s="32">
        <f t="shared" si="95"/>
        <v>320</v>
      </c>
      <c r="N102" s="33">
        <f t="shared" si="96"/>
        <v>1</v>
      </c>
      <c r="O102" s="33">
        <f t="shared" si="97"/>
        <v>3</v>
      </c>
      <c r="P102" s="33">
        <f t="shared" si="98"/>
        <v>1</v>
      </c>
      <c r="Q102" s="34">
        <f t="shared" si="99"/>
        <v>0</v>
      </c>
      <c r="R102" s="33">
        <f t="shared" si="100"/>
        <v>1</v>
      </c>
      <c r="S102" s="34">
        <f t="shared" si="94"/>
        <v>8000</v>
      </c>
      <c r="T102" s="34">
        <f t="shared" si="101"/>
        <v>1</v>
      </c>
      <c r="U102" s="34">
        <f t="shared" si="102"/>
        <v>0</v>
      </c>
      <c r="V102" s="34">
        <f t="shared" si="103"/>
        <v>1</v>
      </c>
      <c r="W102" s="34" t="str">
        <f t="shared" si="104"/>
        <v>BKN</v>
      </c>
      <c r="X102" s="34">
        <f t="shared" si="105"/>
        <v>1</v>
      </c>
      <c r="Y102" s="34">
        <f t="shared" si="106"/>
        <v>900</v>
      </c>
      <c r="Z102" s="34">
        <f t="shared" si="107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34</v>
      </c>
      <c r="D103" s="52"/>
      <c r="E103" s="51">
        <v>320</v>
      </c>
      <c r="F103" s="51">
        <v>2</v>
      </c>
      <c r="G103" s="51">
        <v>0</v>
      </c>
      <c r="H103" s="51">
        <v>8000</v>
      </c>
      <c r="I103" s="51">
        <v>0</v>
      </c>
      <c r="J103" s="51" t="s">
        <v>58</v>
      </c>
      <c r="K103" s="51">
        <v>800</v>
      </c>
      <c r="L103" s="1" t="s">
        <v>485</v>
      </c>
      <c r="M103" s="32">
        <f t="shared" si="95"/>
        <v>160</v>
      </c>
      <c r="N103" s="33">
        <f t="shared" si="96"/>
        <v>1</v>
      </c>
      <c r="O103" s="33">
        <f t="shared" si="97"/>
        <v>4</v>
      </c>
      <c r="P103" s="33">
        <f t="shared" si="98"/>
        <v>1</v>
      </c>
      <c r="Q103" s="34">
        <f t="shared" si="99"/>
        <v>0</v>
      </c>
      <c r="R103" s="33">
        <f t="shared" si="100"/>
        <v>1</v>
      </c>
      <c r="S103" s="34">
        <f t="shared" si="94"/>
        <v>8000</v>
      </c>
      <c r="T103" s="34">
        <f t="shared" si="101"/>
        <v>1</v>
      </c>
      <c r="U103" s="34">
        <f t="shared" si="102"/>
        <v>0</v>
      </c>
      <c r="V103" s="34">
        <f t="shared" si="103"/>
        <v>1</v>
      </c>
      <c r="W103" s="34" t="str">
        <f t="shared" si="104"/>
        <v>BKN</v>
      </c>
      <c r="X103" s="34">
        <f t="shared" si="105"/>
        <v>1</v>
      </c>
      <c r="Y103" s="34">
        <f t="shared" si="106"/>
        <v>900</v>
      </c>
      <c r="Z103" s="34">
        <f t="shared" si="107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34</v>
      </c>
      <c r="D104" s="52"/>
      <c r="E104" s="51">
        <v>320</v>
      </c>
      <c r="F104" s="51">
        <v>2</v>
      </c>
      <c r="G104" s="51">
        <v>0</v>
      </c>
      <c r="H104" s="51">
        <v>8000</v>
      </c>
      <c r="I104" s="51">
        <v>0</v>
      </c>
      <c r="J104" s="51" t="s">
        <v>58</v>
      </c>
      <c r="K104" s="51">
        <v>800</v>
      </c>
      <c r="L104" s="1" t="s">
        <v>486</v>
      </c>
      <c r="M104" s="32">
        <f t="shared" si="95"/>
        <v>130</v>
      </c>
      <c r="N104" s="33">
        <f t="shared" si="96"/>
        <v>1</v>
      </c>
      <c r="O104" s="33">
        <f t="shared" si="97"/>
        <v>3</v>
      </c>
      <c r="P104" s="33">
        <f t="shared" si="98"/>
        <v>1</v>
      </c>
      <c r="Q104" s="34">
        <f t="shared" si="99"/>
        <v>0</v>
      </c>
      <c r="R104" s="33">
        <f t="shared" si="100"/>
        <v>1</v>
      </c>
      <c r="S104" s="34">
        <f t="shared" si="94"/>
        <v>9000</v>
      </c>
      <c r="T104" s="34">
        <f t="shared" si="101"/>
        <v>1</v>
      </c>
      <c r="U104" s="34">
        <f t="shared" si="102"/>
        <v>0</v>
      </c>
      <c r="V104" s="34">
        <f t="shared" si="103"/>
        <v>1</v>
      </c>
      <c r="W104" s="34" t="str">
        <f t="shared" si="104"/>
        <v>SCT</v>
      </c>
      <c r="X104" s="34">
        <f t="shared" si="105"/>
        <v>0</v>
      </c>
      <c r="Y104" s="34">
        <f t="shared" si="106"/>
        <v>900</v>
      </c>
      <c r="Z104" s="34">
        <f t="shared" si="107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 ht="20.25">
      <c r="A107" s="25"/>
      <c r="B107" s="25"/>
      <c r="C107" s="41"/>
      <c r="D107" s="56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10</v>
      </c>
      <c r="U109" s="25"/>
      <c r="V109" s="25">
        <f>SUM(V93:V104)</f>
        <v>11</v>
      </c>
      <c r="W109" s="25"/>
      <c r="X109" s="25">
        <f>SUM(X93:X104)</f>
        <v>9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6</v>
      </c>
      <c r="O110" s="25"/>
      <c r="P110" s="25">
        <f>SUMIF($C93:$C104,"GENERAL",P93:P104)</f>
        <v>6</v>
      </c>
      <c r="Q110" s="25"/>
      <c r="R110" s="25">
        <f>SUMIF($C93:$C104,"GENERAL",R93:R104)</f>
        <v>6</v>
      </c>
      <c r="S110" s="25"/>
      <c r="T110" s="25">
        <f>SUMIF($C93:$C104,"GENERAL",T93:T104)</f>
        <v>6</v>
      </c>
      <c r="U110" s="25"/>
      <c r="V110" s="25">
        <f>SUMIF($C93:$C104,"GENERAL",V93:V104)</f>
        <v>6</v>
      </c>
      <c r="W110" s="25"/>
      <c r="X110" s="25">
        <f>SUMIF($C93:$C104,"GENERAL",X93:X104)</f>
        <v>6</v>
      </c>
      <c r="Y110" s="25"/>
      <c r="Z110" s="25">
        <f>SUMIF($C93:$C104,"GENERAL",Z93:Z104)</f>
        <v>6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3</v>
      </c>
      <c r="O111" s="25"/>
      <c r="P111" s="25">
        <f>SUMIF($C93:$C104,"BECMG",P93:P104)</f>
        <v>3</v>
      </c>
      <c r="Q111" s="25"/>
      <c r="R111" s="25">
        <f>SUMIF($C93:$C104,"BECMG",R93:R104)</f>
        <v>3</v>
      </c>
      <c r="S111" s="25"/>
      <c r="T111" s="25">
        <f>SUMIF($C93:$C104,"BECMG",T93:T104)</f>
        <v>3</v>
      </c>
      <c r="U111" s="25"/>
      <c r="V111" s="25">
        <f>SUMIF($C93:$C104,"BECMG",V93:V104)</f>
        <v>3</v>
      </c>
      <c r="W111" s="25"/>
      <c r="X111" s="25">
        <f>SUMIF($C93:$C104,"BECMG",X93:X104)</f>
        <v>2</v>
      </c>
      <c r="Y111" s="25"/>
      <c r="Z111" s="25">
        <f>SUMIF($C93:$C104,"BECMG",Z93:Z104)</f>
        <v>3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3</v>
      </c>
      <c r="M113" s="42">
        <f>SUMIF($C93:$C104,"TEMPO",N93:N104)</f>
        <v>3</v>
      </c>
      <c r="N113" s="42">
        <f>M113</f>
        <v>3</v>
      </c>
      <c r="O113" s="42">
        <f>SUMIF($C93:$C104,"TEMPO",P93:P104)</f>
        <v>3</v>
      </c>
      <c r="P113" s="42">
        <f>O113</f>
        <v>3</v>
      </c>
      <c r="Q113" s="42">
        <f>SUMIF($C93:$C104,"TEMPO",R93:R104)</f>
        <v>3</v>
      </c>
      <c r="R113" s="42">
        <f>Q113</f>
        <v>3</v>
      </c>
      <c r="S113" s="42">
        <f>SUMIF($C93:$C104,"TEMPO",T93:T104)</f>
        <v>1</v>
      </c>
      <c r="T113" s="42">
        <f>S113</f>
        <v>1</v>
      </c>
      <c r="U113" s="42">
        <f>SUMIF($C93:$C104,"TEMPO",V93:V104)</f>
        <v>2</v>
      </c>
      <c r="V113" s="42">
        <f>U113</f>
        <v>2</v>
      </c>
      <c r="W113" s="42">
        <f>SUMIF($C93:$C104,"TEMPO",X93:X104)</f>
        <v>1</v>
      </c>
      <c r="X113" s="42">
        <f>W113</f>
        <v>1</v>
      </c>
      <c r="Y113" s="42">
        <f>SUMIF($C93:$C104,"TEMPO",Z93:Z104)</f>
        <v>3</v>
      </c>
      <c r="Z113" s="42">
        <f>Y113</f>
        <v>3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83.333333333333343</v>
      </c>
      <c r="U114" s="38"/>
      <c r="V114" s="38">
        <f>(SUM(V110:V113)/COUNTA(V93:V104))*100</f>
        <v>91.666666666666657</v>
      </c>
      <c r="W114" s="38"/>
      <c r="X114" s="38">
        <f>(SUM(X110:X113)/COUNTA(X93:X104))*100</f>
        <v>75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B3A33-0BC3-4742-83F0-8176465A22BC}">
  <sheetPr>
    <tabColor theme="0"/>
  </sheetPr>
  <dimension ref="A1:AE115"/>
  <sheetViews>
    <sheetView topLeftCell="A49" zoomScale="85" zoomScaleNormal="85" workbookViewId="0">
      <selection activeCell="L72" sqref="L72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463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16</v>
      </c>
      <c r="B7" s="28">
        <v>0</v>
      </c>
      <c r="C7" s="29" t="s">
        <v>39</v>
      </c>
      <c r="D7" s="29"/>
      <c r="E7" s="29">
        <v>320</v>
      </c>
      <c r="F7" s="29">
        <v>3</v>
      </c>
      <c r="G7" s="29">
        <v>0</v>
      </c>
      <c r="H7" s="29">
        <v>8000</v>
      </c>
      <c r="I7" s="29">
        <v>0</v>
      </c>
      <c r="J7" s="29" t="s">
        <v>51</v>
      </c>
      <c r="K7" s="29">
        <v>800</v>
      </c>
      <c r="L7" s="1" t="s">
        <v>481</v>
      </c>
      <c r="M7" s="32">
        <f t="shared" ref="M7:M11" si="0">IF(ISNUMBER(VALUE(FIND("VRB",L7))),999,VALUE(MID(L7,20,3)))</f>
        <v>240</v>
      </c>
      <c r="N7" s="33">
        <f t="shared" ref="N7:N11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1" si="2">VALUE(MID(L7,23,2))</f>
        <v>2</v>
      </c>
      <c r="P7" s="33">
        <f t="shared" ref="P7:P11" si="3">IF(ABS(O7-F7)&lt;11,1,0)</f>
        <v>1</v>
      </c>
      <c r="Q7" s="34">
        <f t="shared" ref="Q7:Q11" si="4">IF(MID(L7,25,1)="G","GUST",0)</f>
        <v>0</v>
      </c>
      <c r="R7" s="33">
        <f t="shared" ref="R7:R11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2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1" si="7">IF(AND(IFERROR(FIND("RA",L7),0)&gt;0, IFERROR(FIND("RA",L7),0)&lt;38),"RA",0)</f>
        <v>0</v>
      </c>
      <c r="V7" s="34">
        <f t="shared" ref="V7:V12" si="8">IF(U7=I7,1,0)</f>
        <v>1</v>
      </c>
      <c r="W7" s="34" t="str">
        <f t="shared" ref="W7:W11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1" si="10">IF(OR(AND(OR(J7="SKC",J7="FEW",J7="SCT"),OR(W7="SKC",W7="FEW",W7="SCT")),(AND(OR(J7="BKN",J7="OVC"),OR(W7="BKN",W7="OVC")))),1,0)</f>
        <v>0</v>
      </c>
      <c r="Y7" s="34">
        <f t="shared" ref="Y7:Y11" si="11">IF(ISNUMBER(VALUE(FIND("CAVOK",L7))),9999,IF(ISNUMBER(VALUE(FIND("NSC",L7))),9999,(MID(L7,(FIND(W7,L7)+4),2))*100))</f>
        <v>900</v>
      </c>
      <c r="Z7" s="34">
        <f t="shared" ref="Z7:Z11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320</v>
      </c>
      <c r="F8" s="29">
        <v>3</v>
      </c>
      <c r="G8" s="29">
        <v>0</v>
      </c>
      <c r="H8" s="29">
        <v>8000</v>
      </c>
      <c r="I8" s="29">
        <v>0</v>
      </c>
      <c r="J8" s="29" t="s">
        <v>51</v>
      </c>
      <c r="K8" s="29">
        <v>800</v>
      </c>
      <c r="L8" s="1" t="s">
        <v>482</v>
      </c>
      <c r="M8" s="32">
        <f t="shared" si="0"/>
        <v>240</v>
      </c>
      <c r="N8" s="33">
        <f t="shared" si="1"/>
        <v>1</v>
      </c>
      <c r="O8" s="33">
        <f t="shared" si="2"/>
        <v>2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0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320</v>
      </c>
      <c r="F9" s="29">
        <v>3</v>
      </c>
      <c r="G9" s="29">
        <v>0</v>
      </c>
      <c r="H9" s="29">
        <v>8000</v>
      </c>
      <c r="I9" s="29">
        <v>0</v>
      </c>
      <c r="J9" s="29" t="s">
        <v>51</v>
      </c>
      <c r="K9" s="29">
        <v>800</v>
      </c>
      <c r="L9" s="1" t="s">
        <v>483</v>
      </c>
      <c r="M9" s="32">
        <f t="shared" si="0"/>
        <v>120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0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320</v>
      </c>
      <c r="F10" s="29">
        <v>3</v>
      </c>
      <c r="G10" s="29">
        <v>0</v>
      </c>
      <c r="H10" s="29">
        <v>8000</v>
      </c>
      <c r="I10" s="29">
        <v>0</v>
      </c>
      <c r="J10" s="29" t="s">
        <v>51</v>
      </c>
      <c r="K10" s="29">
        <v>800</v>
      </c>
      <c r="L10" s="1" t="s">
        <v>484</v>
      </c>
      <c r="M10" s="32">
        <f t="shared" si="0"/>
        <v>320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0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320</v>
      </c>
      <c r="F11" s="29">
        <v>3</v>
      </c>
      <c r="G11" s="29">
        <v>0</v>
      </c>
      <c r="H11" s="29">
        <v>8000</v>
      </c>
      <c r="I11" s="29">
        <v>0</v>
      </c>
      <c r="J11" s="29" t="s">
        <v>51</v>
      </c>
      <c r="K11" s="29">
        <v>800</v>
      </c>
      <c r="L11" s="1" t="s">
        <v>485</v>
      </c>
      <c r="M11" s="32">
        <f t="shared" si="0"/>
        <v>160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320</v>
      </c>
      <c r="F12" s="29">
        <v>3</v>
      </c>
      <c r="G12" s="29">
        <v>0</v>
      </c>
      <c r="H12" s="29">
        <v>8000</v>
      </c>
      <c r="I12" s="29">
        <v>0</v>
      </c>
      <c r="J12" s="29" t="s">
        <v>51</v>
      </c>
      <c r="K12" s="29">
        <v>800</v>
      </c>
      <c r="L12" s="1" t="s">
        <v>486</v>
      </c>
      <c r="M12" s="32">
        <f t="shared" ref="M12:M18" si="14">IF(ISNUMBER(VALUE(FIND("VRB",L12))),999,VALUE(MID(L12,20,3)))</f>
        <v>130</v>
      </c>
      <c r="N12" s="33">
        <f t="shared" ref="N12:N18" si="15">IF(OR(ABS(E12-M12)&lt;61,AND(ABS(E12-M12)&gt;60,O12&lt;10),E12=M12,AND(E12=999,ISNUMBER(VALUE(FIND("TS",L12)))),AND(E12=999,ISNUMBER(VALUE(FIND("CB",L12)))),AND(E12=999,O12&lt;10),AND(F12&lt;10,M12=999,O12&lt;10)),1,0)</f>
        <v>1</v>
      </c>
      <c r="O12" s="33">
        <f t="shared" ref="O12:O18" si="16">VALUE(MID(L12,23,2))</f>
        <v>3</v>
      </c>
      <c r="P12" s="33">
        <f t="shared" ref="P12:P18" si="17">IF(ABS(O12-F12)&lt;11,1,0)</f>
        <v>1</v>
      </c>
      <c r="Q12" s="34">
        <f t="shared" ref="Q12:Q18" si="18">IF(MID(L12,25,1)="G","GUST",0)</f>
        <v>0</v>
      </c>
      <c r="R12" s="33">
        <f t="shared" ref="R12:R18" si="19">IF(G12=Q12,1,0)</f>
        <v>1</v>
      </c>
      <c r="S12" s="34">
        <f t="shared" si="13"/>
        <v>9000</v>
      </c>
      <c r="T12" s="34">
        <f t="shared" si="6"/>
        <v>1</v>
      </c>
      <c r="U12" s="34">
        <f>IF(AND(IFERROR(FIND("RA",#REF!),0)&gt;0, IFERROR(FIND("RA",#REF!),0)&lt;38),"RA",0)</f>
        <v>0</v>
      </c>
      <c r="V12" s="34">
        <f t="shared" si="8"/>
        <v>1</v>
      </c>
      <c r="W12" s="34" t="str">
        <f t="shared" ref="W12:W18" si="20">IF(ISNUMBER(VALUE(FIND("FEW",L12))),"FEW",IF(ISNUMBER(VALUE(FIND("SCT",L12))),"SCT",IF(ISNUMBER(VALUE(FIND("BKN",L12))),"BKN",IF(ISNUMBER(VALUE(FIND("OVC",L12))),"OVC",IF(ISNUMBER(VALUE(FIND("SKC",L12))),"SKC",IF(ISNUMBER(VALUE(FIND("CAVOK",L12))),"SKC",IF(ISNUMBER(VALUE(FIND("NSC",L12))),"SKC","EROR")))))))</f>
        <v>SCT</v>
      </c>
      <c r="X12" s="34">
        <f t="shared" ref="X12:X18" si="21">IF(OR(AND(OR(J12="SKC",J12="FEW",J12="SCT"),OR(W12="SKC",W12="FEW",W12="SCT")),(AND(OR(J12="BKN",J12="OVC"),OR(W12="BKN",W12="OVC")))),1,0)</f>
        <v>1</v>
      </c>
      <c r="Y12" s="34">
        <f t="shared" ref="Y12:Y18" si="22">IF(ISNUMBER(VALUE(FIND("CAVOK",L12))),9999,IF(ISNUMBER(VALUE(FIND("NSC",L12))),9999,(MID(L12,(FIND(W12,L12)+4),2))*100))</f>
        <v>900</v>
      </c>
      <c r="Z12" s="34">
        <f t="shared" ref="Z12:Z18" si="23">IF(AND(Y12&lt;1001,ABS(K12-Y12)&lt;101),1,IF(AND(Y12&gt;1000,ABS(Y12-K12)/K12&lt;0.30005),1,0))</f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320</v>
      </c>
      <c r="F13" s="29">
        <v>3</v>
      </c>
      <c r="G13" s="29">
        <v>0</v>
      </c>
      <c r="H13" s="29">
        <v>8000</v>
      </c>
      <c r="I13" s="29">
        <v>0</v>
      </c>
      <c r="J13" s="29" t="s">
        <v>51</v>
      </c>
      <c r="K13" s="29">
        <v>800</v>
      </c>
      <c r="L13" s="1" t="s">
        <v>487</v>
      </c>
      <c r="M13" s="32">
        <f t="shared" si="14"/>
        <v>130</v>
      </c>
      <c r="N13" s="33">
        <f t="shared" si="15"/>
        <v>1</v>
      </c>
      <c r="O13" s="33">
        <f t="shared" si="16"/>
        <v>5</v>
      </c>
      <c r="P13" s="33">
        <f t="shared" si="17"/>
        <v>1</v>
      </c>
      <c r="Q13" s="34">
        <f t="shared" si="18"/>
        <v>0</v>
      </c>
      <c r="R13" s="33">
        <f t="shared" si="19"/>
        <v>1</v>
      </c>
      <c r="S13" s="34">
        <f t="shared" si="13"/>
        <v>9999</v>
      </c>
      <c r="T13" s="34">
        <f t="shared" ref="T13:T18" si="24">IF(OR(AND(H13&lt;801,S13&lt;801),AND(H13&gt;799,H13&lt;1501,S13&gt;799,S13&lt;1502),AND(H13&gt;1499,H13&lt;3001,S13&gt;1499,S13&lt;3001),AND(H13&gt;2999,H13&lt;5001,S13&gt;2999,S13&lt;5001),AND(H13&gt;4999,S13&gt;4999)),1,0)</f>
        <v>1</v>
      </c>
      <c r="U13" s="34">
        <f>IF(AND(IFERROR(FIND("RA",#REF!),0)&gt;0, IFERROR(FIND("RA",#REF!),0)&lt;38),"RA",0)</f>
        <v>0</v>
      </c>
      <c r="V13" s="34">
        <f t="shared" ref="V13:V18" si="25">IF(U13=I13,1,0)</f>
        <v>1</v>
      </c>
      <c r="W13" s="34" t="str">
        <f t="shared" si="20"/>
        <v>SCT</v>
      </c>
      <c r="X13" s="34">
        <f t="shared" si="21"/>
        <v>1</v>
      </c>
      <c r="Y13" s="34">
        <f t="shared" si="22"/>
        <v>900</v>
      </c>
      <c r="Z13" s="34">
        <f t="shared" si="23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320</v>
      </c>
      <c r="F14" s="29">
        <v>3</v>
      </c>
      <c r="G14" s="29">
        <v>0</v>
      </c>
      <c r="H14" s="29">
        <v>8000</v>
      </c>
      <c r="I14" s="29">
        <v>0</v>
      </c>
      <c r="J14" s="29" t="s">
        <v>51</v>
      </c>
      <c r="K14" s="29">
        <v>800</v>
      </c>
      <c r="L14" s="1" t="s">
        <v>488</v>
      </c>
      <c r="M14" s="32">
        <f t="shared" si="14"/>
        <v>240</v>
      </c>
      <c r="N14" s="33">
        <f t="shared" si="15"/>
        <v>1</v>
      </c>
      <c r="O14" s="33">
        <f t="shared" si="16"/>
        <v>4</v>
      </c>
      <c r="P14" s="33">
        <f t="shared" si="17"/>
        <v>1</v>
      </c>
      <c r="Q14" s="34">
        <f t="shared" si="18"/>
        <v>0</v>
      </c>
      <c r="R14" s="33">
        <f t="shared" si="19"/>
        <v>1</v>
      </c>
      <c r="S14" s="34">
        <f t="shared" si="13"/>
        <v>9999</v>
      </c>
      <c r="T14" s="34">
        <f t="shared" si="24"/>
        <v>1</v>
      </c>
      <c r="U14" s="34">
        <f>IF(AND(IFERROR(FIND("RA",#REF!),0)&gt;0, IFERROR(FIND("RA",#REF!),0)&lt;38),"RA",0)</f>
        <v>0</v>
      </c>
      <c r="V14" s="34">
        <f t="shared" si="25"/>
        <v>1</v>
      </c>
      <c r="W14" s="34" t="str">
        <f t="shared" si="20"/>
        <v>SCT</v>
      </c>
      <c r="X14" s="34">
        <f t="shared" si="21"/>
        <v>1</v>
      </c>
      <c r="Y14" s="34">
        <f t="shared" si="22"/>
        <v>900</v>
      </c>
      <c r="Z14" s="34">
        <f t="shared" si="23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320</v>
      </c>
      <c r="F15" s="29">
        <v>3</v>
      </c>
      <c r="G15" s="29">
        <v>0</v>
      </c>
      <c r="H15" s="29">
        <v>8000</v>
      </c>
      <c r="I15" s="29">
        <v>0</v>
      </c>
      <c r="J15" s="29" t="s">
        <v>51</v>
      </c>
      <c r="K15" s="29">
        <v>800</v>
      </c>
      <c r="L15" s="29" t="s">
        <v>489</v>
      </c>
      <c r="M15" s="32">
        <f t="shared" si="14"/>
        <v>240</v>
      </c>
      <c r="N15" s="33">
        <f t="shared" si="15"/>
        <v>1</v>
      </c>
      <c r="O15" s="33">
        <f t="shared" si="16"/>
        <v>3</v>
      </c>
      <c r="P15" s="33">
        <f t="shared" si="17"/>
        <v>1</v>
      </c>
      <c r="Q15" s="34">
        <f t="shared" si="18"/>
        <v>0</v>
      </c>
      <c r="R15" s="33">
        <f t="shared" si="19"/>
        <v>1</v>
      </c>
      <c r="S15" s="34">
        <f t="shared" si="13"/>
        <v>9999</v>
      </c>
      <c r="T15" s="34">
        <f t="shared" si="24"/>
        <v>1</v>
      </c>
      <c r="U15" s="34">
        <f>IF(AND(IFERROR(FIND("RA",#REF!),0)&gt;0, IFERROR(FIND("RA",#REF!),0)&lt;38),"RA",0)</f>
        <v>0</v>
      </c>
      <c r="V15" s="34">
        <f t="shared" si="25"/>
        <v>1</v>
      </c>
      <c r="W15" s="34" t="str">
        <f t="shared" si="20"/>
        <v>SCT</v>
      </c>
      <c r="X15" s="34">
        <f t="shared" si="21"/>
        <v>1</v>
      </c>
      <c r="Y15" s="34">
        <f t="shared" si="22"/>
        <v>900</v>
      </c>
      <c r="Z15" s="34">
        <f t="shared" si="23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40</v>
      </c>
      <c r="D16" s="29"/>
      <c r="E16" s="29">
        <v>20</v>
      </c>
      <c r="F16" s="29">
        <v>2</v>
      </c>
      <c r="G16" s="29">
        <v>0</v>
      </c>
      <c r="H16" s="29">
        <v>4000</v>
      </c>
      <c r="I16" s="29" t="s">
        <v>52</v>
      </c>
      <c r="J16" s="29" t="s">
        <v>51</v>
      </c>
      <c r="K16" s="29">
        <v>800</v>
      </c>
      <c r="L16" s="29" t="s">
        <v>490</v>
      </c>
      <c r="M16" s="32">
        <f t="shared" si="14"/>
        <v>240</v>
      </c>
      <c r="N16" s="33">
        <f t="shared" si="15"/>
        <v>1</v>
      </c>
      <c r="O16" s="33">
        <f t="shared" si="16"/>
        <v>2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24"/>
        <v>0</v>
      </c>
      <c r="U16" s="34">
        <f>IF(AND(IFERROR(FIND("RA",#REF!),0)&gt;0, IFERROR(FIND("RA",#REF!),0)&lt;38),"RA",0)</f>
        <v>0</v>
      </c>
      <c r="V16" s="34">
        <f t="shared" si="25"/>
        <v>0</v>
      </c>
      <c r="W16" s="34" t="str">
        <f t="shared" si="20"/>
        <v>BKN</v>
      </c>
      <c r="X16" s="34">
        <f t="shared" si="21"/>
        <v>0</v>
      </c>
      <c r="Y16" s="34">
        <f t="shared" si="22"/>
        <v>900</v>
      </c>
      <c r="Z16" s="34">
        <f t="shared" si="23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40</v>
      </c>
      <c r="D17" s="29"/>
      <c r="E17" s="29">
        <v>20</v>
      </c>
      <c r="F17" s="29">
        <v>2</v>
      </c>
      <c r="G17" s="29">
        <v>0</v>
      </c>
      <c r="H17" s="29">
        <v>4000</v>
      </c>
      <c r="I17" s="29" t="s">
        <v>52</v>
      </c>
      <c r="J17" s="29" t="s">
        <v>51</v>
      </c>
      <c r="K17" s="29">
        <v>800</v>
      </c>
      <c r="L17" s="29" t="s">
        <v>491</v>
      </c>
      <c r="M17" s="32">
        <f t="shared" si="14"/>
        <v>340</v>
      </c>
      <c r="N17" s="33">
        <f t="shared" si="15"/>
        <v>1</v>
      </c>
      <c r="O17" s="33">
        <f t="shared" si="16"/>
        <v>2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8000</v>
      </c>
      <c r="T17" s="34">
        <f t="shared" si="24"/>
        <v>0</v>
      </c>
      <c r="U17" s="34">
        <f>IF(AND(IFERROR(FIND("RA",#REF!),0)&gt;0, IFERROR(FIND("RA",#REF!),0)&lt;38),"RA",0)</f>
        <v>0</v>
      </c>
      <c r="V17" s="34">
        <f t="shared" si="25"/>
        <v>0</v>
      </c>
      <c r="W17" s="34" t="str">
        <f t="shared" si="20"/>
        <v>BKN</v>
      </c>
      <c r="X17" s="34">
        <f t="shared" si="21"/>
        <v>0</v>
      </c>
      <c r="Y17" s="34">
        <f t="shared" si="22"/>
        <v>900</v>
      </c>
      <c r="Z17" s="34">
        <f t="shared" si="23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40</v>
      </c>
      <c r="D18" s="29"/>
      <c r="E18" s="29">
        <v>20</v>
      </c>
      <c r="F18" s="29">
        <v>2</v>
      </c>
      <c r="G18" s="29">
        <v>0</v>
      </c>
      <c r="H18" s="29">
        <v>4000</v>
      </c>
      <c r="I18" s="29" t="s">
        <v>52</v>
      </c>
      <c r="J18" s="29" t="s">
        <v>51</v>
      </c>
      <c r="K18" s="29">
        <v>800</v>
      </c>
      <c r="L18" s="29" t="s">
        <v>492</v>
      </c>
      <c r="M18" s="32">
        <f t="shared" si="14"/>
        <v>360</v>
      </c>
      <c r="N18" s="33">
        <f t="shared" si="15"/>
        <v>1</v>
      </c>
      <c r="O18" s="33">
        <f t="shared" si="16"/>
        <v>3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8000</v>
      </c>
      <c r="T18" s="34">
        <f t="shared" si="24"/>
        <v>0</v>
      </c>
      <c r="U18" s="34">
        <f>IF(AND(IFERROR(FIND("RA",#REF!),0)&gt;0, IFERROR(FIND("RA",#REF!),0)&lt;38),"RA",0)</f>
        <v>0</v>
      </c>
      <c r="V18" s="34">
        <f t="shared" si="25"/>
        <v>0</v>
      </c>
      <c r="W18" s="34" t="str">
        <f t="shared" si="20"/>
        <v>SCT</v>
      </c>
      <c r="X18" s="34">
        <f t="shared" si="21"/>
        <v>1</v>
      </c>
      <c r="Y18" s="34">
        <f t="shared" si="22"/>
        <v>900</v>
      </c>
      <c r="Z18" s="34">
        <f t="shared" si="23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 ht="20.25">
      <c r="A21" s="25"/>
      <c r="B21" s="25"/>
      <c r="C21" s="41"/>
      <c r="D21" s="25"/>
      <c r="E21" s="56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9</v>
      </c>
      <c r="U23" s="25"/>
      <c r="V23" s="25">
        <f>SUM(V7:V18)</f>
        <v>9</v>
      </c>
      <c r="W23" s="25"/>
      <c r="X23" s="25">
        <f>SUM(X7:X18)</f>
        <v>5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9</v>
      </c>
      <c r="O24" s="25"/>
      <c r="P24" s="25">
        <f>SUMIF($C7:$C18,"GENERAL",P7:P18)</f>
        <v>9</v>
      </c>
      <c r="Q24" s="25"/>
      <c r="R24" s="25">
        <f>SUMIF($C7:$C18,"GENERAL",R7:R18)</f>
        <v>9</v>
      </c>
      <c r="S24" s="25"/>
      <c r="T24" s="25">
        <f>SUMIF($C7:$C18,"GENERAL",T7:T18)</f>
        <v>9</v>
      </c>
      <c r="U24" s="25"/>
      <c r="V24" s="25">
        <f>SUMIF($C7:$C18,"GENERAL",V7:V18)</f>
        <v>9</v>
      </c>
      <c r="W24" s="25"/>
      <c r="X24" s="25">
        <f>SUMIF($C7:$C18,"GENERAL",X7:X18)</f>
        <v>4</v>
      </c>
      <c r="Y24" s="25"/>
      <c r="Z24" s="25">
        <f>SUMIF($C7:$C18,"GENERAL",Z7:Z18)</f>
        <v>9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3</v>
      </c>
      <c r="M27" s="42">
        <f>SUMIF($C7:$C18,"TEMPO",N7:N18)</f>
        <v>3</v>
      </c>
      <c r="N27" s="42">
        <f>M27</f>
        <v>3</v>
      </c>
      <c r="O27" s="42">
        <f>SUMIF($C7:$C18,"TEMPO",P7:P18)</f>
        <v>3</v>
      </c>
      <c r="P27" s="42">
        <f>O27</f>
        <v>3</v>
      </c>
      <c r="Q27" s="42">
        <f>SUMIF($C7:$C18,"TEMPO",R7:R18)</f>
        <v>3</v>
      </c>
      <c r="R27" s="42">
        <f>Q27</f>
        <v>3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1</v>
      </c>
      <c r="X27" s="42">
        <f>W27</f>
        <v>1</v>
      </c>
      <c r="Y27" s="42">
        <f>SUMIF($C7:$C18,"TEMPO",Z7:Z18)</f>
        <v>3</v>
      </c>
      <c r="Z27" s="42">
        <f>Y27</f>
        <v>3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75</v>
      </c>
      <c r="U28" s="38"/>
      <c r="V28" s="38">
        <f>(SUM(V24:V27)/COUNTA(V7:V18))*100</f>
        <v>75</v>
      </c>
      <c r="W28" s="38"/>
      <c r="X28" s="38">
        <f>(SUM(X24:X27)/COUNTA(X7:X18))*100</f>
        <v>41.666666666666671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464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16</v>
      </c>
      <c r="B36" s="28">
        <v>0.25</v>
      </c>
      <c r="C36" s="29" t="s">
        <v>39</v>
      </c>
      <c r="D36" s="30"/>
      <c r="E36" s="29">
        <v>230</v>
      </c>
      <c r="F36" s="29">
        <v>3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1" t="s">
        <v>487</v>
      </c>
      <c r="M36" s="32">
        <f t="shared" ref="M36:M41" si="26">IF(ISNUMBER(VALUE(FIND("VRB",L36))),999,VALUE(MID(L36,20,3)))</f>
        <v>130</v>
      </c>
      <c r="N36" s="33">
        <f t="shared" ref="N36:N41" si="27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8">VALUE(MID(L36,23,2))</f>
        <v>5</v>
      </c>
      <c r="P36" s="33">
        <f t="shared" ref="P36:P41" si="29">IF(ABS(O36-F36)&lt;11,1,0)</f>
        <v>1</v>
      </c>
      <c r="Q36" s="34">
        <f t="shared" ref="Q36:Q41" si="30">IF(MID(L36,25,1)="G","GUST",0)</f>
        <v>0</v>
      </c>
      <c r="R36" s="33">
        <f t="shared" ref="R36:R41" si="31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9999</v>
      </c>
      <c r="T36" s="34">
        <f t="shared" ref="T36:T41" si="32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3">IF(AND(IFERROR(FIND("RA",L36),0)&gt;0, IFERROR(FIND("RA",L36),0)&lt;38),"RA",0)</f>
        <v>0</v>
      </c>
      <c r="V36" s="34">
        <f t="shared" ref="V36:V41" si="34">IF(U36=I36,1,0)</f>
        <v>1</v>
      </c>
      <c r="W36" s="34" t="str">
        <f t="shared" ref="W36:W41" si="35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SCT</v>
      </c>
      <c r="X36" s="34">
        <f t="shared" ref="X36:X41" si="36">IF(OR(AND(OR(J36="SKC",J36="FEW",J36="SCT"),OR(W36="SKC",W36="FEW",W36="SCT")),(AND(OR(J36="BKN",J36="OVC"),OR(W36="BKN",W36="OVC")))),1,0)</f>
        <v>0</v>
      </c>
      <c r="Y36" s="34">
        <f t="shared" ref="Y36:Y41" si="37">IF(ISNUMBER(VALUE(FIND("CAVOK",L36))),9999,IF(ISNUMBER(VALUE(FIND("NSC",L36))),9999,(MID(L36,(FIND(W36,L36)+4),2))*100))</f>
        <v>900</v>
      </c>
      <c r="Z36" s="34">
        <f t="shared" ref="Z36:Z41" si="38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230</v>
      </c>
      <c r="F37" s="29">
        <v>3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1" t="s">
        <v>488</v>
      </c>
      <c r="M37" s="32">
        <f t="shared" si="26"/>
        <v>240</v>
      </c>
      <c r="N37" s="33">
        <f t="shared" si="27"/>
        <v>1</v>
      </c>
      <c r="O37" s="33">
        <f t="shared" si="28"/>
        <v>4</v>
      </c>
      <c r="P37" s="33">
        <f t="shared" si="29"/>
        <v>1</v>
      </c>
      <c r="Q37" s="34">
        <f t="shared" si="30"/>
        <v>0</v>
      </c>
      <c r="R37" s="33">
        <f t="shared" si="31"/>
        <v>1</v>
      </c>
      <c r="S37" s="34">
        <f t="shared" ref="S37:S47" si="39">IF(ISNUMBER(VALUE(MID(L37,(FIND("KT",L37,FIND("Z",L37))+3),4))),VALUE(MID(L37,(FIND("KT",L37,FIND("Z",L37))+3),4)),IF(ISNUMBER(VALUE(MID(L37,(FIND("0V",L37)+6),4))),VALUE(MID(L37,(FIND("0V",L37)+6),4)),9999))</f>
        <v>9999</v>
      </c>
      <c r="T37" s="34">
        <f t="shared" si="32"/>
        <v>1</v>
      </c>
      <c r="U37" s="34">
        <f t="shared" si="33"/>
        <v>0</v>
      </c>
      <c r="V37" s="34">
        <f t="shared" si="34"/>
        <v>1</v>
      </c>
      <c r="W37" s="34" t="str">
        <f t="shared" si="35"/>
        <v>SCT</v>
      </c>
      <c r="X37" s="34">
        <f t="shared" si="36"/>
        <v>0</v>
      </c>
      <c r="Y37" s="34">
        <f t="shared" si="37"/>
        <v>900</v>
      </c>
      <c r="Z37" s="34">
        <f t="shared" si="38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230</v>
      </c>
      <c r="F38" s="29">
        <v>3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s="29" t="s">
        <v>489</v>
      </c>
      <c r="M38" s="32">
        <f t="shared" si="26"/>
        <v>240</v>
      </c>
      <c r="N38" s="33">
        <f t="shared" si="27"/>
        <v>1</v>
      </c>
      <c r="O38" s="33">
        <f t="shared" si="28"/>
        <v>3</v>
      </c>
      <c r="P38" s="33">
        <f t="shared" si="29"/>
        <v>1</v>
      </c>
      <c r="Q38" s="34">
        <f t="shared" si="30"/>
        <v>0</v>
      </c>
      <c r="R38" s="33">
        <f t="shared" si="31"/>
        <v>1</v>
      </c>
      <c r="S38" s="34">
        <f t="shared" si="39"/>
        <v>9999</v>
      </c>
      <c r="T38" s="34">
        <f t="shared" si="32"/>
        <v>1</v>
      </c>
      <c r="U38" s="34">
        <f t="shared" si="33"/>
        <v>0</v>
      </c>
      <c r="V38" s="34">
        <f t="shared" si="34"/>
        <v>1</v>
      </c>
      <c r="W38" s="34" t="str">
        <f t="shared" si="35"/>
        <v>SCT</v>
      </c>
      <c r="X38" s="34">
        <f t="shared" si="36"/>
        <v>0</v>
      </c>
      <c r="Y38" s="34">
        <f t="shared" si="37"/>
        <v>900</v>
      </c>
      <c r="Z38" s="34">
        <f t="shared" si="38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230</v>
      </c>
      <c r="F39" s="29">
        <v>3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s="29" t="s">
        <v>490</v>
      </c>
      <c r="M39" s="32">
        <f t="shared" si="26"/>
        <v>240</v>
      </c>
      <c r="N39" s="33">
        <f t="shared" si="27"/>
        <v>1</v>
      </c>
      <c r="O39" s="33">
        <f t="shared" si="28"/>
        <v>2</v>
      </c>
      <c r="P39" s="33">
        <f t="shared" si="29"/>
        <v>1</v>
      </c>
      <c r="Q39" s="34">
        <f t="shared" si="30"/>
        <v>0</v>
      </c>
      <c r="R39" s="33">
        <f t="shared" si="31"/>
        <v>1</v>
      </c>
      <c r="S39" s="34">
        <f t="shared" si="39"/>
        <v>8000</v>
      </c>
      <c r="T39" s="34">
        <f t="shared" si="32"/>
        <v>1</v>
      </c>
      <c r="U39" s="34">
        <f t="shared" si="33"/>
        <v>0</v>
      </c>
      <c r="V39" s="34">
        <f t="shared" si="34"/>
        <v>1</v>
      </c>
      <c r="W39" s="34" t="str">
        <f t="shared" si="35"/>
        <v>BKN</v>
      </c>
      <c r="X39" s="34">
        <f t="shared" si="36"/>
        <v>1</v>
      </c>
      <c r="Y39" s="34">
        <f t="shared" si="37"/>
        <v>900</v>
      </c>
      <c r="Z39" s="34">
        <f t="shared" si="38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30"/>
      <c r="E40" s="29">
        <v>0</v>
      </c>
      <c r="F40" s="29">
        <v>0</v>
      </c>
      <c r="G40" s="29">
        <v>0</v>
      </c>
      <c r="H40" s="29">
        <v>4000</v>
      </c>
      <c r="I40" s="29" t="s">
        <v>52</v>
      </c>
      <c r="J40" s="29" t="s">
        <v>51</v>
      </c>
      <c r="K40" s="29">
        <v>900</v>
      </c>
      <c r="L40" s="29" t="s">
        <v>491</v>
      </c>
      <c r="M40" s="32">
        <f t="shared" si="26"/>
        <v>340</v>
      </c>
      <c r="N40" s="33">
        <f t="shared" si="27"/>
        <v>1</v>
      </c>
      <c r="O40" s="33">
        <f t="shared" si="28"/>
        <v>2</v>
      </c>
      <c r="P40" s="33">
        <f t="shared" si="29"/>
        <v>1</v>
      </c>
      <c r="Q40" s="34">
        <f t="shared" si="30"/>
        <v>0</v>
      </c>
      <c r="R40" s="33">
        <f t="shared" si="31"/>
        <v>1</v>
      </c>
      <c r="S40" s="34">
        <f t="shared" si="39"/>
        <v>8000</v>
      </c>
      <c r="T40" s="34">
        <f t="shared" si="32"/>
        <v>0</v>
      </c>
      <c r="U40" s="34">
        <f t="shared" si="33"/>
        <v>0</v>
      </c>
      <c r="V40" s="34">
        <f t="shared" si="34"/>
        <v>0</v>
      </c>
      <c r="W40" s="34" t="str">
        <f t="shared" si="35"/>
        <v>BKN</v>
      </c>
      <c r="X40" s="34">
        <f t="shared" si="36"/>
        <v>0</v>
      </c>
      <c r="Y40" s="34">
        <f t="shared" si="37"/>
        <v>900</v>
      </c>
      <c r="Z40" s="34">
        <f t="shared" si="38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30"/>
      <c r="E41" s="29">
        <v>0</v>
      </c>
      <c r="F41" s="29">
        <v>0</v>
      </c>
      <c r="G41" s="29">
        <v>0</v>
      </c>
      <c r="H41" s="29">
        <v>4000</v>
      </c>
      <c r="I41" s="29" t="s">
        <v>52</v>
      </c>
      <c r="J41" s="29" t="s">
        <v>51</v>
      </c>
      <c r="K41" s="29">
        <v>900</v>
      </c>
      <c r="L41" s="29" t="s">
        <v>492</v>
      </c>
      <c r="M41" s="32">
        <f t="shared" si="26"/>
        <v>360</v>
      </c>
      <c r="N41" s="33">
        <f t="shared" si="27"/>
        <v>1</v>
      </c>
      <c r="O41" s="33">
        <f t="shared" si="28"/>
        <v>3</v>
      </c>
      <c r="P41" s="33">
        <f t="shared" si="29"/>
        <v>1</v>
      </c>
      <c r="Q41" s="34">
        <f t="shared" si="30"/>
        <v>0</v>
      </c>
      <c r="R41" s="33">
        <f t="shared" si="31"/>
        <v>1</v>
      </c>
      <c r="S41" s="34">
        <f t="shared" si="39"/>
        <v>8000</v>
      </c>
      <c r="T41" s="34">
        <f t="shared" si="32"/>
        <v>0</v>
      </c>
      <c r="U41" s="34">
        <f t="shared" si="33"/>
        <v>0</v>
      </c>
      <c r="V41" s="34">
        <f t="shared" si="34"/>
        <v>0</v>
      </c>
      <c r="W41" s="34" t="str">
        <f t="shared" si="35"/>
        <v>SCT</v>
      </c>
      <c r="X41" s="34">
        <f t="shared" si="36"/>
        <v>1</v>
      </c>
      <c r="Y41" s="34">
        <f t="shared" si="37"/>
        <v>900</v>
      </c>
      <c r="Z41" s="34">
        <f t="shared" si="38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40</v>
      </c>
      <c r="D42" s="30"/>
      <c r="E42" s="29">
        <v>0</v>
      </c>
      <c r="F42" s="29">
        <v>0</v>
      </c>
      <c r="G42" s="29">
        <v>0</v>
      </c>
      <c r="H42" s="29">
        <v>4000</v>
      </c>
      <c r="I42" s="29" t="s">
        <v>52</v>
      </c>
      <c r="J42" s="29" t="s">
        <v>51</v>
      </c>
      <c r="K42" s="29">
        <v>900</v>
      </c>
      <c r="L42" s="29" t="s">
        <v>493</v>
      </c>
      <c r="M42" s="32">
        <f t="shared" ref="M42:M47" si="40">IF(ISNUMBER(VALUE(FIND("VRB",L42))),999,VALUE(MID(L42,20,3)))</f>
        <v>30</v>
      </c>
      <c r="N42" s="33">
        <f t="shared" ref="N42:N47" si="41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2">VALUE(MID(L42,23,2))</f>
        <v>4</v>
      </c>
      <c r="P42" s="33">
        <f t="shared" ref="P42:P47" si="43">IF(ABS(O42-F42)&lt;11,1,0)</f>
        <v>1</v>
      </c>
      <c r="Q42" s="34">
        <f t="shared" ref="Q42:Q47" si="44">IF(MID(L42,25,1)="G","GUST",0)</f>
        <v>0</v>
      </c>
      <c r="R42" s="33">
        <f t="shared" ref="R42:R47" si="45">IF(G42=Q42,1,0)</f>
        <v>1</v>
      </c>
      <c r="S42" s="34">
        <f t="shared" si="39"/>
        <v>2000</v>
      </c>
      <c r="T42" s="34">
        <f t="shared" ref="T42:T47" si="46">IF(OR(AND(H42&lt;801,S42&lt;801),AND(H42&gt;799,H42&lt;1501,S42&gt;799,S42&lt;1502),AND(H42&gt;1499,H42&lt;3001,S42&gt;1499,S42&lt;3001),AND(H42&gt;2999,H42&lt;5001,S42&gt;2999,S42&lt;5001),AND(H42&gt;4999,S42&gt;4999)),1,0)</f>
        <v>0</v>
      </c>
      <c r="U42" s="34">
        <f>IF(AND(IFERROR(FIND("RA",#REF!),0)&gt;0, IFERROR(FIND("RA",#REF!),0)&lt;38),"RA",0)</f>
        <v>0</v>
      </c>
      <c r="V42" s="34">
        <f t="shared" ref="V42:V47" si="47">IF(U42=I42,1,0)</f>
        <v>0</v>
      </c>
      <c r="W42" s="34" t="str">
        <f t="shared" ref="W42:W47" si="48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FEW</v>
      </c>
      <c r="X42" s="34">
        <f t="shared" ref="X42:X47" si="49">IF(OR(AND(OR(J42="SKC",J42="FEW",J42="SCT"),OR(W42="SKC",W42="FEW",W42="SCT")),(AND(OR(J42="BKN",J42="OVC"),OR(W42="BKN",W42="OVC")))),1,0)</f>
        <v>1</v>
      </c>
      <c r="Y42" s="34">
        <f t="shared" ref="Y42:Y47" si="50">IF(ISNUMBER(VALUE(FIND("CAVOK",L42))),9999,IF(ISNUMBER(VALUE(FIND("NSC",L42))),9999,(MID(L42,(FIND(W42,L42)+4),2))*100))</f>
        <v>800</v>
      </c>
      <c r="Z42" s="34">
        <f t="shared" ref="Z42:Z47" si="51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40</v>
      </c>
      <c r="D43" s="30"/>
      <c r="E43" s="29">
        <v>0</v>
      </c>
      <c r="F43" s="29">
        <v>0</v>
      </c>
      <c r="G43" s="29">
        <v>0</v>
      </c>
      <c r="H43" s="29">
        <v>4000</v>
      </c>
      <c r="I43" s="29" t="s">
        <v>52</v>
      </c>
      <c r="J43" s="29" t="s">
        <v>51</v>
      </c>
      <c r="K43" s="29">
        <v>900</v>
      </c>
      <c r="L43" s="29" t="s">
        <v>494</v>
      </c>
      <c r="M43" s="32">
        <f t="shared" si="40"/>
        <v>0</v>
      </c>
      <c r="N43" s="33">
        <f t="shared" si="41"/>
        <v>1</v>
      </c>
      <c r="O43" s="33">
        <f t="shared" si="42"/>
        <v>0</v>
      </c>
      <c r="P43" s="33">
        <f t="shared" si="43"/>
        <v>1</v>
      </c>
      <c r="Q43" s="34">
        <f t="shared" si="44"/>
        <v>0</v>
      </c>
      <c r="R43" s="33">
        <f t="shared" si="45"/>
        <v>1</v>
      </c>
      <c r="S43" s="34">
        <f t="shared" si="39"/>
        <v>2000</v>
      </c>
      <c r="T43" s="34">
        <f t="shared" si="46"/>
        <v>0</v>
      </c>
      <c r="U43" s="34">
        <f>IF(AND(IFERROR(FIND("RA",#REF!),0)&gt;0, IFERROR(FIND("RA",#REF!),0)&lt;38),"RA",0)</f>
        <v>0</v>
      </c>
      <c r="V43" s="34">
        <f t="shared" si="47"/>
        <v>0</v>
      </c>
      <c r="W43" s="34" t="str">
        <f t="shared" si="48"/>
        <v>FEW</v>
      </c>
      <c r="X43" s="34">
        <f t="shared" si="49"/>
        <v>1</v>
      </c>
      <c r="Y43" s="34">
        <f t="shared" si="50"/>
        <v>800</v>
      </c>
      <c r="Z43" s="34">
        <f t="shared" si="51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230</v>
      </c>
      <c r="F44" s="29">
        <v>3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s="29" t="s">
        <v>911</v>
      </c>
      <c r="M44" s="32">
        <f t="shared" si="40"/>
        <v>50</v>
      </c>
      <c r="N44" s="33">
        <f t="shared" si="41"/>
        <v>1</v>
      </c>
      <c r="O44" s="33">
        <f t="shared" si="42"/>
        <v>2</v>
      </c>
      <c r="P44" s="33">
        <f t="shared" si="43"/>
        <v>1</v>
      </c>
      <c r="Q44" s="34">
        <f t="shared" si="44"/>
        <v>0</v>
      </c>
      <c r="R44" s="33">
        <f t="shared" si="45"/>
        <v>1</v>
      </c>
      <c r="S44" s="34">
        <f t="shared" si="39"/>
        <v>7000</v>
      </c>
      <c r="T44" s="34">
        <f t="shared" si="46"/>
        <v>1</v>
      </c>
      <c r="U44" s="34">
        <f>IF(AND(IFERROR(FIND("RA",#REF!),0)&gt;0, IFERROR(FIND("RA",#REF!),0)&lt;38),"RA",0)</f>
        <v>0</v>
      </c>
      <c r="V44" s="34">
        <f t="shared" si="47"/>
        <v>1</v>
      </c>
      <c r="W44" s="34" t="str">
        <f t="shared" si="48"/>
        <v>OVC</v>
      </c>
      <c r="X44" s="34">
        <f t="shared" si="49"/>
        <v>1</v>
      </c>
      <c r="Y44" s="34">
        <f t="shared" si="50"/>
        <v>900</v>
      </c>
      <c r="Z44" s="34">
        <f t="shared" si="51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230</v>
      </c>
      <c r="F45" s="29">
        <v>3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s="29" t="s">
        <v>495</v>
      </c>
      <c r="M45" s="32">
        <f t="shared" si="40"/>
        <v>350</v>
      </c>
      <c r="N45" s="33">
        <f t="shared" si="41"/>
        <v>1</v>
      </c>
      <c r="O45" s="33">
        <f t="shared" si="42"/>
        <v>2</v>
      </c>
      <c r="P45" s="33">
        <f t="shared" si="43"/>
        <v>1</v>
      </c>
      <c r="Q45" s="34">
        <f t="shared" si="44"/>
        <v>0</v>
      </c>
      <c r="R45" s="33">
        <f t="shared" si="45"/>
        <v>1</v>
      </c>
      <c r="S45" s="34">
        <f t="shared" si="39"/>
        <v>6000</v>
      </c>
      <c r="T45" s="34">
        <f t="shared" si="46"/>
        <v>1</v>
      </c>
      <c r="U45" s="34">
        <f>IF(AND(IFERROR(FIND("RA",#REF!),0)&gt;0, IFERROR(FIND("RA",#REF!),0)&lt;38),"RA",0)</f>
        <v>0</v>
      </c>
      <c r="V45" s="34">
        <f t="shared" si="47"/>
        <v>1</v>
      </c>
      <c r="W45" s="34" t="str">
        <f t="shared" si="48"/>
        <v>OVC</v>
      </c>
      <c r="X45" s="34">
        <f t="shared" si="49"/>
        <v>1</v>
      </c>
      <c r="Y45" s="34">
        <f t="shared" si="50"/>
        <v>900</v>
      </c>
      <c r="Z45" s="34">
        <f t="shared" si="51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230</v>
      </c>
      <c r="F46" s="29">
        <v>3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29" t="s">
        <v>496</v>
      </c>
      <c r="M46" s="32">
        <f t="shared" si="40"/>
        <v>310</v>
      </c>
      <c r="N46" s="33">
        <f t="shared" si="41"/>
        <v>1</v>
      </c>
      <c r="O46" s="33">
        <f t="shared" si="42"/>
        <v>4</v>
      </c>
      <c r="P46" s="33">
        <f t="shared" si="43"/>
        <v>1</v>
      </c>
      <c r="Q46" s="34">
        <f t="shared" si="44"/>
        <v>0</v>
      </c>
      <c r="R46" s="33">
        <f t="shared" si="45"/>
        <v>1</v>
      </c>
      <c r="S46" s="34">
        <f t="shared" si="39"/>
        <v>3000</v>
      </c>
      <c r="T46" s="34">
        <f t="shared" si="46"/>
        <v>0</v>
      </c>
      <c r="U46" s="34">
        <f>IF(AND(IFERROR(FIND("RA",#REF!),0)&gt;0, IFERROR(FIND("RA",#REF!),0)&lt;38),"RA",0)</f>
        <v>0</v>
      </c>
      <c r="V46" s="34">
        <f t="shared" si="47"/>
        <v>1</v>
      </c>
      <c r="W46" s="34" t="str">
        <f t="shared" si="48"/>
        <v>BKN</v>
      </c>
      <c r="X46" s="34">
        <f t="shared" si="49"/>
        <v>1</v>
      </c>
      <c r="Y46" s="34">
        <f t="shared" si="50"/>
        <v>900</v>
      </c>
      <c r="Z46" s="34">
        <f t="shared" si="51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230</v>
      </c>
      <c r="F47" s="29">
        <v>3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29" t="s">
        <v>497</v>
      </c>
      <c r="M47" s="32">
        <f t="shared" si="40"/>
        <v>320</v>
      </c>
      <c r="N47" s="33">
        <f t="shared" si="41"/>
        <v>1</v>
      </c>
      <c r="O47" s="33">
        <f t="shared" si="42"/>
        <v>4</v>
      </c>
      <c r="P47" s="33">
        <f t="shared" si="43"/>
        <v>1</v>
      </c>
      <c r="Q47" s="34">
        <f t="shared" si="44"/>
        <v>0</v>
      </c>
      <c r="R47" s="33">
        <f t="shared" si="45"/>
        <v>1</v>
      </c>
      <c r="S47" s="34">
        <f t="shared" si="39"/>
        <v>7000</v>
      </c>
      <c r="T47" s="34">
        <f t="shared" si="46"/>
        <v>1</v>
      </c>
      <c r="U47" s="34">
        <f>IF(AND(IFERROR(FIND("RA",#REF!),0)&gt;0, IFERROR(FIND("RA",#REF!),0)&lt;38),"RA",0)</f>
        <v>0</v>
      </c>
      <c r="V47" s="34">
        <f t="shared" si="47"/>
        <v>1</v>
      </c>
      <c r="W47" s="34" t="str">
        <f t="shared" si="48"/>
        <v>BKN</v>
      </c>
      <c r="X47" s="34">
        <f t="shared" si="49"/>
        <v>1</v>
      </c>
      <c r="Y47" s="34">
        <f t="shared" si="50"/>
        <v>900</v>
      </c>
      <c r="Z47" s="34">
        <f t="shared" si="51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 ht="20.25">
      <c r="A50" s="25"/>
      <c r="B50" s="25"/>
      <c r="C50" s="41"/>
      <c r="D50" s="25"/>
      <c r="E50" s="56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7</v>
      </c>
      <c r="U52" s="25"/>
      <c r="V52" s="25">
        <f>SUM(V36:V47)</f>
        <v>8</v>
      </c>
      <c r="W52" s="25"/>
      <c r="X52" s="25">
        <f>SUM(X36:X47)</f>
        <v>8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8</v>
      </c>
      <c r="O53" s="25"/>
      <c r="P53" s="25">
        <f>SUMIF($C36:$C47,"GENERAL",P36:P47)</f>
        <v>8</v>
      </c>
      <c r="Q53" s="25"/>
      <c r="R53" s="25">
        <f>SUMIF($C36:$C47,"GENERAL",R36:R47)</f>
        <v>8</v>
      </c>
      <c r="S53" s="25"/>
      <c r="T53" s="25">
        <f>SUMIF($C36:$C47,"GENERAL",T36:T47)</f>
        <v>7</v>
      </c>
      <c r="U53" s="25"/>
      <c r="V53" s="25">
        <f>SUMIF($C36:$C47,"GENERAL",V36:V47)</f>
        <v>8</v>
      </c>
      <c r="W53" s="25"/>
      <c r="X53" s="25">
        <f>SUMIF($C36:$C47,"GENERAL",X36:X47)</f>
        <v>5</v>
      </c>
      <c r="Y53" s="25"/>
      <c r="Z53" s="25">
        <f>SUMIF($C36:$C47,"GENERAL",Z36:Z47)</f>
        <v>8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4</v>
      </c>
      <c r="M56" s="42">
        <f>SUMIF($C36:$C47,"TEMPO",N36:N47)</f>
        <v>4</v>
      </c>
      <c r="N56" s="42">
        <f>M56</f>
        <v>4</v>
      </c>
      <c r="O56" s="42">
        <f>SUMIF($C36:$C47,"TEMPO",P36:P47)</f>
        <v>4</v>
      </c>
      <c r="P56" s="42">
        <f>O56</f>
        <v>4</v>
      </c>
      <c r="Q56" s="42">
        <f>SUMIF($C36:$C47,"TEMPO",R36:R47)</f>
        <v>4</v>
      </c>
      <c r="R56" s="42">
        <f>Q56</f>
        <v>4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3</v>
      </c>
      <c r="X56" s="42">
        <f>W56</f>
        <v>3</v>
      </c>
      <c r="Y56" s="42">
        <f>SUMIF($C36:$C47,"TEMPO",Z36:Z47)</f>
        <v>4</v>
      </c>
      <c r="Z56" s="42">
        <f>Y56</f>
        <v>4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58.333333333333336</v>
      </c>
      <c r="U57" s="38"/>
      <c r="V57" s="38">
        <f>(SUM(V53:V56)/COUNTA(V36:V47))*100</f>
        <v>66.666666666666657</v>
      </c>
      <c r="W57" s="38"/>
      <c r="X57" s="38">
        <f>(SUM(X53:X56)/COUNTA(X36:X47))*100</f>
        <v>66.666666666666657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503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16</v>
      </c>
      <c r="B65" s="50">
        <v>0.5</v>
      </c>
      <c r="C65" s="51" t="s">
        <v>39</v>
      </c>
      <c r="D65" s="52"/>
      <c r="E65" s="51">
        <v>350</v>
      </c>
      <c r="F65" s="51">
        <v>3</v>
      </c>
      <c r="G65" s="51">
        <v>0</v>
      </c>
      <c r="H65" s="51">
        <v>4000</v>
      </c>
      <c r="I65" s="51" t="s">
        <v>52</v>
      </c>
      <c r="J65" s="51" t="s">
        <v>51</v>
      </c>
      <c r="K65" s="51">
        <v>800</v>
      </c>
      <c r="L65" s="51" t="s">
        <v>493</v>
      </c>
      <c r="M65" s="32">
        <f t="shared" ref="M65:M70" si="52">IF(ISNUMBER(VALUE(FIND("VRB",L65))),999,VALUE(MID(L65,20,3)))</f>
        <v>30</v>
      </c>
      <c r="N65" s="33">
        <f t="shared" ref="N65:N70" si="53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4">VALUE(MID(L65,23,2))</f>
        <v>4</v>
      </c>
      <c r="P65" s="33">
        <f t="shared" ref="P65:P70" si="55">IF(ABS(O65-F65)&lt;11,1,0)</f>
        <v>1</v>
      </c>
      <c r="Q65" s="34">
        <f t="shared" ref="Q65:Q70" si="56">IF(MID(L65,25,1)="G","GUST",0)</f>
        <v>0</v>
      </c>
      <c r="R65" s="33">
        <f t="shared" ref="R65:R70" si="57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2000</v>
      </c>
      <c r="T65" s="34">
        <f t="shared" ref="T65:T70" si="58">IF(OR(AND(H65&lt;801,S65&lt;801),AND(H65&gt;799,H65&lt;1501,S65&gt;799,S65&lt;1502),AND(H65&gt;1499,H65&lt;3001,S65&gt;1499,S65&lt;3001),AND(H65&gt;2999,H65&lt;5001,S65&gt;2999,S65&lt;5001),AND(H65&gt;4999,S65&gt;4999)),1,0)</f>
        <v>0</v>
      </c>
      <c r="U65" s="34">
        <f t="shared" ref="U65:U70" si="59">IF(AND(IFERROR(FIND("RA",L65),0)&gt;0, IFERROR(FIND("RA",L65),0)&lt;38),"RA",0)</f>
        <v>0</v>
      </c>
      <c r="V65" s="34">
        <f t="shared" ref="V65:V70" si="60">IF(U65=I65,1,0)</f>
        <v>0</v>
      </c>
      <c r="W65" s="34" t="str">
        <f t="shared" ref="W65:W70" si="61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0" si="62">IF(OR(AND(OR(J65="SKC",J65="FEW",J65="SCT"),OR(W65="SKC",W65="FEW",W65="SCT")),(AND(OR(J65="BKN",J65="OVC"),OR(W65="BKN",W65="OVC")))),1,0)</f>
        <v>1</v>
      </c>
      <c r="Y65" s="34">
        <f t="shared" ref="Y65:Y70" si="63">IF(ISNUMBER(VALUE(FIND("CAVOK",L65))),9999,IF(ISNUMBER(VALUE(FIND("NSC",L65))),9999,(MID(L65,(FIND(W65,L65)+4),2))*100))</f>
        <v>800</v>
      </c>
      <c r="Z65" s="34">
        <f t="shared" ref="Z65:Z70" si="64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350</v>
      </c>
      <c r="F66" s="51">
        <v>3</v>
      </c>
      <c r="G66" s="51">
        <v>0</v>
      </c>
      <c r="H66" s="51">
        <v>4000</v>
      </c>
      <c r="I66" s="51" t="s">
        <v>52</v>
      </c>
      <c r="J66" s="51" t="s">
        <v>51</v>
      </c>
      <c r="K66" s="51">
        <v>800</v>
      </c>
      <c r="L66" s="51" t="s">
        <v>494</v>
      </c>
      <c r="M66" s="32">
        <f t="shared" si="52"/>
        <v>0</v>
      </c>
      <c r="N66" s="33">
        <f t="shared" si="53"/>
        <v>1</v>
      </c>
      <c r="O66" s="33">
        <f t="shared" si="54"/>
        <v>0</v>
      </c>
      <c r="P66" s="33">
        <f t="shared" si="55"/>
        <v>1</v>
      </c>
      <c r="Q66" s="34">
        <f t="shared" si="56"/>
        <v>0</v>
      </c>
      <c r="R66" s="33">
        <f t="shared" si="57"/>
        <v>1</v>
      </c>
      <c r="S66" s="34">
        <f t="shared" ref="S66:S76" si="65">IF(ISNUMBER(VALUE(MID(L66,(FIND("KT",L66,FIND("Z",L66))+3),4))),VALUE(MID(L66,(FIND("KT",L66,FIND("Z",L66))+3),4)),IF(ISNUMBER(VALUE(MID(L66,(FIND("0V",L66)+6),4))),VALUE(MID(L66,(FIND("0V",L66)+6),4)),9999))</f>
        <v>2000</v>
      </c>
      <c r="T66" s="34">
        <f t="shared" si="58"/>
        <v>0</v>
      </c>
      <c r="U66" s="34" t="str">
        <f t="shared" si="59"/>
        <v>RA</v>
      </c>
      <c r="V66" s="34">
        <f t="shared" si="60"/>
        <v>1</v>
      </c>
      <c r="W66" s="34" t="str">
        <f t="shared" si="61"/>
        <v>FEW</v>
      </c>
      <c r="X66" s="34">
        <f t="shared" si="62"/>
        <v>1</v>
      </c>
      <c r="Y66" s="34">
        <f t="shared" si="63"/>
        <v>800</v>
      </c>
      <c r="Z66" s="34">
        <f t="shared" si="64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350</v>
      </c>
      <c r="F67" s="51">
        <v>3</v>
      </c>
      <c r="G67" s="51">
        <v>0</v>
      </c>
      <c r="H67" s="51">
        <v>4000</v>
      </c>
      <c r="I67" s="51" t="s">
        <v>52</v>
      </c>
      <c r="J67" s="51" t="s">
        <v>51</v>
      </c>
      <c r="K67" s="51">
        <v>800</v>
      </c>
      <c r="L67" s="51" t="s">
        <v>911</v>
      </c>
      <c r="M67" s="32">
        <f t="shared" si="52"/>
        <v>50</v>
      </c>
      <c r="N67" s="33">
        <f t="shared" si="53"/>
        <v>1</v>
      </c>
      <c r="O67" s="33">
        <f t="shared" si="54"/>
        <v>2</v>
      </c>
      <c r="P67" s="33">
        <f t="shared" si="55"/>
        <v>1</v>
      </c>
      <c r="Q67" s="34">
        <f t="shared" si="56"/>
        <v>0</v>
      </c>
      <c r="R67" s="33">
        <f t="shared" si="57"/>
        <v>1</v>
      </c>
      <c r="S67" s="34">
        <f t="shared" si="65"/>
        <v>7000</v>
      </c>
      <c r="T67" s="34">
        <f t="shared" si="58"/>
        <v>0</v>
      </c>
      <c r="U67" s="34">
        <f t="shared" si="59"/>
        <v>0</v>
      </c>
      <c r="V67" s="34">
        <f t="shared" si="60"/>
        <v>0</v>
      </c>
      <c r="W67" s="34" t="str">
        <f t="shared" si="61"/>
        <v>OVC</v>
      </c>
      <c r="X67" s="34">
        <f t="shared" si="62"/>
        <v>0</v>
      </c>
      <c r="Y67" s="34">
        <f t="shared" si="63"/>
        <v>900</v>
      </c>
      <c r="Z67" s="34">
        <f t="shared" si="64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350</v>
      </c>
      <c r="F68" s="51">
        <v>3</v>
      </c>
      <c r="G68" s="51">
        <v>0</v>
      </c>
      <c r="H68" s="51">
        <v>4000</v>
      </c>
      <c r="I68" s="51" t="s">
        <v>52</v>
      </c>
      <c r="J68" s="51" t="s">
        <v>51</v>
      </c>
      <c r="K68" s="51">
        <v>800</v>
      </c>
      <c r="L68" s="51" t="s">
        <v>495</v>
      </c>
      <c r="M68" s="32">
        <f t="shared" si="52"/>
        <v>350</v>
      </c>
      <c r="N68" s="33">
        <f t="shared" si="53"/>
        <v>1</v>
      </c>
      <c r="O68" s="33">
        <f t="shared" si="54"/>
        <v>2</v>
      </c>
      <c r="P68" s="33">
        <f t="shared" si="55"/>
        <v>1</v>
      </c>
      <c r="Q68" s="34">
        <f t="shared" si="56"/>
        <v>0</v>
      </c>
      <c r="R68" s="33">
        <f t="shared" si="57"/>
        <v>1</v>
      </c>
      <c r="S68" s="34">
        <f t="shared" si="65"/>
        <v>6000</v>
      </c>
      <c r="T68" s="34">
        <f t="shared" si="58"/>
        <v>0</v>
      </c>
      <c r="U68" s="34">
        <f t="shared" si="59"/>
        <v>0</v>
      </c>
      <c r="V68" s="34">
        <f t="shared" si="60"/>
        <v>0</v>
      </c>
      <c r="W68" s="34" t="str">
        <f t="shared" si="61"/>
        <v>OVC</v>
      </c>
      <c r="X68" s="34">
        <f t="shared" si="62"/>
        <v>0</v>
      </c>
      <c r="Y68" s="34">
        <f t="shared" si="63"/>
        <v>900</v>
      </c>
      <c r="Z68" s="34">
        <f t="shared" si="64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34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1" t="s">
        <v>58</v>
      </c>
      <c r="K69" s="51">
        <v>900</v>
      </c>
      <c r="L69" s="51" t="s">
        <v>496</v>
      </c>
      <c r="M69" s="32">
        <f t="shared" si="52"/>
        <v>310</v>
      </c>
      <c r="N69" s="33">
        <f t="shared" si="53"/>
        <v>1</v>
      </c>
      <c r="O69" s="33">
        <f t="shared" si="54"/>
        <v>4</v>
      </c>
      <c r="P69" s="33">
        <f t="shared" si="55"/>
        <v>1</v>
      </c>
      <c r="Q69" s="34">
        <f t="shared" si="56"/>
        <v>0</v>
      </c>
      <c r="R69" s="33">
        <f t="shared" si="57"/>
        <v>1</v>
      </c>
      <c r="S69" s="34">
        <f t="shared" si="65"/>
        <v>3000</v>
      </c>
      <c r="T69" s="34">
        <f t="shared" si="58"/>
        <v>0</v>
      </c>
      <c r="U69" s="34" t="str">
        <f t="shared" si="59"/>
        <v>RA</v>
      </c>
      <c r="V69" s="34">
        <f t="shared" si="60"/>
        <v>0</v>
      </c>
      <c r="W69" s="34" t="str">
        <f t="shared" si="61"/>
        <v>BKN</v>
      </c>
      <c r="X69" s="34">
        <f t="shared" si="62"/>
        <v>1</v>
      </c>
      <c r="Y69" s="34">
        <f t="shared" si="63"/>
        <v>900</v>
      </c>
      <c r="Z69" s="34">
        <f t="shared" si="64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34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1" t="s">
        <v>58</v>
      </c>
      <c r="K70" s="51">
        <v>900</v>
      </c>
      <c r="L70" s="51" t="s">
        <v>497</v>
      </c>
      <c r="M70" s="32">
        <f t="shared" si="52"/>
        <v>320</v>
      </c>
      <c r="N70" s="33">
        <f t="shared" si="53"/>
        <v>1</v>
      </c>
      <c r="O70" s="33">
        <f t="shared" si="54"/>
        <v>4</v>
      </c>
      <c r="P70" s="33">
        <f t="shared" si="55"/>
        <v>1</v>
      </c>
      <c r="Q70" s="34">
        <f t="shared" si="56"/>
        <v>0</v>
      </c>
      <c r="R70" s="33">
        <f t="shared" si="57"/>
        <v>1</v>
      </c>
      <c r="S70" s="34">
        <f t="shared" si="65"/>
        <v>7000</v>
      </c>
      <c r="T70" s="34">
        <f t="shared" si="58"/>
        <v>1</v>
      </c>
      <c r="U70" s="34">
        <f t="shared" si="59"/>
        <v>0</v>
      </c>
      <c r="V70" s="34">
        <f t="shared" si="60"/>
        <v>1</v>
      </c>
      <c r="W70" s="34" t="str">
        <f t="shared" si="61"/>
        <v>BKN</v>
      </c>
      <c r="X70" s="34">
        <f t="shared" si="62"/>
        <v>1</v>
      </c>
      <c r="Y70" s="34">
        <f t="shared" si="63"/>
        <v>900</v>
      </c>
      <c r="Z70" s="34">
        <f t="shared" si="64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34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s="51" t="s">
        <v>498</v>
      </c>
      <c r="M71" s="32">
        <f t="shared" ref="M71:M76" si="66">IF(ISNUMBER(VALUE(FIND("VRB",L71))),999,VALUE(MID(L71,20,3)))</f>
        <v>290</v>
      </c>
      <c r="N71" s="33">
        <f t="shared" ref="N71:N76" si="67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68">VALUE(MID(L71,23,2))</f>
        <v>2</v>
      </c>
      <c r="P71" s="33">
        <f t="shared" ref="P71:P76" si="69">IF(ABS(O71-F71)&lt;11,1,0)</f>
        <v>1</v>
      </c>
      <c r="Q71" s="34">
        <f t="shared" ref="Q71:Q76" si="70">IF(MID(L71,25,1)="G","GUST",0)</f>
        <v>0</v>
      </c>
      <c r="R71" s="33">
        <f t="shared" ref="R71:R76" si="71">IF(G71=Q71,1,0)</f>
        <v>1</v>
      </c>
      <c r="S71" s="34">
        <f t="shared" si="65"/>
        <v>8000</v>
      </c>
      <c r="T71" s="34">
        <f t="shared" ref="T71:T76" si="72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>IF(AND(IFERROR(FIND("RA",#REF!),0)&gt;0, IFERROR(FIND("RA",#REF!),0)&lt;38),"RA",0)</f>
        <v>0</v>
      </c>
      <c r="V71" s="34">
        <f t="shared" ref="V71:V76" si="73">IF(U71=I71,1,0)</f>
        <v>1</v>
      </c>
      <c r="W71" s="34" t="str">
        <f t="shared" ref="W71:W76" si="74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5">IF(OR(AND(OR(J71="SKC",J71="FEW",J71="SCT"),OR(W71="SKC",W71="FEW",W71="SCT")),(AND(OR(J71="BKN",J71="OVC"),OR(W71="BKN",W71="OVC")))),1,0)</f>
        <v>1</v>
      </c>
      <c r="Y71" s="34">
        <f t="shared" ref="Y71:Y76" si="76">IF(ISNUMBER(VALUE(FIND("CAVOK",L71))),9999,IF(ISNUMBER(VALUE(FIND("NSC",L71))),9999,(MID(L71,(FIND(W71,L71)+4),2))*100))</f>
        <v>900</v>
      </c>
      <c r="Z71" s="34">
        <f t="shared" ref="Z71:Z76" si="77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34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s="51" t="s">
        <v>499</v>
      </c>
      <c r="M72" s="32">
        <f t="shared" si="66"/>
        <v>320</v>
      </c>
      <c r="N72" s="33">
        <f t="shared" si="67"/>
        <v>1</v>
      </c>
      <c r="O72" s="33">
        <f t="shared" si="68"/>
        <v>2</v>
      </c>
      <c r="P72" s="33">
        <f t="shared" si="69"/>
        <v>1</v>
      </c>
      <c r="Q72" s="34">
        <f t="shared" si="70"/>
        <v>0</v>
      </c>
      <c r="R72" s="33">
        <f t="shared" si="71"/>
        <v>1</v>
      </c>
      <c r="S72" s="34">
        <f t="shared" si="65"/>
        <v>8000</v>
      </c>
      <c r="T72" s="34">
        <f t="shared" si="72"/>
        <v>1</v>
      </c>
      <c r="U72" s="34">
        <f>IF(AND(IFERROR(FIND("RA",#REF!),0)&gt;0, IFERROR(FIND("RA",#REF!),0)&lt;38),"RA",0)</f>
        <v>0</v>
      </c>
      <c r="V72" s="34">
        <f t="shared" si="73"/>
        <v>1</v>
      </c>
      <c r="W72" s="34" t="str">
        <f t="shared" si="74"/>
        <v>BKN</v>
      </c>
      <c r="X72" s="34">
        <f t="shared" si="75"/>
        <v>1</v>
      </c>
      <c r="Y72" s="34">
        <f t="shared" si="76"/>
        <v>800</v>
      </c>
      <c r="Z72" s="34">
        <f t="shared" si="77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34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s="51" t="s">
        <v>500</v>
      </c>
      <c r="M73" s="32">
        <f t="shared" si="66"/>
        <v>0</v>
      </c>
      <c r="N73" s="33">
        <f t="shared" si="67"/>
        <v>1</v>
      </c>
      <c r="O73" s="33">
        <f t="shared" si="68"/>
        <v>0</v>
      </c>
      <c r="P73" s="33">
        <f t="shared" si="69"/>
        <v>1</v>
      </c>
      <c r="Q73" s="34">
        <f t="shared" si="70"/>
        <v>0</v>
      </c>
      <c r="R73" s="33">
        <f t="shared" si="71"/>
        <v>1</v>
      </c>
      <c r="S73" s="34">
        <f t="shared" si="65"/>
        <v>8000</v>
      </c>
      <c r="T73" s="34">
        <f t="shared" si="72"/>
        <v>1</v>
      </c>
      <c r="U73" s="34">
        <f>IF(AND(IFERROR(FIND("RA",#REF!),0)&gt;0, IFERROR(FIND("RA",#REF!),0)&lt;38),"RA",0)</f>
        <v>0</v>
      </c>
      <c r="V73" s="34">
        <f t="shared" si="73"/>
        <v>1</v>
      </c>
      <c r="W73" s="34" t="str">
        <f t="shared" si="74"/>
        <v>BKN</v>
      </c>
      <c r="X73" s="34">
        <f t="shared" si="75"/>
        <v>1</v>
      </c>
      <c r="Y73" s="34">
        <f t="shared" si="76"/>
        <v>900</v>
      </c>
      <c r="Z73" s="34">
        <f t="shared" si="77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34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s="51" t="s">
        <v>501</v>
      </c>
      <c r="M74" s="32">
        <f t="shared" si="66"/>
        <v>0</v>
      </c>
      <c r="N74" s="33">
        <f t="shared" si="67"/>
        <v>1</v>
      </c>
      <c r="O74" s="33">
        <f t="shared" si="68"/>
        <v>0</v>
      </c>
      <c r="P74" s="33">
        <f t="shared" si="69"/>
        <v>1</v>
      </c>
      <c r="Q74" s="34">
        <f t="shared" si="70"/>
        <v>0</v>
      </c>
      <c r="R74" s="33">
        <f t="shared" si="71"/>
        <v>1</v>
      </c>
      <c r="S74" s="34">
        <f t="shared" si="65"/>
        <v>8000</v>
      </c>
      <c r="T74" s="34">
        <f t="shared" si="72"/>
        <v>1</v>
      </c>
      <c r="U74" s="34">
        <f>IF(AND(IFERROR(FIND("RA",#REF!),0)&gt;0, IFERROR(FIND("RA",#REF!),0)&lt;38),"RA",0)</f>
        <v>0</v>
      </c>
      <c r="V74" s="34">
        <f t="shared" si="73"/>
        <v>1</v>
      </c>
      <c r="W74" s="34" t="str">
        <f t="shared" si="74"/>
        <v>BKN</v>
      </c>
      <c r="X74" s="34">
        <f t="shared" si="75"/>
        <v>1</v>
      </c>
      <c r="Y74" s="34">
        <f t="shared" si="76"/>
        <v>800</v>
      </c>
      <c r="Z74" s="34">
        <f t="shared" si="77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34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s="51" t="s">
        <v>502</v>
      </c>
      <c r="M75" s="32">
        <f t="shared" si="66"/>
        <v>0</v>
      </c>
      <c r="N75" s="33">
        <f t="shared" si="67"/>
        <v>1</v>
      </c>
      <c r="O75" s="33">
        <f t="shared" si="68"/>
        <v>0</v>
      </c>
      <c r="P75" s="33">
        <f t="shared" si="69"/>
        <v>1</v>
      </c>
      <c r="Q75" s="34">
        <f t="shared" si="70"/>
        <v>0</v>
      </c>
      <c r="R75" s="33">
        <f t="shared" si="71"/>
        <v>1</v>
      </c>
      <c r="S75" s="34">
        <f t="shared" si="65"/>
        <v>8000</v>
      </c>
      <c r="T75" s="34">
        <f t="shared" si="72"/>
        <v>1</v>
      </c>
      <c r="U75" s="34">
        <f>IF(AND(IFERROR(FIND("RA",#REF!),0)&gt;0, IFERROR(FIND("RA",#REF!),0)&lt;38),"RA",0)</f>
        <v>0</v>
      </c>
      <c r="V75" s="34">
        <f t="shared" si="73"/>
        <v>1</v>
      </c>
      <c r="W75" s="34" t="str">
        <f t="shared" si="74"/>
        <v>BKN</v>
      </c>
      <c r="X75" s="34">
        <f t="shared" si="75"/>
        <v>1</v>
      </c>
      <c r="Y75" s="34">
        <f t="shared" si="76"/>
        <v>900</v>
      </c>
      <c r="Z75" s="34">
        <f t="shared" si="77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34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s="51" t="s">
        <v>512</v>
      </c>
      <c r="M76" s="32">
        <f t="shared" si="66"/>
        <v>320</v>
      </c>
      <c r="N76" s="33">
        <f t="shared" si="67"/>
        <v>1</v>
      </c>
      <c r="O76" s="33">
        <f t="shared" si="68"/>
        <v>3</v>
      </c>
      <c r="P76" s="33">
        <f t="shared" si="69"/>
        <v>1</v>
      </c>
      <c r="Q76" s="34">
        <f t="shared" si="70"/>
        <v>0</v>
      </c>
      <c r="R76" s="33">
        <f t="shared" si="71"/>
        <v>1</v>
      </c>
      <c r="S76" s="34">
        <f t="shared" si="65"/>
        <v>8000</v>
      </c>
      <c r="T76" s="34">
        <f t="shared" si="72"/>
        <v>1</v>
      </c>
      <c r="U76" s="34">
        <f>IF(AND(IFERROR(FIND("RA",#REF!),0)&gt;0, IFERROR(FIND("RA",#REF!),0)&lt;38),"RA",0)</f>
        <v>0</v>
      </c>
      <c r="V76" s="34">
        <f t="shared" si="73"/>
        <v>1</v>
      </c>
      <c r="W76" s="34" t="str">
        <f t="shared" si="74"/>
        <v>BKN</v>
      </c>
      <c r="X76" s="34">
        <f t="shared" si="75"/>
        <v>1</v>
      </c>
      <c r="Y76" s="34">
        <f t="shared" si="76"/>
        <v>800</v>
      </c>
      <c r="Z76" s="34">
        <f t="shared" si="77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7</v>
      </c>
      <c r="U80" s="25"/>
      <c r="V80" s="25">
        <f>SUM(V64:V76)</f>
        <v>8</v>
      </c>
      <c r="W80" s="25"/>
      <c r="X80" s="25">
        <f>SUM(X64:X76)</f>
        <v>10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4</v>
      </c>
      <c r="O81" s="25"/>
      <c r="P81" s="25">
        <f>SUMIF($C64:$C76,"GENERAL",P64:P76)</f>
        <v>4</v>
      </c>
      <c r="Q81" s="25"/>
      <c r="R81" s="25">
        <f>SUMIF($C64:$C76,"GENERAL",R64:R76)</f>
        <v>4</v>
      </c>
      <c r="S81" s="25"/>
      <c r="T81" s="25">
        <f>SUMIF($C64:$C76,"GENERAL",T64:T76)</f>
        <v>0</v>
      </c>
      <c r="U81" s="25"/>
      <c r="V81" s="25">
        <f>SUMIF($C64:$C76,"GENERAL",V64:V76)</f>
        <v>1</v>
      </c>
      <c r="W81" s="25"/>
      <c r="X81" s="25">
        <f>SUMIF($C64:$C76,"GENERAL",X64:X76)</f>
        <v>2</v>
      </c>
      <c r="Y81" s="25"/>
      <c r="Z81" s="25">
        <f>SUMIF($C64:$C76,"GENERAL",Z64:Z76)</f>
        <v>4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8</v>
      </c>
      <c r="O82" s="25"/>
      <c r="P82" s="25">
        <f>SUMIF($C64:$C76,"BECMG",P64:P76)</f>
        <v>8</v>
      </c>
      <c r="Q82" s="25"/>
      <c r="R82" s="25">
        <f>SUMIF($C64:$C76,"BECMG",R64:R76)</f>
        <v>8</v>
      </c>
      <c r="S82" s="25"/>
      <c r="T82" s="25">
        <f>SUMIF($C64:$C76,"BECMG",T64:T76)</f>
        <v>7</v>
      </c>
      <c r="U82" s="25"/>
      <c r="V82" s="25">
        <f>SUMIF($C64:$C76,"BECMG",V64:V76)</f>
        <v>7</v>
      </c>
      <c r="W82" s="25"/>
      <c r="X82" s="25">
        <f>SUMIF($C64:$C76,"BECMG",X64:X76)</f>
        <v>8</v>
      </c>
      <c r="Y82" s="25"/>
      <c r="Z82" s="25">
        <f>SUMIF($C64:$C76,"BECMG",Z64:Z76)</f>
        <v>8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58.333333333333336</v>
      </c>
      <c r="U85" s="38"/>
      <c r="V85" s="38">
        <f>(SUM(V81:V84)/COUNTA(V64:V76))*100</f>
        <v>66.666666666666657</v>
      </c>
      <c r="W85" s="38"/>
      <c r="X85" s="38">
        <f>(SUM(X81:X84)/COUNTA(X64:X76))*100</f>
        <v>83.333333333333343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504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16</v>
      </c>
      <c r="B93" s="50">
        <v>0.75</v>
      </c>
      <c r="C93" s="51" t="s">
        <v>39</v>
      </c>
      <c r="D93" s="52"/>
      <c r="E93" s="51">
        <v>310</v>
      </c>
      <c r="F93" s="51">
        <v>4</v>
      </c>
      <c r="G93" s="51">
        <v>0</v>
      </c>
      <c r="H93" s="51">
        <v>7000</v>
      </c>
      <c r="I93" s="51">
        <v>0</v>
      </c>
      <c r="J93" s="51" t="s">
        <v>58</v>
      </c>
      <c r="K93" s="51">
        <v>900</v>
      </c>
      <c r="L93" s="51" t="s">
        <v>498</v>
      </c>
      <c r="M93" s="32">
        <f t="shared" ref="M93:M98" si="78">IF(ISNUMBER(VALUE(FIND("VRB",L93))),999,VALUE(MID(L93,20,3)))</f>
        <v>290</v>
      </c>
      <c r="N93" s="33">
        <f t="shared" ref="N93:N98" si="79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0">VALUE(MID(L93,23,2))</f>
        <v>2</v>
      </c>
      <c r="P93" s="33">
        <f t="shared" ref="P93:P98" si="81">IF(ABS(O93-F93)&lt;11,1,0)</f>
        <v>1</v>
      </c>
      <c r="Q93" s="34">
        <f t="shared" ref="Q93:Q98" si="82">IF(MID(L93,25,1)="G","GUST",0)</f>
        <v>0</v>
      </c>
      <c r="R93" s="33">
        <f t="shared" ref="R93:R98" si="83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84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5">IF(AND(IFERROR(FIND("RA",L93),0)&gt;0, IFERROR(FIND("RA",L93),0)&lt;38),"RA",0)</f>
        <v>0</v>
      </c>
      <c r="V93" s="34">
        <f t="shared" ref="V93:V98" si="86">IF(U93=I93,1,0)</f>
        <v>1</v>
      </c>
      <c r="W93" s="34" t="str">
        <f t="shared" ref="W93:W98" si="87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88">IF(OR(AND(OR(J93="SKC",J93="FEW",J93="SCT"),OR(W93="SKC",W93="FEW",W93="SCT")),(AND(OR(J93="BKN",J93="OVC"),OR(W93="BKN",W93="OVC")))),1,0)</f>
        <v>1</v>
      </c>
      <c r="Y93" s="34">
        <f t="shared" ref="Y93:Y98" si="89">IF(ISNUMBER(VALUE(FIND("CAVOK",L93))),9999,IF(ISNUMBER(VALUE(FIND("NSC",L93))),9999,(MID(L93,(FIND(W93,L93)+4),2))*100))</f>
        <v>900</v>
      </c>
      <c r="Z93" s="34">
        <f t="shared" ref="Z93:Z98" si="90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310</v>
      </c>
      <c r="F94" s="51">
        <v>4</v>
      </c>
      <c r="G94" s="51">
        <v>0</v>
      </c>
      <c r="H94" s="51">
        <v>7000</v>
      </c>
      <c r="I94" s="51">
        <v>0</v>
      </c>
      <c r="J94" s="51" t="s">
        <v>58</v>
      </c>
      <c r="K94" s="51">
        <v>900</v>
      </c>
      <c r="L94" s="51" t="s">
        <v>499</v>
      </c>
      <c r="M94" s="32">
        <f t="shared" si="78"/>
        <v>320</v>
      </c>
      <c r="N94" s="33">
        <f t="shared" si="79"/>
        <v>1</v>
      </c>
      <c r="O94" s="33">
        <f t="shared" si="80"/>
        <v>2</v>
      </c>
      <c r="P94" s="33">
        <f t="shared" si="81"/>
        <v>1</v>
      </c>
      <c r="Q94" s="34">
        <f t="shared" si="82"/>
        <v>0</v>
      </c>
      <c r="R94" s="33">
        <f t="shared" si="83"/>
        <v>1</v>
      </c>
      <c r="S94" s="34">
        <f t="shared" ref="S94:S104" si="91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4"/>
        <v>1</v>
      </c>
      <c r="U94" s="34">
        <f t="shared" si="85"/>
        <v>0</v>
      </c>
      <c r="V94" s="34">
        <f t="shared" si="86"/>
        <v>1</v>
      </c>
      <c r="W94" s="34" t="str">
        <f t="shared" si="87"/>
        <v>BKN</v>
      </c>
      <c r="X94" s="34">
        <f t="shared" si="88"/>
        <v>1</v>
      </c>
      <c r="Y94" s="34">
        <f t="shared" si="89"/>
        <v>800</v>
      </c>
      <c r="Z94" s="34">
        <f t="shared" si="90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310</v>
      </c>
      <c r="F95" s="51">
        <v>4</v>
      </c>
      <c r="G95" s="51">
        <v>0</v>
      </c>
      <c r="H95" s="51">
        <v>7000</v>
      </c>
      <c r="I95" s="51">
        <v>0</v>
      </c>
      <c r="J95" s="51" t="s">
        <v>58</v>
      </c>
      <c r="K95" s="51">
        <v>900</v>
      </c>
      <c r="L95" s="51" t="s">
        <v>500</v>
      </c>
      <c r="M95" s="32">
        <f t="shared" si="78"/>
        <v>0</v>
      </c>
      <c r="N95" s="33">
        <f t="shared" si="79"/>
        <v>1</v>
      </c>
      <c r="O95" s="33">
        <f t="shared" si="80"/>
        <v>0</v>
      </c>
      <c r="P95" s="33">
        <f t="shared" si="81"/>
        <v>1</v>
      </c>
      <c r="Q95" s="34">
        <f t="shared" si="82"/>
        <v>0</v>
      </c>
      <c r="R95" s="33">
        <f t="shared" si="83"/>
        <v>1</v>
      </c>
      <c r="S95" s="34">
        <f t="shared" si="91"/>
        <v>8000</v>
      </c>
      <c r="T95" s="34">
        <f t="shared" si="84"/>
        <v>1</v>
      </c>
      <c r="U95" s="34">
        <f t="shared" si="85"/>
        <v>0</v>
      </c>
      <c r="V95" s="34">
        <f t="shared" si="86"/>
        <v>1</v>
      </c>
      <c r="W95" s="34" t="str">
        <f t="shared" si="87"/>
        <v>BKN</v>
      </c>
      <c r="X95" s="34">
        <f t="shared" si="88"/>
        <v>1</v>
      </c>
      <c r="Y95" s="34">
        <f t="shared" si="89"/>
        <v>900</v>
      </c>
      <c r="Z95" s="34">
        <f t="shared" si="90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310</v>
      </c>
      <c r="F96" s="51">
        <v>4</v>
      </c>
      <c r="G96" s="51">
        <v>0</v>
      </c>
      <c r="H96" s="51">
        <v>7000</v>
      </c>
      <c r="I96" s="51">
        <v>0</v>
      </c>
      <c r="J96" s="51" t="s">
        <v>58</v>
      </c>
      <c r="K96" s="51">
        <v>900</v>
      </c>
      <c r="L96" s="51" t="s">
        <v>501</v>
      </c>
      <c r="M96" s="32">
        <f t="shared" si="78"/>
        <v>0</v>
      </c>
      <c r="N96" s="33">
        <f t="shared" si="79"/>
        <v>1</v>
      </c>
      <c r="O96" s="33">
        <f t="shared" si="80"/>
        <v>0</v>
      </c>
      <c r="P96" s="33">
        <f t="shared" si="81"/>
        <v>1</v>
      </c>
      <c r="Q96" s="34">
        <f t="shared" si="82"/>
        <v>0</v>
      </c>
      <c r="R96" s="33">
        <f t="shared" si="83"/>
        <v>1</v>
      </c>
      <c r="S96" s="34">
        <f t="shared" si="91"/>
        <v>8000</v>
      </c>
      <c r="T96" s="34">
        <f t="shared" si="84"/>
        <v>1</v>
      </c>
      <c r="U96" s="34">
        <f t="shared" si="85"/>
        <v>0</v>
      </c>
      <c r="V96" s="34">
        <f t="shared" si="86"/>
        <v>1</v>
      </c>
      <c r="W96" s="34" t="str">
        <f t="shared" si="87"/>
        <v>BKN</v>
      </c>
      <c r="X96" s="34">
        <f t="shared" si="88"/>
        <v>1</v>
      </c>
      <c r="Y96" s="34">
        <f t="shared" si="89"/>
        <v>800</v>
      </c>
      <c r="Z96" s="34">
        <f t="shared" si="90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310</v>
      </c>
      <c r="F97" s="51">
        <v>4</v>
      </c>
      <c r="G97" s="51">
        <v>0</v>
      </c>
      <c r="H97" s="51">
        <v>7000</v>
      </c>
      <c r="I97" s="51">
        <v>0</v>
      </c>
      <c r="J97" s="51" t="s">
        <v>58</v>
      </c>
      <c r="K97" s="51">
        <v>900</v>
      </c>
      <c r="L97" s="51" t="s">
        <v>502</v>
      </c>
      <c r="M97" s="32">
        <f t="shared" si="78"/>
        <v>0</v>
      </c>
      <c r="N97" s="33">
        <f t="shared" si="79"/>
        <v>1</v>
      </c>
      <c r="O97" s="33">
        <f t="shared" si="80"/>
        <v>0</v>
      </c>
      <c r="P97" s="33">
        <f t="shared" si="81"/>
        <v>1</v>
      </c>
      <c r="Q97" s="34">
        <f t="shared" si="82"/>
        <v>0</v>
      </c>
      <c r="R97" s="33">
        <f t="shared" si="83"/>
        <v>1</v>
      </c>
      <c r="S97" s="34">
        <f t="shared" si="91"/>
        <v>8000</v>
      </c>
      <c r="T97" s="34">
        <f t="shared" si="84"/>
        <v>1</v>
      </c>
      <c r="U97" s="34">
        <f t="shared" si="85"/>
        <v>0</v>
      </c>
      <c r="V97" s="34">
        <f t="shared" si="86"/>
        <v>1</v>
      </c>
      <c r="W97" s="34" t="str">
        <f t="shared" si="87"/>
        <v>BKN</v>
      </c>
      <c r="X97" s="34">
        <f t="shared" si="88"/>
        <v>1</v>
      </c>
      <c r="Y97" s="34">
        <f t="shared" si="89"/>
        <v>900</v>
      </c>
      <c r="Z97" s="34">
        <f t="shared" si="90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310</v>
      </c>
      <c r="F98" s="51">
        <v>4</v>
      </c>
      <c r="G98" s="51">
        <v>0</v>
      </c>
      <c r="H98" s="51">
        <v>7000</v>
      </c>
      <c r="I98" s="51">
        <v>0</v>
      </c>
      <c r="J98" s="51" t="s">
        <v>58</v>
      </c>
      <c r="K98" s="51">
        <v>900</v>
      </c>
      <c r="L98" s="51" t="s">
        <v>512</v>
      </c>
      <c r="M98" s="32">
        <f t="shared" si="78"/>
        <v>320</v>
      </c>
      <c r="N98" s="33">
        <f t="shared" si="79"/>
        <v>1</v>
      </c>
      <c r="O98" s="33">
        <f t="shared" si="80"/>
        <v>3</v>
      </c>
      <c r="P98" s="33">
        <f t="shared" si="81"/>
        <v>1</v>
      </c>
      <c r="Q98" s="34">
        <f t="shared" si="82"/>
        <v>0</v>
      </c>
      <c r="R98" s="33">
        <f t="shared" si="83"/>
        <v>1</v>
      </c>
      <c r="S98" s="34">
        <f t="shared" si="91"/>
        <v>8000</v>
      </c>
      <c r="T98" s="34">
        <f t="shared" si="84"/>
        <v>1</v>
      </c>
      <c r="U98" s="34">
        <f t="shared" si="85"/>
        <v>0</v>
      </c>
      <c r="V98" s="34">
        <f t="shared" si="86"/>
        <v>1</v>
      </c>
      <c r="W98" s="34" t="str">
        <f t="shared" si="87"/>
        <v>BKN</v>
      </c>
      <c r="X98" s="34">
        <f t="shared" si="88"/>
        <v>1</v>
      </c>
      <c r="Y98" s="34">
        <f t="shared" si="89"/>
        <v>800</v>
      </c>
      <c r="Z98" s="34">
        <f t="shared" si="90"/>
        <v>1</v>
      </c>
      <c r="AA98" s="25"/>
      <c r="AB98" s="25"/>
      <c r="AC98" s="25"/>
      <c r="AD98" s="25"/>
      <c r="AE98" s="25"/>
    </row>
    <row r="99" spans="1:31" ht="16.5">
      <c r="A99" s="55">
        <v>17</v>
      </c>
      <c r="B99" s="54">
        <v>0</v>
      </c>
      <c r="C99" s="51" t="s">
        <v>39</v>
      </c>
      <c r="D99" s="52"/>
      <c r="E99" s="51">
        <v>310</v>
      </c>
      <c r="F99" s="51">
        <v>4</v>
      </c>
      <c r="G99" s="51">
        <v>0</v>
      </c>
      <c r="H99" s="51">
        <v>7000</v>
      </c>
      <c r="I99" s="51">
        <v>0</v>
      </c>
      <c r="J99" s="51" t="s">
        <v>58</v>
      </c>
      <c r="K99" s="51">
        <v>900</v>
      </c>
      <c r="L99" s="51" t="s">
        <v>505</v>
      </c>
      <c r="M99" s="32">
        <f t="shared" ref="M99:M100" si="92">IF(ISNUMBER(VALUE(FIND("VRB",L99))),999,VALUE(MID(L99,20,3)))</f>
        <v>330</v>
      </c>
      <c r="N99" s="33">
        <f t="shared" ref="N99:N100" si="93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0" si="94">VALUE(MID(L99,23,2))</f>
        <v>3</v>
      </c>
      <c r="P99" s="33">
        <f t="shared" ref="P99:P100" si="95">IF(ABS(O99-F99)&lt;11,1,0)</f>
        <v>1</v>
      </c>
      <c r="Q99" s="34">
        <f t="shared" ref="Q99:Q100" si="96">IF(MID(L99,25,1)="G","GUST",0)</f>
        <v>0</v>
      </c>
      <c r="R99" s="33">
        <f t="shared" ref="R99:R100" si="97">IF(G99=Q99,1,0)</f>
        <v>1</v>
      </c>
      <c r="S99" s="34">
        <f t="shared" si="91"/>
        <v>8000</v>
      </c>
      <c r="T99" s="34">
        <f t="shared" ref="T99:T104" si="98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0" si="99">IF(AND(IFERROR(FIND("RA",L99),0)&gt;0, IFERROR(FIND("RA",L99),0)&lt;38),"RA",0)</f>
        <v>0</v>
      </c>
      <c r="V99" s="34">
        <f t="shared" ref="V99:V104" si="100">IF(U99=I99,1,0)</f>
        <v>1</v>
      </c>
      <c r="W99" s="34" t="str">
        <f t="shared" ref="W99:W100" si="101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0" si="102">IF(OR(AND(OR(J99="SKC",J99="FEW",J99="SCT"),OR(W99="SKC",W99="FEW",W99="SCT")),(AND(OR(J99="BKN",J99="OVC"),OR(W99="BKN",W99="OVC")))),1,0)</f>
        <v>1</v>
      </c>
      <c r="Y99" s="34">
        <f t="shared" ref="Y99:Y100" si="103">IF(ISNUMBER(VALUE(FIND("CAVOK",L99))),9999,IF(ISNUMBER(VALUE(FIND("NSC",L99))),9999,(MID(L99,(FIND(W99,L99)+4),2))*100))</f>
        <v>800</v>
      </c>
      <c r="Z99" s="34">
        <f t="shared" ref="Z99:Z100" si="104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310</v>
      </c>
      <c r="F100" s="51">
        <v>4</v>
      </c>
      <c r="G100" s="51">
        <v>0</v>
      </c>
      <c r="H100" s="51">
        <v>7000</v>
      </c>
      <c r="I100" s="51">
        <v>0</v>
      </c>
      <c r="J100" s="51" t="s">
        <v>58</v>
      </c>
      <c r="K100" s="51">
        <v>900</v>
      </c>
      <c r="L100" s="51" t="s">
        <v>506</v>
      </c>
      <c r="M100" s="32">
        <f t="shared" si="92"/>
        <v>280</v>
      </c>
      <c r="N100" s="33">
        <f t="shared" si="93"/>
        <v>1</v>
      </c>
      <c r="O100" s="33">
        <f t="shared" si="94"/>
        <v>5</v>
      </c>
      <c r="P100" s="33">
        <f t="shared" si="95"/>
        <v>1</v>
      </c>
      <c r="Q100" s="34">
        <f t="shared" si="96"/>
        <v>0</v>
      </c>
      <c r="R100" s="33">
        <f t="shared" si="97"/>
        <v>1</v>
      </c>
      <c r="S100" s="34">
        <f t="shared" si="91"/>
        <v>8000</v>
      </c>
      <c r="T100" s="34">
        <f t="shared" si="98"/>
        <v>1</v>
      </c>
      <c r="U100" s="34">
        <f t="shared" si="99"/>
        <v>0</v>
      </c>
      <c r="V100" s="34">
        <f t="shared" si="100"/>
        <v>1</v>
      </c>
      <c r="W100" s="34" t="str">
        <f t="shared" si="101"/>
        <v>BKN</v>
      </c>
      <c r="X100" s="34">
        <f t="shared" si="102"/>
        <v>1</v>
      </c>
      <c r="Y100" s="34">
        <f t="shared" si="103"/>
        <v>800</v>
      </c>
      <c r="Z100" s="34">
        <f t="shared" si="104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310</v>
      </c>
      <c r="F101" s="51">
        <v>4</v>
      </c>
      <c r="G101" s="51">
        <v>0</v>
      </c>
      <c r="H101" s="51">
        <v>7000</v>
      </c>
      <c r="I101" s="51">
        <v>0</v>
      </c>
      <c r="J101" s="51" t="s">
        <v>58</v>
      </c>
      <c r="K101" s="51">
        <v>900</v>
      </c>
      <c r="L101" s="51" t="s">
        <v>507</v>
      </c>
      <c r="M101" s="32">
        <f t="shared" ref="M101:M104" si="105">IF(ISNUMBER(VALUE(FIND("VRB",L101))),999,VALUE(MID(L101,20,3)))</f>
        <v>290</v>
      </c>
      <c r="N101" s="33">
        <f t="shared" ref="N101:N104" si="106">IF(OR(ABS(E101-M101)&lt;61,AND(ABS(E101-M101)&gt;60,O101&lt;10),E101=M101,AND(E101=999,ISNUMBER(VALUE(FIND("TS",L101)))),AND(E101=999,ISNUMBER(VALUE(FIND("CB",L101)))),AND(E101=999,O101&lt;10),AND(F101&lt;10,M101=999,O101&lt;10)),1,0)</f>
        <v>1</v>
      </c>
      <c r="O101" s="33">
        <f t="shared" ref="O101:O104" si="107">VALUE(MID(L101,23,2))</f>
        <v>3</v>
      </c>
      <c r="P101" s="33">
        <f t="shared" ref="P101:P104" si="108">IF(ABS(O101-F101)&lt;11,1,0)</f>
        <v>1</v>
      </c>
      <c r="Q101" s="34">
        <f t="shared" ref="Q101:Q104" si="109">IF(MID(L101,25,1)="G","GUST",0)</f>
        <v>0</v>
      </c>
      <c r="R101" s="33">
        <f t="shared" ref="R101:R104" si="110">IF(G101=Q101,1,0)</f>
        <v>1</v>
      </c>
      <c r="S101" s="34">
        <f t="shared" si="91"/>
        <v>8000</v>
      </c>
      <c r="T101" s="34">
        <f t="shared" si="98"/>
        <v>1</v>
      </c>
      <c r="U101" s="34">
        <f>IF(AND(IFERROR(FIND("RA",#REF!),0)&gt;0, IFERROR(FIND("RA",#REF!),0)&lt;38),"RA",0)</f>
        <v>0</v>
      </c>
      <c r="V101" s="34">
        <f t="shared" si="100"/>
        <v>1</v>
      </c>
      <c r="W101" s="34" t="str">
        <f t="shared" ref="W101:W104" si="111">IF(ISNUMBER(VALUE(FIND("FEW",L101))),"FEW",IF(ISNUMBER(VALUE(FIND("SCT",L101))),"SCT",IF(ISNUMBER(VALUE(FIND("BKN",L101))),"BKN",IF(ISNUMBER(VALUE(FIND("OVC",L101))),"OVC",IF(ISNUMBER(VALUE(FIND("SKC",L101))),"SKC",IF(ISNUMBER(VALUE(FIND("CAVOK",L101))),"SKC",IF(ISNUMBER(VALUE(FIND("NSC",L101))),"SKC","EROR")))))))</f>
        <v>BKN</v>
      </c>
      <c r="X101" s="34">
        <f t="shared" ref="X101:X104" si="112">IF(OR(AND(OR(J101="SKC",J101="FEW",J101="SCT"),OR(W101="SKC",W101="FEW",W101="SCT")),(AND(OR(J101="BKN",J101="OVC"),OR(W101="BKN",W101="OVC")))),1,0)</f>
        <v>1</v>
      </c>
      <c r="Y101" s="34">
        <f t="shared" ref="Y101:Y104" si="113">IF(ISNUMBER(VALUE(FIND("CAVOK",L101))),9999,IF(ISNUMBER(VALUE(FIND("NSC",L101))),9999,(MID(L101,(FIND(W101,L101)+4),2))*100))</f>
        <v>800</v>
      </c>
      <c r="Z101" s="34">
        <f t="shared" ref="Z101:Z104" si="114">IF(AND(Y101&lt;1001,ABS(K101-Y101)&lt;101),1,IF(AND(Y101&gt;1000,ABS(Y101-K101)/K101&lt;0.30005),1,0))</f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310</v>
      </c>
      <c r="F102" s="51">
        <v>4</v>
      </c>
      <c r="G102" s="51">
        <v>0</v>
      </c>
      <c r="H102" s="51">
        <v>7000</v>
      </c>
      <c r="I102" s="51">
        <v>0</v>
      </c>
      <c r="J102" s="51" t="s">
        <v>58</v>
      </c>
      <c r="K102" s="51">
        <v>900</v>
      </c>
      <c r="L102" s="51" t="s">
        <v>508</v>
      </c>
      <c r="M102" s="32">
        <f t="shared" si="105"/>
        <v>300</v>
      </c>
      <c r="N102" s="33">
        <f t="shared" si="106"/>
        <v>1</v>
      </c>
      <c r="O102" s="33">
        <f t="shared" si="107"/>
        <v>4</v>
      </c>
      <c r="P102" s="33">
        <f t="shared" si="108"/>
        <v>1</v>
      </c>
      <c r="Q102" s="34">
        <f t="shared" si="109"/>
        <v>0</v>
      </c>
      <c r="R102" s="33">
        <f t="shared" si="110"/>
        <v>1</v>
      </c>
      <c r="S102" s="34">
        <f t="shared" si="91"/>
        <v>8000</v>
      </c>
      <c r="T102" s="34">
        <f t="shared" si="98"/>
        <v>1</v>
      </c>
      <c r="U102" s="34">
        <f>IF(AND(IFERROR(FIND("RA",#REF!),0)&gt;0, IFERROR(FIND("RA",#REF!),0)&lt;38),"RA",0)</f>
        <v>0</v>
      </c>
      <c r="V102" s="34">
        <f t="shared" si="100"/>
        <v>1</v>
      </c>
      <c r="W102" s="34" t="str">
        <f t="shared" si="111"/>
        <v>FEW</v>
      </c>
      <c r="X102" s="34">
        <f t="shared" si="112"/>
        <v>0</v>
      </c>
      <c r="Y102" s="34">
        <f t="shared" si="113"/>
        <v>800</v>
      </c>
      <c r="Z102" s="34">
        <f t="shared" si="114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310</v>
      </c>
      <c r="F103" s="51">
        <v>4</v>
      </c>
      <c r="G103" s="51">
        <v>0</v>
      </c>
      <c r="H103" s="51">
        <v>7000</v>
      </c>
      <c r="I103" s="51">
        <v>0</v>
      </c>
      <c r="J103" s="51" t="s">
        <v>58</v>
      </c>
      <c r="K103" s="51">
        <v>900</v>
      </c>
      <c r="L103" s="51" t="s">
        <v>509</v>
      </c>
      <c r="M103" s="32">
        <f t="shared" si="105"/>
        <v>230</v>
      </c>
      <c r="N103" s="33">
        <f t="shared" si="106"/>
        <v>1</v>
      </c>
      <c r="O103" s="33">
        <f t="shared" si="107"/>
        <v>4</v>
      </c>
      <c r="P103" s="33">
        <f t="shared" si="108"/>
        <v>1</v>
      </c>
      <c r="Q103" s="34">
        <f t="shared" si="109"/>
        <v>0</v>
      </c>
      <c r="R103" s="33">
        <f t="shared" si="110"/>
        <v>1</v>
      </c>
      <c r="S103" s="34">
        <f t="shared" si="91"/>
        <v>8000</v>
      </c>
      <c r="T103" s="34">
        <f t="shared" si="98"/>
        <v>1</v>
      </c>
      <c r="U103" s="34">
        <f>IF(AND(IFERROR(FIND("RA",#REF!),0)&gt;0, IFERROR(FIND("RA",#REF!),0)&lt;38),"RA",0)</f>
        <v>0</v>
      </c>
      <c r="V103" s="34">
        <f t="shared" si="100"/>
        <v>1</v>
      </c>
      <c r="W103" s="34" t="str">
        <f t="shared" si="111"/>
        <v>FEW</v>
      </c>
      <c r="X103" s="34">
        <f t="shared" si="112"/>
        <v>0</v>
      </c>
      <c r="Y103" s="34">
        <f t="shared" si="113"/>
        <v>800</v>
      </c>
      <c r="Z103" s="34">
        <f t="shared" si="114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310</v>
      </c>
      <c r="F104" s="51">
        <v>4</v>
      </c>
      <c r="G104" s="51">
        <v>0</v>
      </c>
      <c r="H104" s="51">
        <v>7000</v>
      </c>
      <c r="I104" s="51">
        <v>0</v>
      </c>
      <c r="J104" s="51" t="s">
        <v>58</v>
      </c>
      <c r="K104" s="51">
        <v>900</v>
      </c>
      <c r="L104" s="51" t="s">
        <v>510</v>
      </c>
      <c r="M104" s="32">
        <f t="shared" si="105"/>
        <v>230</v>
      </c>
      <c r="N104" s="33">
        <f t="shared" si="106"/>
        <v>1</v>
      </c>
      <c r="O104" s="33">
        <f t="shared" si="107"/>
        <v>3</v>
      </c>
      <c r="P104" s="33">
        <f t="shared" si="108"/>
        <v>1</v>
      </c>
      <c r="Q104" s="34">
        <f t="shared" si="109"/>
        <v>0</v>
      </c>
      <c r="R104" s="33">
        <f t="shared" si="110"/>
        <v>1</v>
      </c>
      <c r="S104" s="34">
        <f t="shared" si="91"/>
        <v>8000</v>
      </c>
      <c r="T104" s="34">
        <f t="shared" si="98"/>
        <v>1</v>
      </c>
      <c r="U104" s="34">
        <f>IF(AND(IFERROR(FIND("RA",#REF!),0)&gt;0, IFERROR(FIND("RA",#REF!),0)&lt;38),"RA",0)</f>
        <v>0</v>
      </c>
      <c r="V104" s="34">
        <f t="shared" si="100"/>
        <v>1</v>
      </c>
      <c r="W104" s="34" t="str">
        <f t="shared" si="111"/>
        <v>FEW</v>
      </c>
      <c r="X104" s="34">
        <f t="shared" si="112"/>
        <v>0</v>
      </c>
      <c r="Y104" s="34">
        <f t="shared" si="113"/>
        <v>800</v>
      </c>
      <c r="Z104" s="34">
        <f t="shared" si="114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9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9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75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924D-B313-A94F-AFD2-52A8FB117362}">
  <sheetPr>
    <tabColor theme="0"/>
  </sheetPr>
  <dimension ref="A1:AE115"/>
  <sheetViews>
    <sheetView topLeftCell="A55" zoomScale="85" zoomScaleNormal="85" workbookViewId="0">
      <selection activeCell="C42" sqref="C42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513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17</v>
      </c>
      <c r="B7" s="28">
        <v>0</v>
      </c>
      <c r="C7" s="29" t="s">
        <v>39</v>
      </c>
      <c r="D7" s="29"/>
      <c r="E7" s="29">
        <v>300</v>
      </c>
      <c r="F7" s="29">
        <v>2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29" t="s">
        <v>505</v>
      </c>
      <c r="M7" s="32">
        <f t="shared" ref="M7:M12" si="0">IF(ISNUMBER(VALUE(FIND("VRB",L7))),999,VALUE(MID(L7,20,3)))</f>
        <v>330</v>
      </c>
      <c r="N7" s="33">
        <f t="shared" ref="N7:N12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2" si="2">VALUE(MID(L7,23,2))</f>
        <v>3</v>
      </c>
      <c r="P7" s="33">
        <f t="shared" ref="P7:P12" si="3">IF(ABS(O7-F7)&lt;11,1,0)</f>
        <v>1</v>
      </c>
      <c r="Q7" s="34">
        <f t="shared" ref="Q7:Q12" si="4">IF(MID(L7,25,1)="G","GUST",0)</f>
        <v>0</v>
      </c>
      <c r="R7" s="33">
        <f t="shared" ref="R7:R12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2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2" si="7">IF(AND(IFERROR(FIND("RA",L7),0)&gt;0, IFERROR(FIND("RA",L7),0)&lt;38),"RA",0)</f>
        <v>0</v>
      </c>
      <c r="V7" s="34">
        <f t="shared" ref="V7:V12" si="8">IF(U7=I7,1,0)</f>
        <v>1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2" si="10">IF(OR(AND(OR(J7="SKC",J7="FEW",J7="SCT"),OR(W7="SKC",W7="FEW",W7="SCT")),(AND(OR(J7="BKN",J7="OVC"),OR(W7="BKN",W7="OVC")))),1,0)</f>
        <v>1</v>
      </c>
      <c r="Y7" s="34">
        <f t="shared" ref="Y7:Y12" si="11">IF(ISNUMBER(VALUE(FIND("CAVOK",L7))),9999,IF(ISNUMBER(VALUE(FIND("NSC",L7))),9999,(MID(L7,(FIND(W7,L7)+4),2))*100))</f>
        <v>800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300</v>
      </c>
      <c r="F8" s="29">
        <v>2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29" t="s">
        <v>506</v>
      </c>
      <c r="M8" s="32">
        <f t="shared" si="0"/>
        <v>280</v>
      </c>
      <c r="N8" s="33">
        <f t="shared" si="1"/>
        <v>1</v>
      </c>
      <c r="O8" s="33">
        <f t="shared" si="2"/>
        <v>5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300</v>
      </c>
      <c r="F9" s="29">
        <v>2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29" t="s">
        <v>507</v>
      </c>
      <c r="M9" s="32">
        <f t="shared" si="0"/>
        <v>290</v>
      </c>
      <c r="N9" s="33">
        <f t="shared" si="1"/>
        <v>1</v>
      </c>
      <c r="O9" s="33">
        <f t="shared" si="2"/>
        <v>3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800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300</v>
      </c>
      <c r="F10" s="29">
        <v>2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29" t="s">
        <v>508</v>
      </c>
      <c r="M10" s="32">
        <f t="shared" si="0"/>
        <v>300</v>
      </c>
      <c r="N10" s="33">
        <f t="shared" si="1"/>
        <v>1</v>
      </c>
      <c r="O10" s="33">
        <f t="shared" si="2"/>
        <v>4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FEW</v>
      </c>
      <c r="X10" s="34">
        <f t="shared" si="10"/>
        <v>0</v>
      </c>
      <c r="Y10" s="34">
        <f t="shared" si="11"/>
        <v>800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300</v>
      </c>
      <c r="F11" s="29">
        <v>2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29" t="s">
        <v>509</v>
      </c>
      <c r="M11" s="32">
        <f t="shared" si="0"/>
        <v>230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FEW</v>
      </c>
      <c r="X11" s="34">
        <f t="shared" si="10"/>
        <v>0</v>
      </c>
      <c r="Y11" s="34">
        <f t="shared" si="11"/>
        <v>800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300</v>
      </c>
      <c r="F12" s="29">
        <v>2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29" t="s">
        <v>510</v>
      </c>
      <c r="M12" s="32">
        <f t="shared" si="0"/>
        <v>230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FEW</v>
      </c>
      <c r="X12" s="34">
        <f t="shared" si="10"/>
        <v>0</v>
      </c>
      <c r="Y12" s="34">
        <f t="shared" si="11"/>
        <v>800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300</v>
      </c>
      <c r="F13" s="29">
        <v>2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29" t="s">
        <v>511</v>
      </c>
      <c r="M13" s="32">
        <f t="shared" ref="M13:M18" si="14">IF(ISNUMBER(VALUE(FIND("VRB",L13))),999,VALUE(MID(L13,20,3)))</f>
        <v>240</v>
      </c>
      <c r="N13" s="33">
        <f t="shared" ref="N13:N18" si="15">IF(OR(ABS(E13-M13)&lt;61,AND(ABS(E13-M13)&gt;60,O13&lt;10),E13=M13,AND(E13=999,ISNUMBER(VALUE(FIND("TS",L13)))),AND(E13=999,ISNUMBER(VALUE(FIND("CB",L13)))),AND(E13=999,O13&lt;10),AND(F13&lt;10,M13=999,O13&lt;10)),1,0)</f>
        <v>1</v>
      </c>
      <c r="O13" s="33">
        <f t="shared" ref="O13:O18" si="16">VALUE(MID(L13,23,2))</f>
        <v>3</v>
      </c>
      <c r="P13" s="33">
        <f t="shared" ref="P13:P18" si="17">IF(ABS(O13-F13)&lt;11,1,0)</f>
        <v>1</v>
      </c>
      <c r="Q13" s="34">
        <f t="shared" ref="Q13:Q18" si="18">IF(MID(L13,25,1)="G","GUST",0)</f>
        <v>0</v>
      </c>
      <c r="R13" s="33">
        <f t="shared" ref="R13:R18" si="19">IF(G13=Q13,1,0)</f>
        <v>1</v>
      </c>
      <c r="S13" s="34">
        <f t="shared" si="13"/>
        <v>8000</v>
      </c>
      <c r="T13" s="34">
        <f t="shared" ref="T13:T18" si="20">IF(OR(AND(H13&lt;801,S13&lt;801),AND(H13&gt;799,H13&lt;1501,S13&gt;799,S13&lt;1502),AND(H13&gt;1499,H13&lt;3001,S13&gt;1499,S13&lt;3001),AND(H13&gt;2999,H13&lt;5001,S13&gt;2999,S13&lt;5001),AND(H13&gt;4999,S13&gt;4999)),1,0)</f>
        <v>1</v>
      </c>
      <c r="U13" s="34">
        <f t="shared" ref="U13:U18" si="21">IF(AND(IFERROR(FIND("RA",L13),0)&gt;0, IFERROR(FIND("RA",L13),0)&lt;38),"RA",0)</f>
        <v>0</v>
      </c>
      <c r="V13" s="34">
        <f t="shared" ref="V13:V18" si="22">IF(U13=I13,1,0)</f>
        <v>1</v>
      </c>
      <c r="W13" s="34" t="str">
        <f t="shared" ref="W13:W18" si="23"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FEW</v>
      </c>
      <c r="X13" s="34">
        <f t="shared" ref="X13:X18" si="24">IF(OR(AND(OR(J13="SKC",J13="FEW",J13="SCT"),OR(W13="SKC",W13="FEW",W13="SCT")),(AND(OR(J13="BKN",J13="OVC"),OR(W13="BKN",W13="OVC")))),1,0)</f>
        <v>0</v>
      </c>
      <c r="Y13" s="34">
        <f t="shared" ref="Y13:Y18" si="25">IF(ISNUMBER(VALUE(FIND("CAVOK",L13))),9999,IF(ISNUMBER(VALUE(FIND("NSC",L13))),9999,(MID(L13,(FIND(W13,L13)+4),2))*100))</f>
        <v>800</v>
      </c>
      <c r="Z13" s="34">
        <f t="shared" ref="Z13:Z18" si="26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300</v>
      </c>
      <c r="F14" s="29">
        <v>2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29" t="s">
        <v>515</v>
      </c>
      <c r="M14" s="32">
        <f t="shared" si="14"/>
        <v>280</v>
      </c>
      <c r="N14" s="33">
        <f t="shared" si="15"/>
        <v>1</v>
      </c>
      <c r="O14" s="33">
        <f t="shared" si="16"/>
        <v>3</v>
      </c>
      <c r="P14" s="33">
        <f t="shared" si="17"/>
        <v>1</v>
      </c>
      <c r="Q14" s="34">
        <f t="shared" si="18"/>
        <v>0</v>
      </c>
      <c r="R14" s="33">
        <f t="shared" si="19"/>
        <v>1</v>
      </c>
      <c r="S14" s="34">
        <f t="shared" si="13"/>
        <v>8000</v>
      </c>
      <c r="T14" s="34">
        <f t="shared" si="20"/>
        <v>1</v>
      </c>
      <c r="U14" s="34">
        <f t="shared" si="21"/>
        <v>0</v>
      </c>
      <c r="V14" s="34">
        <f t="shared" si="22"/>
        <v>1</v>
      </c>
      <c r="W14" s="34" t="str">
        <f t="shared" si="23"/>
        <v>FEW</v>
      </c>
      <c r="X14" s="34">
        <f t="shared" si="24"/>
        <v>0</v>
      </c>
      <c r="Y14" s="34">
        <f t="shared" si="25"/>
        <v>800</v>
      </c>
      <c r="Z14" s="34">
        <f t="shared" si="26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300</v>
      </c>
      <c r="F15" s="29">
        <v>2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s="29" t="s">
        <v>516</v>
      </c>
      <c r="M15" s="32">
        <f t="shared" si="14"/>
        <v>320</v>
      </c>
      <c r="N15" s="33">
        <f t="shared" si="15"/>
        <v>1</v>
      </c>
      <c r="O15" s="33">
        <f t="shared" si="16"/>
        <v>2</v>
      </c>
      <c r="P15" s="33">
        <f t="shared" si="17"/>
        <v>1</v>
      </c>
      <c r="Q15" s="34">
        <f t="shared" si="18"/>
        <v>0</v>
      </c>
      <c r="R15" s="33">
        <f t="shared" si="19"/>
        <v>1</v>
      </c>
      <c r="S15" s="34">
        <f t="shared" si="13"/>
        <v>8000</v>
      </c>
      <c r="T15" s="34">
        <f t="shared" si="20"/>
        <v>1</v>
      </c>
      <c r="U15" s="34">
        <f t="shared" si="21"/>
        <v>0</v>
      </c>
      <c r="V15" s="34">
        <f t="shared" si="22"/>
        <v>1</v>
      </c>
      <c r="W15" s="34" t="str">
        <f t="shared" si="23"/>
        <v>FEW</v>
      </c>
      <c r="X15" s="34">
        <f t="shared" si="24"/>
        <v>0</v>
      </c>
      <c r="Y15" s="34">
        <f t="shared" si="25"/>
        <v>800</v>
      </c>
      <c r="Z15" s="34">
        <f t="shared" si="26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300</v>
      </c>
      <c r="F16" s="29">
        <v>2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29" t="s">
        <v>517</v>
      </c>
      <c r="M16" s="32">
        <f t="shared" si="14"/>
        <v>0</v>
      </c>
      <c r="N16" s="33">
        <f t="shared" si="15"/>
        <v>1</v>
      </c>
      <c r="O16" s="33">
        <f t="shared" si="16"/>
        <v>0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20"/>
        <v>1</v>
      </c>
      <c r="U16" s="34">
        <f t="shared" si="21"/>
        <v>0</v>
      </c>
      <c r="V16" s="34">
        <f t="shared" si="22"/>
        <v>1</v>
      </c>
      <c r="W16" s="34" t="str">
        <f t="shared" si="23"/>
        <v>FEW</v>
      </c>
      <c r="X16" s="34">
        <f t="shared" si="24"/>
        <v>0</v>
      </c>
      <c r="Y16" s="34">
        <f t="shared" si="25"/>
        <v>800</v>
      </c>
      <c r="Z16" s="34">
        <f t="shared" si="26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300</v>
      </c>
      <c r="F17" s="29">
        <v>2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29" t="s">
        <v>518</v>
      </c>
      <c r="M17" s="32">
        <f t="shared" si="14"/>
        <v>8</v>
      </c>
      <c r="N17" s="33">
        <f t="shared" si="15"/>
        <v>1</v>
      </c>
      <c r="O17" s="33">
        <f t="shared" si="16"/>
        <v>0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4000</v>
      </c>
      <c r="T17" s="34">
        <f t="shared" si="20"/>
        <v>0</v>
      </c>
      <c r="U17" s="34" t="str">
        <f t="shared" si="21"/>
        <v>RA</v>
      </c>
      <c r="V17" s="34">
        <f t="shared" si="22"/>
        <v>0</v>
      </c>
      <c r="W17" s="34" t="str">
        <f t="shared" si="23"/>
        <v>FEW</v>
      </c>
      <c r="X17" s="34">
        <f t="shared" si="24"/>
        <v>0</v>
      </c>
      <c r="Y17" s="34">
        <f t="shared" si="25"/>
        <v>800</v>
      </c>
      <c r="Z17" s="34">
        <f t="shared" si="26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300</v>
      </c>
      <c r="F18" s="29">
        <v>2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29" t="s">
        <v>519</v>
      </c>
      <c r="M18" s="32">
        <f t="shared" si="14"/>
        <v>4</v>
      </c>
      <c r="N18" s="33">
        <f t="shared" si="15"/>
        <v>1</v>
      </c>
      <c r="O18" s="33">
        <f t="shared" si="16"/>
        <v>0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4000</v>
      </c>
      <c r="T18" s="34">
        <f t="shared" si="20"/>
        <v>0</v>
      </c>
      <c r="U18" s="34" t="str">
        <f t="shared" si="21"/>
        <v>RA</v>
      </c>
      <c r="V18" s="34">
        <f t="shared" si="22"/>
        <v>0</v>
      </c>
      <c r="W18" s="34" t="str">
        <f t="shared" si="23"/>
        <v>FEW</v>
      </c>
      <c r="X18" s="34">
        <f t="shared" si="24"/>
        <v>0</v>
      </c>
      <c r="Y18" s="34">
        <f t="shared" si="25"/>
        <v>800</v>
      </c>
      <c r="Z18" s="34">
        <f t="shared" si="26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10</v>
      </c>
      <c r="U23" s="25"/>
      <c r="V23" s="25">
        <f>SUM(V7:V18)</f>
        <v>10</v>
      </c>
      <c r="W23" s="25"/>
      <c r="X23" s="25">
        <f>SUM(X7:X18)</f>
        <v>3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10</v>
      </c>
      <c r="U24" s="25"/>
      <c r="V24" s="25">
        <f>SUMIF($C7:$C18,"GENERAL",V7:V18)</f>
        <v>10</v>
      </c>
      <c r="W24" s="25"/>
      <c r="X24" s="25">
        <f>SUMIF($C7:$C18,"GENERAL",X7:X18)</f>
        <v>3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83.333333333333343</v>
      </c>
      <c r="U28" s="38"/>
      <c r="V28" s="38">
        <f>(SUM(V24:V27)/COUNTA(V7:V18))*100</f>
        <v>83.333333333333343</v>
      </c>
      <c r="W28" s="38"/>
      <c r="X28" s="38">
        <f>(SUM(X24:X27)/COUNTA(X7:X18))*100</f>
        <v>25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514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17</v>
      </c>
      <c r="B36" s="28">
        <v>0.25</v>
      </c>
      <c r="C36" s="29" t="s">
        <v>39</v>
      </c>
      <c r="D36" s="30"/>
      <c r="E36" s="29">
        <v>250</v>
      </c>
      <c r="F36" s="29">
        <v>2</v>
      </c>
      <c r="G36" s="29">
        <v>0</v>
      </c>
      <c r="H36" s="29">
        <v>8000</v>
      </c>
      <c r="I36" s="29">
        <v>0</v>
      </c>
      <c r="J36" s="29" t="s">
        <v>51</v>
      </c>
      <c r="K36" s="29">
        <v>800</v>
      </c>
      <c r="L36" s="29" t="s">
        <v>511</v>
      </c>
      <c r="M36" s="32">
        <f t="shared" ref="M36:M41" si="27">IF(ISNUMBER(VALUE(FIND("VRB",L36))),999,VALUE(MID(L36,20,3)))</f>
        <v>240</v>
      </c>
      <c r="N36" s="33">
        <f t="shared" ref="N36:N41" si="2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9">VALUE(MID(L36,23,2))</f>
        <v>3</v>
      </c>
      <c r="P36" s="33">
        <f t="shared" ref="P36:P41" si="30">IF(ABS(O36-F36)&lt;11,1,0)</f>
        <v>1</v>
      </c>
      <c r="Q36" s="34">
        <f t="shared" ref="Q36:Q41" si="31">IF(MID(L36,25,1)="G","GUST",0)</f>
        <v>0</v>
      </c>
      <c r="R36" s="33">
        <f t="shared" ref="R36:R41" si="32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33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4">IF(AND(IFERROR(FIND("RA",L36),0)&gt;0, IFERROR(FIND("RA",L36),0)&lt;38),"RA",0)</f>
        <v>0</v>
      </c>
      <c r="V36" s="34">
        <f t="shared" ref="V36:V41" si="35">IF(U36=I36,1,0)</f>
        <v>1</v>
      </c>
      <c r="W36" s="34" t="str">
        <f t="shared" ref="W36:W41" si="36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FEW</v>
      </c>
      <c r="X36" s="34">
        <f t="shared" ref="X36:X41" si="37">IF(OR(AND(OR(J36="SKC",J36="FEW",J36="SCT"),OR(W36="SKC",W36="FEW",W36="SCT")),(AND(OR(J36="BKN",J36="OVC"),OR(W36="BKN",W36="OVC")))),1,0)</f>
        <v>1</v>
      </c>
      <c r="Y36" s="34">
        <f t="shared" ref="Y36:Y41" si="38">IF(ISNUMBER(VALUE(FIND("CAVOK",L36))),9999,IF(ISNUMBER(VALUE(FIND("NSC",L36))),9999,(MID(L36,(FIND(W36,L36)+4),2))*100))</f>
        <v>800</v>
      </c>
      <c r="Z36" s="34">
        <f t="shared" ref="Z36:Z41" si="39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250</v>
      </c>
      <c r="F37" s="29">
        <v>2</v>
      </c>
      <c r="G37" s="29">
        <v>0</v>
      </c>
      <c r="H37" s="29">
        <v>8000</v>
      </c>
      <c r="I37" s="29"/>
      <c r="J37" s="29" t="s">
        <v>51</v>
      </c>
      <c r="K37" s="29">
        <v>800</v>
      </c>
      <c r="L37" s="29" t="s">
        <v>515</v>
      </c>
      <c r="M37" s="32">
        <f t="shared" si="27"/>
        <v>280</v>
      </c>
      <c r="N37" s="33">
        <f t="shared" si="28"/>
        <v>1</v>
      </c>
      <c r="O37" s="33">
        <f t="shared" si="29"/>
        <v>3</v>
      </c>
      <c r="P37" s="33">
        <f t="shared" si="30"/>
        <v>1</v>
      </c>
      <c r="Q37" s="34">
        <f t="shared" si="31"/>
        <v>0</v>
      </c>
      <c r="R37" s="33">
        <f t="shared" si="32"/>
        <v>1</v>
      </c>
      <c r="S37" s="34">
        <f t="shared" ref="S37:S47" si="40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3"/>
        <v>1</v>
      </c>
      <c r="U37" s="34">
        <f t="shared" si="34"/>
        <v>0</v>
      </c>
      <c r="V37" s="34">
        <f t="shared" si="35"/>
        <v>1</v>
      </c>
      <c r="W37" s="34" t="str">
        <f t="shared" si="36"/>
        <v>FEW</v>
      </c>
      <c r="X37" s="34">
        <f t="shared" si="37"/>
        <v>1</v>
      </c>
      <c r="Y37" s="34">
        <f t="shared" si="38"/>
        <v>800</v>
      </c>
      <c r="Z37" s="34">
        <f t="shared" si="39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250</v>
      </c>
      <c r="F38" s="29">
        <v>2</v>
      </c>
      <c r="G38" s="29">
        <v>0</v>
      </c>
      <c r="H38" s="29">
        <v>8000</v>
      </c>
      <c r="I38" s="29"/>
      <c r="J38" s="29" t="s">
        <v>51</v>
      </c>
      <c r="K38" s="29">
        <v>800</v>
      </c>
      <c r="L38" s="29" t="s">
        <v>516</v>
      </c>
      <c r="M38" s="32">
        <f t="shared" si="27"/>
        <v>320</v>
      </c>
      <c r="N38" s="33">
        <f t="shared" si="28"/>
        <v>1</v>
      </c>
      <c r="O38" s="33">
        <f t="shared" si="29"/>
        <v>2</v>
      </c>
      <c r="P38" s="33">
        <f t="shared" si="30"/>
        <v>1</v>
      </c>
      <c r="Q38" s="34">
        <f t="shared" si="31"/>
        <v>0</v>
      </c>
      <c r="R38" s="33">
        <f t="shared" si="32"/>
        <v>1</v>
      </c>
      <c r="S38" s="34">
        <f t="shared" si="40"/>
        <v>8000</v>
      </c>
      <c r="T38" s="34">
        <f t="shared" si="33"/>
        <v>1</v>
      </c>
      <c r="U38" s="34">
        <f t="shared" si="34"/>
        <v>0</v>
      </c>
      <c r="V38" s="34">
        <f t="shared" si="35"/>
        <v>1</v>
      </c>
      <c r="W38" s="34" t="str">
        <f t="shared" si="36"/>
        <v>FEW</v>
      </c>
      <c r="X38" s="34">
        <f t="shared" si="37"/>
        <v>1</v>
      </c>
      <c r="Y38" s="34">
        <f t="shared" si="38"/>
        <v>800</v>
      </c>
      <c r="Z38" s="34">
        <f t="shared" si="39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30"/>
      <c r="E39" s="29">
        <v>250</v>
      </c>
      <c r="F39" s="29">
        <v>2</v>
      </c>
      <c r="G39" s="29">
        <v>0</v>
      </c>
      <c r="H39" s="29">
        <v>4000</v>
      </c>
      <c r="I39" s="29" t="s">
        <v>52</v>
      </c>
      <c r="J39" s="29" t="s">
        <v>51</v>
      </c>
      <c r="K39" s="29">
        <v>800</v>
      </c>
      <c r="L39" s="29" t="s">
        <v>517</v>
      </c>
      <c r="M39" s="32">
        <f t="shared" si="27"/>
        <v>0</v>
      </c>
      <c r="N39" s="33">
        <f t="shared" si="28"/>
        <v>1</v>
      </c>
      <c r="O39" s="33">
        <f t="shared" si="29"/>
        <v>0</v>
      </c>
      <c r="P39" s="33">
        <f t="shared" si="30"/>
        <v>1</v>
      </c>
      <c r="Q39" s="34">
        <f t="shared" si="31"/>
        <v>0</v>
      </c>
      <c r="R39" s="33">
        <f t="shared" si="32"/>
        <v>1</v>
      </c>
      <c r="S39" s="34">
        <f t="shared" si="40"/>
        <v>8000</v>
      </c>
      <c r="T39" s="34">
        <f t="shared" si="33"/>
        <v>0</v>
      </c>
      <c r="U39" s="34">
        <f t="shared" si="34"/>
        <v>0</v>
      </c>
      <c r="V39" s="34">
        <f t="shared" si="35"/>
        <v>0</v>
      </c>
      <c r="W39" s="34" t="str">
        <f t="shared" si="36"/>
        <v>FEW</v>
      </c>
      <c r="X39" s="34">
        <f t="shared" si="37"/>
        <v>1</v>
      </c>
      <c r="Y39" s="34">
        <f t="shared" si="38"/>
        <v>800</v>
      </c>
      <c r="Z39" s="34">
        <f t="shared" si="39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30"/>
      <c r="E40" s="29">
        <v>250</v>
      </c>
      <c r="F40" s="29">
        <v>2</v>
      </c>
      <c r="G40" s="29">
        <v>0</v>
      </c>
      <c r="H40" s="29">
        <v>4000</v>
      </c>
      <c r="I40" s="29" t="s">
        <v>52</v>
      </c>
      <c r="J40" s="29" t="s">
        <v>51</v>
      </c>
      <c r="K40" s="29">
        <v>800</v>
      </c>
      <c r="L40" s="29" t="s">
        <v>518</v>
      </c>
      <c r="M40" s="32">
        <f t="shared" si="27"/>
        <v>8</v>
      </c>
      <c r="N40" s="33">
        <f t="shared" si="28"/>
        <v>1</v>
      </c>
      <c r="O40" s="33">
        <f t="shared" si="29"/>
        <v>0</v>
      </c>
      <c r="P40" s="33">
        <f t="shared" si="30"/>
        <v>1</v>
      </c>
      <c r="Q40" s="34">
        <f t="shared" si="31"/>
        <v>0</v>
      </c>
      <c r="R40" s="33">
        <f t="shared" si="32"/>
        <v>1</v>
      </c>
      <c r="S40" s="34">
        <f t="shared" si="40"/>
        <v>4000</v>
      </c>
      <c r="T40" s="34">
        <f t="shared" si="33"/>
        <v>1</v>
      </c>
      <c r="U40" s="34" t="str">
        <f t="shared" si="34"/>
        <v>RA</v>
      </c>
      <c r="V40" s="34">
        <f t="shared" si="35"/>
        <v>1</v>
      </c>
      <c r="W40" s="34" t="str">
        <f t="shared" si="36"/>
        <v>FEW</v>
      </c>
      <c r="X40" s="34">
        <f t="shared" si="37"/>
        <v>1</v>
      </c>
      <c r="Y40" s="34">
        <f t="shared" si="38"/>
        <v>800</v>
      </c>
      <c r="Z40" s="34">
        <f t="shared" si="39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30"/>
      <c r="E41" s="29">
        <v>250</v>
      </c>
      <c r="F41" s="29">
        <v>2</v>
      </c>
      <c r="G41" s="29">
        <v>0</v>
      </c>
      <c r="H41" s="29">
        <v>4000</v>
      </c>
      <c r="I41" s="29" t="s">
        <v>52</v>
      </c>
      <c r="J41" s="29" t="s">
        <v>51</v>
      </c>
      <c r="K41" s="29">
        <v>800</v>
      </c>
      <c r="L41" s="29" t="s">
        <v>519</v>
      </c>
      <c r="M41" s="32">
        <f t="shared" si="27"/>
        <v>4</v>
      </c>
      <c r="N41" s="33">
        <f t="shared" si="28"/>
        <v>1</v>
      </c>
      <c r="O41" s="33">
        <f t="shared" si="29"/>
        <v>0</v>
      </c>
      <c r="P41" s="33">
        <f t="shared" si="30"/>
        <v>1</v>
      </c>
      <c r="Q41" s="34">
        <f t="shared" si="31"/>
        <v>0</v>
      </c>
      <c r="R41" s="33">
        <f t="shared" si="32"/>
        <v>1</v>
      </c>
      <c r="S41" s="34">
        <f t="shared" si="40"/>
        <v>4000</v>
      </c>
      <c r="T41" s="34">
        <f t="shared" si="33"/>
        <v>1</v>
      </c>
      <c r="U41" s="34" t="str">
        <f t="shared" si="34"/>
        <v>RA</v>
      </c>
      <c r="V41" s="34">
        <f t="shared" si="35"/>
        <v>1</v>
      </c>
      <c r="W41" s="34" t="str">
        <f t="shared" si="36"/>
        <v>FEW</v>
      </c>
      <c r="X41" s="34">
        <f t="shared" si="37"/>
        <v>1</v>
      </c>
      <c r="Y41" s="34">
        <f t="shared" si="38"/>
        <v>800</v>
      </c>
      <c r="Z41" s="34">
        <f t="shared" si="39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40</v>
      </c>
      <c r="D42" s="30"/>
      <c r="E42" s="29">
        <v>250</v>
      </c>
      <c r="F42" s="29">
        <v>2</v>
      </c>
      <c r="G42" s="29">
        <v>0</v>
      </c>
      <c r="H42" s="29">
        <v>4000</v>
      </c>
      <c r="I42" s="29" t="s">
        <v>52</v>
      </c>
      <c r="J42" s="29" t="s">
        <v>51</v>
      </c>
      <c r="K42" s="29">
        <v>800</v>
      </c>
      <c r="L42" s="29" t="s">
        <v>520</v>
      </c>
      <c r="M42" s="32">
        <f t="shared" ref="M42:M47" si="41">IF(ISNUMBER(VALUE(FIND("VRB",L42))),999,VALUE(MID(L42,20,3)))</f>
        <v>8</v>
      </c>
      <c r="N42" s="33">
        <f t="shared" ref="N42:N47" si="42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3">VALUE(MID(L42,23,2))</f>
        <v>0</v>
      </c>
      <c r="P42" s="33">
        <f t="shared" ref="P42:P47" si="44">IF(ABS(O42-F42)&lt;11,1,0)</f>
        <v>1</v>
      </c>
      <c r="Q42" s="34">
        <f t="shared" ref="Q42:Q47" si="45">IF(MID(L42,25,1)="G","GUST",0)</f>
        <v>0</v>
      </c>
      <c r="R42" s="33">
        <f t="shared" ref="R42:R47" si="46">IF(G42=Q42,1,0)</f>
        <v>1</v>
      </c>
      <c r="S42" s="34">
        <f t="shared" si="40"/>
        <v>4000</v>
      </c>
      <c r="T42" s="34">
        <f t="shared" ref="T42:T47" si="47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 t="str">
        <f t="shared" ref="U42:U47" si="48">IF(AND(IFERROR(FIND("RA",L42),0)&gt;0, IFERROR(FIND("RA",L42),0)&lt;38),"RA",0)</f>
        <v>RA</v>
      </c>
      <c r="V42" s="34">
        <f t="shared" ref="V42:V47" si="49">IF(U42=I42,1,0)</f>
        <v>1</v>
      </c>
      <c r="W42" s="34" t="str">
        <f t="shared" ref="W42:W47" si="50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FEW</v>
      </c>
      <c r="X42" s="34">
        <f t="shared" ref="X42:X47" si="51">IF(OR(AND(OR(J42="SKC",J42="FEW",J42="SCT"),OR(W42="SKC",W42="FEW",W42="SCT")),(AND(OR(J42="BKN",J42="OVC"),OR(W42="BKN",W42="OVC")))),1,0)</f>
        <v>1</v>
      </c>
      <c r="Y42" s="34">
        <f t="shared" ref="Y42:Y47" si="52">IF(ISNUMBER(VALUE(FIND("CAVOK",L42))),9999,IF(ISNUMBER(VALUE(FIND("NSC",L42))),9999,(MID(L42,(FIND(W42,L42)+4),2))*100))</f>
        <v>800</v>
      </c>
      <c r="Z42" s="34">
        <f t="shared" ref="Z42:Z47" si="53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250</v>
      </c>
      <c r="F43" s="29">
        <v>2</v>
      </c>
      <c r="G43" s="29">
        <v>0</v>
      </c>
      <c r="H43" s="29">
        <v>8000</v>
      </c>
      <c r="I43" s="29"/>
      <c r="J43" s="29" t="s">
        <v>51</v>
      </c>
      <c r="K43" s="29">
        <v>800</v>
      </c>
      <c r="L43" s="29" t="s">
        <v>521</v>
      </c>
      <c r="M43" s="32">
        <f t="shared" si="41"/>
        <v>1</v>
      </c>
      <c r="N43" s="33">
        <f t="shared" si="42"/>
        <v>1</v>
      </c>
      <c r="O43" s="33">
        <f t="shared" si="43"/>
        <v>0</v>
      </c>
      <c r="P43" s="33">
        <f t="shared" si="44"/>
        <v>1</v>
      </c>
      <c r="Q43" s="34">
        <f t="shared" si="45"/>
        <v>0</v>
      </c>
      <c r="R43" s="33">
        <f t="shared" si="46"/>
        <v>1</v>
      </c>
      <c r="S43" s="34">
        <f t="shared" si="40"/>
        <v>4000</v>
      </c>
      <c r="T43" s="34">
        <f t="shared" si="47"/>
        <v>0</v>
      </c>
      <c r="U43" s="34" t="str">
        <f t="shared" si="48"/>
        <v>RA</v>
      </c>
      <c r="V43" s="34">
        <f t="shared" si="49"/>
        <v>0</v>
      </c>
      <c r="W43" s="34" t="str">
        <f t="shared" si="50"/>
        <v>FEW</v>
      </c>
      <c r="X43" s="34">
        <f t="shared" si="51"/>
        <v>1</v>
      </c>
      <c r="Y43" s="34">
        <f t="shared" si="52"/>
        <v>800</v>
      </c>
      <c r="Z43" s="34">
        <f t="shared" si="53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250</v>
      </c>
      <c r="F44" s="29">
        <v>2</v>
      </c>
      <c r="G44" s="29">
        <v>0</v>
      </c>
      <c r="H44" s="29">
        <v>8000</v>
      </c>
      <c r="I44" s="29"/>
      <c r="J44" s="29" t="s">
        <v>51</v>
      </c>
      <c r="K44" s="29">
        <v>800</v>
      </c>
      <c r="L44" s="29" t="s">
        <v>522</v>
      </c>
      <c r="M44" s="32">
        <f t="shared" si="41"/>
        <v>4</v>
      </c>
      <c r="N44" s="33">
        <f t="shared" si="42"/>
        <v>1</v>
      </c>
      <c r="O44" s="33">
        <f t="shared" si="43"/>
        <v>0</v>
      </c>
      <c r="P44" s="33">
        <f t="shared" si="44"/>
        <v>1</v>
      </c>
      <c r="Q44" s="34">
        <f t="shared" si="45"/>
        <v>0</v>
      </c>
      <c r="R44" s="33">
        <f t="shared" si="46"/>
        <v>1</v>
      </c>
      <c r="S44" s="34">
        <f t="shared" si="40"/>
        <v>5000</v>
      </c>
      <c r="T44" s="34">
        <f t="shared" si="47"/>
        <v>1</v>
      </c>
      <c r="U44" s="34">
        <f t="shared" si="48"/>
        <v>0</v>
      </c>
      <c r="V44" s="34">
        <f t="shared" si="49"/>
        <v>1</v>
      </c>
      <c r="W44" s="34" t="str">
        <f t="shared" si="50"/>
        <v>BKN</v>
      </c>
      <c r="X44" s="34">
        <f t="shared" si="51"/>
        <v>0</v>
      </c>
      <c r="Y44" s="34">
        <f t="shared" si="52"/>
        <v>900</v>
      </c>
      <c r="Z44" s="34">
        <f t="shared" si="53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250</v>
      </c>
      <c r="F45" s="29">
        <v>2</v>
      </c>
      <c r="G45" s="29">
        <v>0</v>
      </c>
      <c r="H45" s="29">
        <v>8000</v>
      </c>
      <c r="I45" s="29"/>
      <c r="J45" s="29" t="s">
        <v>51</v>
      </c>
      <c r="K45" s="29">
        <v>800</v>
      </c>
      <c r="L45" s="29" t="s">
        <v>523</v>
      </c>
      <c r="M45" s="32">
        <f t="shared" si="41"/>
        <v>0</v>
      </c>
      <c r="N45" s="33">
        <f t="shared" si="42"/>
        <v>1</v>
      </c>
      <c r="O45" s="33">
        <f t="shared" si="43"/>
        <v>0</v>
      </c>
      <c r="P45" s="33">
        <f t="shared" si="44"/>
        <v>1</v>
      </c>
      <c r="Q45" s="34">
        <f t="shared" si="45"/>
        <v>0</v>
      </c>
      <c r="R45" s="33">
        <f t="shared" si="46"/>
        <v>1</v>
      </c>
      <c r="S45" s="34">
        <f t="shared" si="40"/>
        <v>6000</v>
      </c>
      <c r="T45" s="34">
        <f t="shared" si="47"/>
        <v>1</v>
      </c>
      <c r="U45" s="34">
        <f t="shared" si="48"/>
        <v>0</v>
      </c>
      <c r="V45" s="34">
        <f t="shared" si="49"/>
        <v>1</v>
      </c>
      <c r="W45" s="34" t="str">
        <f t="shared" si="50"/>
        <v>BKN</v>
      </c>
      <c r="X45" s="34">
        <f t="shared" si="51"/>
        <v>0</v>
      </c>
      <c r="Y45" s="34">
        <f t="shared" si="52"/>
        <v>900</v>
      </c>
      <c r="Z45" s="34">
        <f t="shared" si="53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250</v>
      </c>
      <c r="F46" s="29">
        <v>2</v>
      </c>
      <c r="G46" s="29">
        <v>0</v>
      </c>
      <c r="H46" s="29">
        <v>8000</v>
      </c>
      <c r="I46" s="29"/>
      <c r="J46" s="29" t="s">
        <v>51</v>
      </c>
      <c r="K46" s="29">
        <v>800</v>
      </c>
      <c r="L46" s="29" t="s">
        <v>524</v>
      </c>
      <c r="M46" s="32">
        <f t="shared" si="41"/>
        <v>0</v>
      </c>
      <c r="N46" s="33">
        <f t="shared" si="42"/>
        <v>1</v>
      </c>
      <c r="O46" s="33">
        <f t="shared" si="43"/>
        <v>0</v>
      </c>
      <c r="P46" s="33">
        <f t="shared" si="44"/>
        <v>1</v>
      </c>
      <c r="Q46" s="34">
        <f t="shared" si="45"/>
        <v>0</v>
      </c>
      <c r="R46" s="33">
        <f t="shared" si="46"/>
        <v>1</v>
      </c>
      <c r="S46" s="34">
        <f t="shared" si="40"/>
        <v>6000</v>
      </c>
      <c r="T46" s="34">
        <f t="shared" si="47"/>
        <v>1</v>
      </c>
      <c r="U46" s="34">
        <f t="shared" si="48"/>
        <v>0</v>
      </c>
      <c r="V46" s="34">
        <f t="shared" si="49"/>
        <v>1</v>
      </c>
      <c r="W46" s="34" t="str">
        <f t="shared" si="50"/>
        <v>BKN</v>
      </c>
      <c r="X46" s="34">
        <f t="shared" si="51"/>
        <v>0</v>
      </c>
      <c r="Y46" s="34">
        <f t="shared" si="52"/>
        <v>900</v>
      </c>
      <c r="Z46" s="34">
        <f t="shared" si="53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250</v>
      </c>
      <c r="F47" s="29">
        <v>2</v>
      </c>
      <c r="G47" s="29">
        <v>0</v>
      </c>
      <c r="H47" s="29">
        <v>8000</v>
      </c>
      <c r="I47" s="29"/>
      <c r="J47" s="29" t="s">
        <v>51</v>
      </c>
      <c r="K47" s="29">
        <v>800</v>
      </c>
      <c r="L47" s="29" t="s">
        <v>525</v>
      </c>
      <c r="M47" s="32">
        <f t="shared" si="41"/>
        <v>0</v>
      </c>
      <c r="N47" s="33">
        <f t="shared" si="42"/>
        <v>1</v>
      </c>
      <c r="O47" s="33">
        <f t="shared" si="43"/>
        <v>0</v>
      </c>
      <c r="P47" s="33">
        <f t="shared" si="44"/>
        <v>1</v>
      </c>
      <c r="Q47" s="34">
        <f t="shared" si="45"/>
        <v>0</v>
      </c>
      <c r="R47" s="33">
        <f t="shared" si="46"/>
        <v>1</v>
      </c>
      <c r="S47" s="34">
        <f t="shared" si="40"/>
        <v>7000</v>
      </c>
      <c r="T47" s="34">
        <f t="shared" si="47"/>
        <v>1</v>
      </c>
      <c r="U47" s="34">
        <f t="shared" si="48"/>
        <v>0</v>
      </c>
      <c r="V47" s="34">
        <f t="shared" si="49"/>
        <v>1</v>
      </c>
      <c r="W47" s="34" t="str">
        <f t="shared" si="50"/>
        <v>BKN</v>
      </c>
      <c r="X47" s="34">
        <f t="shared" si="51"/>
        <v>0</v>
      </c>
      <c r="Y47" s="34">
        <f t="shared" si="52"/>
        <v>900</v>
      </c>
      <c r="Z47" s="34">
        <f t="shared" si="53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10</v>
      </c>
      <c r="U52" s="25"/>
      <c r="V52" s="25">
        <f>SUM(V36:V47)</f>
        <v>10</v>
      </c>
      <c r="W52" s="25"/>
      <c r="X52" s="25">
        <f>SUM(X36:X47)</f>
        <v>8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8</v>
      </c>
      <c r="O53" s="25"/>
      <c r="P53" s="25">
        <f>SUMIF($C36:$C47,"GENERAL",P36:P47)</f>
        <v>8</v>
      </c>
      <c r="Q53" s="25"/>
      <c r="R53" s="25">
        <f>SUMIF($C36:$C47,"GENERAL",R36:R47)</f>
        <v>8</v>
      </c>
      <c r="S53" s="25"/>
      <c r="T53" s="25">
        <f>SUMIF($C36:$C47,"GENERAL",T36:T47)</f>
        <v>7</v>
      </c>
      <c r="U53" s="25"/>
      <c r="V53" s="25">
        <f>SUMIF($C36:$C47,"GENERAL",V36:V47)</f>
        <v>7</v>
      </c>
      <c r="W53" s="25"/>
      <c r="X53" s="25">
        <f>SUMIF($C36:$C47,"GENERAL",X36:X47)</f>
        <v>4</v>
      </c>
      <c r="Y53" s="25"/>
      <c r="Z53" s="25">
        <f>SUMIF($C36:$C47,"GENERAL",Z36:Z47)</f>
        <v>8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4</v>
      </c>
      <c r="M56" s="42">
        <f>SUMIF($C36:$C47,"TEMPO",N36:N47)</f>
        <v>4</v>
      </c>
      <c r="N56" s="42">
        <f>M56</f>
        <v>4</v>
      </c>
      <c r="O56" s="42">
        <f>SUMIF($C36:$C47,"TEMPO",P36:P47)</f>
        <v>4</v>
      </c>
      <c r="P56" s="42">
        <f>O56</f>
        <v>4</v>
      </c>
      <c r="Q56" s="42">
        <f>SUMIF($C36:$C47,"TEMPO",R36:R47)</f>
        <v>4</v>
      </c>
      <c r="R56" s="42">
        <f>Q56</f>
        <v>4</v>
      </c>
      <c r="S56" s="42">
        <f>SUMIF($C36:$C47,"TEMPO",T36:T47)</f>
        <v>3</v>
      </c>
      <c r="T56" s="42">
        <f>S56</f>
        <v>3</v>
      </c>
      <c r="U56" s="42">
        <f>SUMIF($C36:$C47,"TEMPO",V36:V47)</f>
        <v>3</v>
      </c>
      <c r="V56" s="42">
        <f>U56</f>
        <v>3</v>
      </c>
      <c r="W56" s="42">
        <f>SUMIF($C36:$C47,"TEMPO",X36:X47)</f>
        <v>4</v>
      </c>
      <c r="X56" s="42">
        <f>W56</f>
        <v>4</v>
      </c>
      <c r="Y56" s="42">
        <f>SUMIF($C36:$C47,"TEMPO",Z36:Z47)</f>
        <v>4</v>
      </c>
      <c r="Z56" s="42">
        <f>Y56</f>
        <v>4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83.333333333333343</v>
      </c>
      <c r="U57" s="38"/>
      <c r="V57" s="38">
        <f>(SUM(V53:V56)/COUNTA(V36:V47))*100</f>
        <v>83.333333333333343</v>
      </c>
      <c r="W57" s="38"/>
      <c r="X57" s="38">
        <f>(SUM(X53:X56)/COUNTA(X36:X47))*100</f>
        <v>66.666666666666657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538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17</v>
      </c>
      <c r="B65" s="50">
        <v>0.5</v>
      </c>
      <c r="C65" s="29" t="s">
        <v>39</v>
      </c>
      <c r="D65" s="30"/>
      <c r="E65" s="29">
        <v>50</v>
      </c>
      <c r="F65" s="29">
        <v>3</v>
      </c>
      <c r="G65" s="29">
        <v>0</v>
      </c>
      <c r="H65" s="29">
        <v>4000</v>
      </c>
      <c r="I65" s="29" t="s">
        <v>52</v>
      </c>
      <c r="J65" s="29" t="s">
        <v>51</v>
      </c>
      <c r="K65" s="29">
        <v>800</v>
      </c>
      <c r="L65" s="29" t="s">
        <v>520</v>
      </c>
      <c r="M65" s="32">
        <f t="shared" ref="M65:M70" si="54">IF(ISNUMBER(VALUE(FIND("VRB",L65))),999,VALUE(MID(L65,20,3)))</f>
        <v>8</v>
      </c>
      <c r="N65" s="33">
        <f t="shared" ref="N65:N70" si="55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6">VALUE(MID(L65,23,2))</f>
        <v>0</v>
      </c>
      <c r="P65" s="33">
        <f t="shared" ref="P65:P70" si="57">IF(ABS(O65-F65)&lt;11,1,0)</f>
        <v>1</v>
      </c>
      <c r="Q65" s="34">
        <f t="shared" ref="Q65:Q70" si="58">IF(MID(L65,25,1)="G","GUST",0)</f>
        <v>0</v>
      </c>
      <c r="R65" s="33">
        <f t="shared" ref="R65:R70" si="59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4000</v>
      </c>
      <c r="T65" s="34">
        <f t="shared" ref="T65:T70" si="60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 t="str">
        <f t="shared" ref="U65:U70" si="61">IF(AND(IFERROR(FIND("RA",L65),0)&gt;0, IFERROR(FIND("RA",L65),0)&lt;38),"RA",0)</f>
        <v>RA</v>
      </c>
      <c r="V65" s="34">
        <f t="shared" ref="V65:V70" si="62">IF(U65=I65,1,0)</f>
        <v>1</v>
      </c>
      <c r="W65" s="34" t="str">
        <f t="shared" ref="W65:W70" si="63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0" si="64">IF(OR(AND(OR(J65="SKC",J65="FEW",J65="SCT"),OR(W65="SKC",W65="FEW",W65="SCT")),(AND(OR(J65="BKN",J65="OVC"),OR(W65="BKN",W65="OVC")))),1,0)</f>
        <v>1</v>
      </c>
      <c r="Y65" s="34">
        <f t="shared" ref="Y65:Y70" si="65">IF(ISNUMBER(VALUE(FIND("CAVOK",L65))),9999,IF(ISNUMBER(VALUE(FIND("NSC",L65))),9999,(MID(L65,(FIND(W65,L65)+4),2))*100))</f>
        <v>800</v>
      </c>
      <c r="Z65" s="34">
        <f t="shared" ref="Z65:Z70" si="66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30"/>
      <c r="E66" s="29">
        <v>50</v>
      </c>
      <c r="F66" s="29">
        <v>3</v>
      </c>
      <c r="G66" s="29">
        <v>0</v>
      </c>
      <c r="H66" s="29">
        <v>4000</v>
      </c>
      <c r="I66" s="29" t="s">
        <v>52</v>
      </c>
      <c r="J66" s="29" t="s">
        <v>51</v>
      </c>
      <c r="K66" s="29">
        <v>800</v>
      </c>
      <c r="L66" s="29" t="s">
        <v>521</v>
      </c>
      <c r="M66" s="32">
        <f t="shared" si="54"/>
        <v>1</v>
      </c>
      <c r="N66" s="33">
        <f t="shared" si="55"/>
        <v>1</v>
      </c>
      <c r="O66" s="33">
        <f t="shared" si="56"/>
        <v>0</v>
      </c>
      <c r="P66" s="33">
        <f t="shared" si="57"/>
        <v>1</v>
      </c>
      <c r="Q66" s="34">
        <f t="shared" si="58"/>
        <v>0</v>
      </c>
      <c r="R66" s="33">
        <f t="shared" si="59"/>
        <v>1</v>
      </c>
      <c r="S66" s="34">
        <f t="shared" ref="S66:S76" si="67">IF(ISNUMBER(VALUE(MID(L66,(FIND("KT",L66,FIND("Z",L66))+3),4))),VALUE(MID(L66,(FIND("KT",L66,FIND("Z",L66))+3),4)),IF(ISNUMBER(VALUE(MID(L66,(FIND("0V",L66)+6),4))),VALUE(MID(L66,(FIND("0V",L66)+6),4)),9999))</f>
        <v>4000</v>
      </c>
      <c r="T66" s="34">
        <f t="shared" si="60"/>
        <v>1</v>
      </c>
      <c r="U66" s="34" t="str">
        <f t="shared" si="61"/>
        <v>RA</v>
      </c>
      <c r="V66" s="34">
        <f t="shared" si="62"/>
        <v>1</v>
      </c>
      <c r="W66" s="34" t="str">
        <f t="shared" si="63"/>
        <v>FEW</v>
      </c>
      <c r="X66" s="34">
        <f t="shared" si="64"/>
        <v>1</v>
      </c>
      <c r="Y66" s="34">
        <f t="shared" si="65"/>
        <v>800</v>
      </c>
      <c r="Z66" s="34">
        <f t="shared" si="66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39</v>
      </c>
      <c r="D67" s="30"/>
      <c r="E67" s="29">
        <v>50</v>
      </c>
      <c r="F67" s="29">
        <v>3</v>
      </c>
      <c r="G67" s="29">
        <v>0</v>
      </c>
      <c r="H67" s="29">
        <v>4000</v>
      </c>
      <c r="I67" s="29" t="s">
        <v>52</v>
      </c>
      <c r="J67" s="29" t="s">
        <v>51</v>
      </c>
      <c r="K67" s="29">
        <v>800</v>
      </c>
      <c r="L67" s="29" t="s">
        <v>522</v>
      </c>
      <c r="M67" s="32">
        <f t="shared" si="54"/>
        <v>4</v>
      </c>
      <c r="N67" s="33">
        <f t="shared" si="55"/>
        <v>1</v>
      </c>
      <c r="O67" s="33">
        <f t="shared" si="56"/>
        <v>0</v>
      </c>
      <c r="P67" s="33">
        <f t="shared" si="57"/>
        <v>1</v>
      </c>
      <c r="Q67" s="34">
        <f t="shared" si="58"/>
        <v>0</v>
      </c>
      <c r="R67" s="33">
        <f t="shared" si="59"/>
        <v>1</v>
      </c>
      <c r="S67" s="34">
        <f t="shared" si="67"/>
        <v>5000</v>
      </c>
      <c r="T67" s="34">
        <f t="shared" si="60"/>
        <v>1</v>
      </c>
      <c r="U67" s="34">
        <f t="shared" si="61"/>
        <v>0</v>
      </c>
      <c r="V67" s="34">
        <f t="shared" si="62"/>
        <v>0</v>
      </c>
      <c r="W67" s="34" t="str">
        <f t="shared" si="63"/>
        <v>BKN</v>
      </c>
      <c r="X67" s="34">
        <f t="shared" si="64"/>
        <v>0</v>
      </c>
      <c r="Y67" s="34">
        <f t="shared" si="65"/>
        <v>900</v>
      </c>
      <c r="Z67" s="34">
        <f t="shared" si="66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39</v>
      </c>
      <c r="D68" s="30"/>
      <c r="E68" s="29">
        <v>50</v>
      </c>
      <c r="F68" s="29">
        <v>3</v>
      </c>
      <c r="G68" s="29">
        <v>0</v>
      </c>
      <c r="H68" s="29">
        <v>4000</v>
      </c>
      <c r="I68" s="29" t="s">
        <v>52</v>
      </c>
      <c r="J68" s="29" t="s">
        <v>51</v>
      </c>
      <c r="K68" s="29">
        <v>800</v>
      </c>
      <c r="L68" s="29" t="s">
        <v>523</v>
      </c>
      <c r="M68" s="32">
        <f t="shared" si="54"/>
        <v>0</v>
      </c>
      <c r="N68" s="33">
        <f t="shared" si="55"/>
        <v>1</v>
      </c>
      <c r="O68" s="33">
        <f t="shared" si="56"/>
        <v>0</v>
      </c>
      <c r="P68" s="33">
        <f t="shared" si="57"/>
        <v>1</v>
      </c>
      <c r="Q68" s="34">
        <f t="shared" si="58"/>
        <v>0</v>
      </c>
      <c r="R68" s="33">
        <f t="shared" si="59"/>
        <v>1</v>
      </c>
      <c r="S68" s="34">
        <f t="shared" si="67"/>
        <v>6000</v>
      </c>
      <c r="T68" s="34">
        <f t="shared" si="60"/>
        <v>0</v>
      </c>
      <c r="U68" s="34">
        <f t="shared" si="61"/>
        <v>0</v>
      </c>
      <c r="V68" s="34">
        <f t="shared" si="62"/>
        <v>0</v>
      </c>
      <c r="W68" s="34" t="str">
        <f t="shared" si="63"/>
        <v>BKN</v>
      </c>
      <c r="X68" s="34">
        <f t="shared" si="64"/>
        <v>0</v>
      </c>
      <c r="Y68" s="34">
        <f t="shared" si="65"/>
        <v>900</v>
      </c>
      <c r="Z68" s="34">
        <f t="shared" si="66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39</v>
      </c>
      <c r="D69" s="30"/>
      <c r="E69" s="29">
        <v>50</v>
      </c>
      <c r="F69" s="29">
        <v>3</v>
      </c>
      <c r="G69" s="29">
        <v>0</v>
      </c>
      <c r="H69" s="29">
        <v>4000</v>
      </c>
      <c r="I69" s="29" t="s">
        <v>52</v>
      </c>
      <c r="J69" s="29" t="s">
        <v>51</v>
      </c>
      <c r="K69" s="29">
        <v>800</v>
      </c>
      <c r="L69" s="29" t="s">
        <v>524</v>
      </c>
      <c r="M69" s="32">
        <f t="shared" si="54"/>
        <v>0</v>
      </c>
      <c r="N69" s="33">
        <f t="shared" si="55"/>
        <v>1</v>
      </c>
      <c r="O69" s="33">
        <f t="shared" si="56"/>
        <v>0</v>
      </c>
      <c r="P69" s="33">
        <f t="shared" si="57"/>
        <v>1</v>
      </c>
      <c r="Q69" s="34">
        <f t="shared" si="58"/>
        <v>0</v>
      </c>
      <c r="R69" s="33">
        <f t="shared" si="59"/>
        <v>1</v>
      </c>
      <c r="S69" s="34">
        <f t="shared" si="67"/>
        <v>6000</v>
      </c>
      <c r="T69" s="34">
        <f t="shared" si="60"/>
        <v>0</v>
      </c>
      <c r="U69" s="34">
        <f t="shared" si="61"/>
        <v>0</v>
      </c>
      <c r="V69" s="34">
        <f t="shared" si="62"/>
        <v>0</v>
      </c>
      <c r="W69" s="34" t="str">
        <f t="shared" si="63"/>
        <v>BKN</v>
      </c>
      <c r="X69" s="34">
        <f t="shared" si="64"/>
        <v>0</v>
      </c>
      <c r="Y69" s="34">
        <f t="shared" si="65"/>
        <v>900</v>
      </c>
      <c r="Z69" s="34">
        <f t="shared" si="66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39</v>
      </c>
      <c r="D70" s="30"/>
      <c r="E70" s="29">
        <v>50</v>
      </c>
      <c r="F70" s="29">
        <v>3</v>
      </c>
      <c r="G70" s="29">
        <v>0</v>
      </c>
      <c r="H70" s="29">
        <v>4000</v>
      </c>
      <c r="I70" s="29" t="s">
        <v>52</v>
      </c>
      <c r="J70" s="29" t="s">
        <v>51</v>
      </c>
      <c r="K70" s="29">
        <v>800</v>
      </c>
      <c r="L70" s="29" t="s">
        <v>525</v>
      </c>
      <c r="M70" s="32">
        <f t="shared" si="54"/>
        <v>0</v>
      </c>
      <c r="N70" s="33">
        <f t="shared" si="55"/>
        <v>1</v>
      </c>
      <c r="O70" s="33">
        <f t="shared" si="56"/>
        <v>0</v>
      </c>
      <c r="P70" s="33">
        <f t="shared" si="57"/>
        <v>1</v>
      </c>
      <c r="Q70" s="34">
        <f t="shared" si="58"/>
        <v>0</v>
      </c>
      <c r="R70" s="33">
        <f t="shared" si="59"/>
        <v>1</v>
      </c>
      <c r="S70" s="34">
        <f t="shared" si="67"/>
        <v>7000</v>
      </c>
      <c r="T70" s="34">
        <f t="shared" si="60"/>
        <v>0</v>
      </c>
      <c r="U70" s="34">
        <f t="shared" si="61"/>
        <v>0</v>
      </c>
      <c r="V70" s="34">
        <f t="shared" si="62"/>
        <v>0</v>
      </c>
      <c r="W70" s="34" t="str">
        <f t="shared" si="63"/>
        <v>BKN</v>
      </c>
      <c r="X70" s="34">
        <f t="shared" si="64"/>
        <v>0</v>
      </c>
      <c r="Y70" s="34">
        <f t="shared" si="65"/>
        <v>900</v>
      </c>
      <c r="Z70" s="34">
        <f t="shared" si="66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39</v>
      </c>
      <c r="D71" s="30"/>
      <c r="E71" s="29">
        <v>50</v>
      </c>
      <c r="F71" s="29">
        <v>3</v>
      </c>
      <c r="G71" s="29">
        <v>0</v>
      </c>
      <c r="H71" s="29">
        <v>4000</v>
      </c>
      <c r="I71" s="29" t="s">
        <v>52</v>
      </c>
      <c r="J71" s="29" t="s">
        <v>51</v>
      </c>
      <c r="K71" s="29">
        <v>800</v>
      </c>
      <c r="L71" s="29" t="s">
        <v>526</v>
      </c>
      <c r="M71" s="32">
        <f t="shared" ref="M71:M76" si="68">IF(ISNUMBER(VALUE(FIND("VRB",L71))),999,VALUE(MID(L71,20,3)))</f>
        <v>0</v>
      </c>
      <c r="N71" s="33">
        <f t="shared" ref="N71:N76" si="69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0">VALUE(MID(L71,23,2))</f>
        <v>0</v>
      </c>
      <c r="P71" s="33">
        <f t="shared" ref="P71:P76" si="71">IF(ABS(O71-F71)&lt;11,1,0)</f>
        <v>1</v>
      </c>
      <c r="Q71" s="34">
        <f t="shared" ref="Q71:Q76" si="72">IF(MID(L71,25,1)="G","GUST",0)</f>
        <v>0</v>
      </c>
      <c r="R71" s="33">
        <f t="shared" ref="R71:R76" si="73">IF(G71=Q71,1,0)</f>
        <v>1</v>
      </c>
      <c r="S71" s="34">
        <f t="shared" si="67"/>
        <v>8000</v>
      </c>
      <c r="T71" s="34">
        <f t="shared" ref="T71:T76" si="74">IF(OR(AND(H71&lt;801,S71&lt;801),AND(H71&gt;799,H71&lt;1501,S71&gt;799,S71&lt;1502),AND(H71&gt;1499,H71&lt;3001,S71&gt;1499,S71&lt;3001),AND(H71&gt;2999,H71&lt;5001,S71&gt;2999,S71&lt;5001),AND(H71&gt;4999,S71&gt;4999)),1,0)</f>
        <v>0</v>
      </c>
      <c r="U71" s="34">
        <f t="shared" ref="U71:U76" si="75">IF(AND(IFERROR(FIND("RA",L71),0)&gt;0, IFERROR(FIND("RA",L71),0)&lt;38),"RA",0)</f>
        <v>0</v>
      </c>
      <c r="V71" s="34">
        <f t="shared" ref="V71:V76" si="76">IF(U71=I71,1,0)</f>
        <v>0</v>
      </c>
      <c r="W71" s="34" t="str">
        <f t="shared" ref="W71:W76" si="77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8">IF(OR(AND(OR(J71="SKC",J71="FEW",J71="SCT"),OR(W71="SKC",W71="FEW",W71="SCT")),(AND(OR(J71="BKN",J71="OVC"),OR(W71="BKN",W71="OVC")))),1,0)</f>
        <v>0</v>
      </c>
      <c r="Y71" s="34">
        <f t="shared" ref="Y71:Y76" si="79">IF(ISNUMBER(VALUE(FIND("CAVOK",L71))),9999,IF(ISNUMBER(VALUE(FIND("NSC",L71))),9999,(MID(L71,(FIND(W71,L71)+4),2))*100))</f>
        <v>900</v>
      </c>
      <c r="Z71" s="34">
        <f t="shared" ref="Z71:Z76" si="80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39</v>
      </c>
      <c r="D72" s="30"/>
      <c r="E72" s="29">
        <v>50</v>
      </c>
      <c r="F72" s="29">
        <v>3</v>
      </c>
      <c r="G72" s="29">
        <v>0</v>
      </c>
      <c r="H72" s="29">
        <v>4000</v>
      </c>
      <c r="I72" s="29" t="s">
        <v>52</v>
      </c>
      <c r="J72" s="29" t="s">
        <v>51</v>
      </c>
      <c r="K72" s="29">
        <v>800</v>
      </c>
      <c r="L72" s="29" t="s">
        <v>527</v>
      </c>
      <c r="M72" s="32">
        <f t="shared" si="68"/>
        <v>0</v>
      </c>
      <c r="N72" s="33">
        <f t="shared" si="69"/>
        <v>1</v>
      </c>
      <c r="O72" s="33">
        <f t="shared" si="70"/>
        <v>0</v>
      </c>
      <c r="P72" s="33">
        <f t="shared" si="71"/>
        <v>1</v>
      </c>
      <c r="Q72" s="34">
        <f t="shared" si="72"/>
        <v>0</v>
      </c>
      <c r="R72" s="33">
        <f t="shared" si="73"/>
        <v>1</v>
      </c>
      <c r="S72" s="34">
        <f t="shared" si="67"/>
        <v>8000</v>
      </c>
      <c r="T72" s="34">
        <f t="shared" si="74"/>
        <v>0</v>
      </c>
      <c r="U72" s="34">
        <f t="shared" si="75"/>
        <v>0</v>
      </c>
      <c r="V72" s="34">
        <f t="shared" si="76"/>
        <v>0</v>
      </c>
      <c r="W72" s="34" t="str">
        <f t="shared" si="77"/>
        <v>BKN</v>
      </c>
      <c r="X72" s="34">
        <f t="shared" si="78"/>
        <v>0</v>
      </c>
      <c r="Y72" s="34">
        <f t="shared" si="79"/>
        <v>900</v>
      </c>
      <c r="Z72" s="34">
        <f t="shared" si="8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39</v>
      </c>
      <c r="D73" s="30"/>
      <c r="E73" s="29">
        <v>50</v>
      </c>
      <c r="F73" s="29">
        <v>3</v>
      </c>
      <c r="G73" s="29">
        <v>0</v>
      </c>
      <c r="H73" s="29">
        <v>4000</v>
      </c>
      <c r="I73" s="29" t="s">
        <v>52</v>
      </c>
      <c r="J73" s="29" t="s">
        <v>51</v>
      </c>
      <c r="K73" s="29">
        <v>800</v>
      </c>
      <c r="L73" s="29" t="s">
        <v>528</v>
      </c>
      <c r="M73" s="32">
        <f t="shared" si="68"/>
        <v>80</v>
      </c>
      <c r="N73" s="33">
        <f t="shared" si="69"/>
        <v>1</v>
      </c>
      <c r="O73" s="33">
        <f t="shared" si="70"/>
        <v>2</v>
      </c>
      <c r="P73" s="33">
        <f t="shared" si="71"/>
        <v>1</v>
      </c>
      <c r="Q73" s="34">
        <f t="shared" si="72"/>
        <v>0</v>
      </c>
      <c r="R73" s="33">
        <f t="shared" si="73"/>
        <v>1</v>
      </c>
      <c r="S73" s="34">
        <f t="shared" si="67"/>
        <v>8000</v>
      </c>
      <c r="T73" s="34">
        <f t="shared" si="74"/>
        <v>0</v>
      </c>
      <c r="U73" s="34">
        <f t="shared" si="75"/>
        <v>0</v>
      </c>
      <c r="V73" s="34">
        <f t="shared" si="76"/>
        <v>0</v>
      </c>
      <c r="W73" s="34" t="str">
        <f t="shared" si="77"/>
        <v>BKN</v>
      </c>
      <c r="X73" s="34">
        <f t="shared" si="78"/>
        <v>0</v>
      </c>
      <c r="Y73" s="34">
        <f t="shared" si="79"/>
        <v>900</v>
      </c>
      <c r="Z73" s="34">
        <f t="shared" si="8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34</v>
      </c>
      <c r="D74" s="30"/>
      <c r="E74" s="29">
        <v>50</v>
      </c>
      <c r="F74" s="29">
        <v>3</v>
      </c>
      <c r="G74" s="29">
        <v>0</v>
      </c>
      <c r="H74" s="29">
        <v>8000</v>
      </c>
      <c r="I74" s="29">
        <v>0</v>
      </c>
      <c r="J74" s="29" t="s">
        <v>58</v>
      </c>
      <c r="K74" s="29">
        <v>800</v>
      </c>
      <c r="L74" s="29" t="s">
        <v>529</v>
      </c>
      <c r="M74" s="32">
        <f t="shared" si="68"/>
        <v>80</v>
      </c>
      <c r="N74" s="33">
        <f t="shared" si="69"/>
        <v>1</v>
      </c>
      <c r="O74" s="33">
        <f t="shared" si="70"/>
        <v>2</v>
      </c>
      <c r="P74" s="33">
        <f t="shared" si="71"/>
        <v>1</v>
      </c>
      <c r="Q74" s="34">
        <f t="shared" si="72"/>
        <v>0</v>
      </c>
      <c r="R74" s="33">
        <f t="shared" si="73"/>
        <v>1</v>
      </c>
      <c r="S74" s="34">
        <f t="shared" si="67"/>
        <v>8000</v>
      </c>
      <c r="T74" s="34">
        <f t="shared" si="74"/>
        <v>1</v>
      </c>
      <c r="U74" s="34">
        <f t="shared" si="75"/>
        <v>0</v>
      </c>
      <c r="V74" s="34">
        <f t="shared" si="76"/>
        <v>1</v>
      </c>
      <c r="W74" s="34" t="str">
        <f t="shared" si="77"/>
        <v>BKN</v>
      </c>
      <c r="X74" s="34">
        <f t="shared" si="78"/>
        <v>1</v>
      </c>
      <c r="Y74" s="34">
        <f t="shared" si="79"/>
        <v>900</v>
      </c>
      <c r="Z74" s="34">
        <f t="shared" si="8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34</v>
      </c>
      <c r="D75" s="30"/>
      <c r="E75" s="29">
        <v>50</v>
      </c>
      <c r="F75" s="29">
        <v>3</v>
      </c>
      <c r="G75" s="29">
        <v>0</v>
      </c>
      <c r="H75" s="29">
        <v>8000</v>
      </c>
      <c r="I75" s="29">
        <v>0</v>
      </c>
      <c r="J75" s="29" t="s">
        <v>58</v>
      </c>
      <c r="K75" s="29">
        <v>800</v>
      </c>
      <c r="L75" s="29" t="s">
        <v>530</v>
      </c>
      <c r="M75" s="32">
        <f t="shared" si="68"/>
        <v>360</v>
      </c>
      <c r="N75" s="33">
        <f t="shared" si="69"/>
        <v>1</v>
      </c>
      <c r="O75" s="33">
        <f t="shared" si="70"/>
        <v>2</v>
      </c>
      <c r="P75" s="33">
        <f t="shared" si="71"/>
        <v>1</v>
      </c>
      <c r="Q75" s="34">
        <f t="shared" si="72"/>
        <v>0</v>
      </c>
      <c r="R75" s="33">
        <f t="shared" si="73"/>
        <v>1</v>
      </c>
      <c r="S75" s="34">
        <f t="shared" si="67"/>
        <v>8000</v>
      </c>
      <c r="T75" s="34">
        <f t="shared" si="74"/>
        <v>1</v>
      </c>
      <c r="U75" s="34">
        <f t="shared" si="75"/>
        <v>0</v>
      </c>
      <c r="V75" s="34">
        <f t="shared" si="76"/>
        <v>1</v>
      </c>
      <c r="W75" s="34" t="str">
        <f t="shared" si="77"/>
        <v>BKN</v>
      </c>
      <c r="X75" s="34">
        <f t="shared" si="78"/>
        <v>1</v>
      </c>
      <c r="Y75" s="34">
        <f t="shared" si="79"/>
        <v>900</v>
      </c>
      <c r="Z75" s="34">
        <f t="shared" si="8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34</v>
      </c>
      <c r="D76" s="30"/>
      <c r="E76" s="29">
        <v>50</v>
      </c>
      <c r="F76" s="29">
        <v>3</v>
      </c>
      <c r="G76" s="29">
        <v>0</v>
      </c>
      <c r="H76" s="29">
        <v>8000</v>
      </c>
      <c r="I76" s="29">
        <v>0</v>
      </c>
      <c r="J76" s="29" t="s">
        <v>58</v>
      </c>
      <c r="K76" s="29">
        <v>800</v>
      </c>
      <c r="L76" s="29" t="s">
        <v>531</v>
      </c>
      <c r="M76" s="32">
        <f t="shared" si="68"/>
        <v>0</v>
      </c>
      <c r="N76" s="33">
        <f t="shared" si="69"/>
        <v>1</v>
      </c>
      <c r="O76" s="33">
        <f t="shared" si="70"/>
        <v>0</v>
      </c>
      <c r="P76" s="33">
        <f t="shared" si="71"/>
        <v>1</v>
      </c>
      <c r="Q76" s="34">
        <f t="shared" si="72"/>
        <v>0</v>
      </c>
      <c r="R76" s="33">
        <f t="shared" si="73"/>
        <v>1</v>
      </c>
      <c r="S76" s="34">
        <f t="shared" si="67"/>
        <v>8000</v>
      </c>
      <c r="T76" s="34">
        <f t="shared" si="74"/>
        <v>1</v>
      </c>
      <c r="U76" s="34">
        <f t="shared" si="75"/>
        <v>0</v>
      </c>
      <c r="V76" s="34">
        <f t="shared" si="76"/>
        <v>1</v>
      </c>
      <c r="W76" s="34" t="str">
        <f t="shared" si="77"/>
        <v>BKN</v>
      </c>
      <c r="X76" s="34">
        <f t="shared" si="78"/>
        <v>1</v>
      </c>
      <c r="Y76" s="34">
        <f t="shared" si="79"/>
        <v>900</v>
      </c>
      <c r="Z76" s="34">
        <f t="shared" si="8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6</v>
      </c>
      <c r="U80" s="25"/>
      <c r="V80" s="25">
        <f>SUM(V64:V76)</f>
        <v>5</v>
      </c>
      <c r="W80" s="25"/>
      <c r="X80" s="25">
        <f>SUM(X64:X76)</f>
        <v>5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9</v>
      </c>
      <c r="O81" s="25"/>
      <c r="P81" s="25">
        <f>SUMIF($C64:$C76,"GENERAL",P64:P76)</f>
        <v>9</v>
      </c>
      <c r="Q81" s="25"/>
      <c r="R81" s="25">
        <f>SUMIF($C64:$C76,"GENERAL",R64:R76)</f>
        <v>9</v>
      </c>
      <c r="S81" s="25"/>
      <c r="T81" s="25">
        <f>SUMIF($C64:$C76,"GENERAL",T64:T76)</f>
        <v>3</v>
      </c>
      <c r="U81" s="25"/>
      <c r="V81" s="25">
        <f>SUMIF($C64:$C76,"GENERAL",V64:V76)</f>
        <v>2</v>
      </c>
      <c r="W81" s="25"/>
      <c r="X81" s="25">
        <f>SUMIF($C64:$C76,"GENERAL",X64:X76)</f>
        <v>2</v>
      </c>
      <c r="Y81" s="25"/>
      <c r="Z81" s="25">
        <f>SUMIF($C64:$C76,"GENERAL",Z64:Z76)</f>
        <v>9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3</v>
      </c>
      <c r="O82" s="25"/>
      <c r="P82" s="25">
        <f>SUMIF($C64:$C76,"BECMG",P64:P76)</f>
        <v>3</v>
      </c>
      <c r="Q82" s="25"/>
      <c r="R82" s="25">
        <f>SUMIF($C64:$C76,"BECMG",R64:R76)</f>
        <v>3</v>
      </c>
      <c r="S82" s="25"/>
      <c r="T82" s="25">
        <f>SUMIF($C64:$C76,"BECMG",T64:T76)</f>
        <v>3</v>
      </c>
      <c r="U82" s="25"/>
      <c r="V82" s="25">
        <f>SUMIF($C64:$C76,"BECMG",V64:V76)</f>
        <v>3</v>
      </c>
      <c r="W82" s="25"/>
      <c r="X82" s="25">
        <f>SUMIF($C64:$C76,"BECMG",X64:X76)</f>
        <v>3</v>
      </c>
      <c r="Y82" s="25"/>
      <c r="Z82" s="25">
        <f>SUMIF($C64:$C76,"BECMG",Z64:Z76)</f>
        <v>3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50</v>
      </c>
      <c r="U85" s="38"/>
      <c r="V85" s="38">
        <f>(SUM(V81:V84)/COUNTA(V64:V76))*100</f>
        <v>41.666666666666671</v>
      </c>
      <c r="W85" s="38"/>
      <c r="X85" s="38">
        <f>(SUM(X81:X84)/COUNTA(X64:X76))*100</f>
        <v>41.666666666666671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539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17</v>
      </c>
      <c r="B93" s="50">
        <v>0.75</v>
      </c>
      <c r="C93" s="29" t="s">
        <v>39</v>
      </c>
      <c r="D93" s="30"/>
      <c r="E93" s="29">
        <v>0</v>
      </c>
      <c r="F93" s="29">
        <v>0</v>
      </c>
      <c r="G93" s="29">
        <v>0</v>
      </c>
      <c r="H93" s="29">
        <v>7000</v>
      </c>
      <c r="I93" s="29">
        <v>0</v>
      </c>
      <c r="J93" s="29" t="s">
        <v>58</v>
      </c>
      <c r="K93" s="29">
        <v>900</v>
      </c>
      <c r="L93" s="29" t="s">
        <v>526</v>
      </c>
      <c r="M93" s="32">
        <f t="shared" ref="M93:M98" si="81">IF(ISNUMBER(VALUE(FIND("VRB",L93))),999,VALUE(MID(L93,20,3)))</f>
        <v>0</v>
      </c>
      <c r="N93" s="33">
        <f t="shared" ref="N93:N98" si="82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3">VALUE(MID(L93,23,2))</f>
        <v>0</v>
      </c>
      <c r="P93" s="33">
        <f t="shared" ref="P93:P98" si="84">IF(ABS(O93-F93)&lt;11,1,0)</f>
        <v>1</v>
      </c>
      <c r="Q93" s="34">
        <f t="shared" ref="Q93:Q98" si="85">IF(MID(L93,25,1)="G","GUST",0)</f>
        <v>0</v>
      </c>
      <c r="R93" s="33">
        <f t="shared" ref="R93:R98" si="86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87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8">IF(AND(IFERROR(FIND("RA",L93),0)&gt;0, IFERROR(FIND("RA",L93),0)&lt;38),"RA",0)</f>
        <v>0</v>
      </c>
      <c r="V93" s="34">
        <f t="shared" ref="V93:V98" si="89">IF(U93=I93,1,0)</f>
        <v>1</v>
      </c>
      <c r="W93" s="34" t="str">
        <f t="shared" ref="W93:W98" si="90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91">IF(OR(AND(OR(J93="SKC",J93="FEW",J93="SCT"),OR(W93="SKC",W93="FEW",W93="SCT")),(AND(OR(J93="BKN",J93="OVC"),OR(W93="BKN",W93="OVC")))),1,0)</f>
        <v>1</v>
      </c>
      <c r="Y93" s="34">
        <f t="shared" ref="Y93:Y98" si="92">IF(ISNUMBER(VALUE(FIND("CAVOK",L93))),9999,IF(ISNUMBER(VALUE(FIND("NSC",L93))),9999,(MID(L93,(FIND(W93,L93)+4),2))*100))</f>
        <v>900</v>
      </c>
      <c r="Z93" s="34">
        <f t="shared" ref="Z93:Z98" si="93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29" t="s">
        <v>39</v>
      </c>
      <c r="D94" s="30"/>
      <c r="E94" s="29">
        <v>0</v>
      </c>
      <c r="F94" s="29">
        <v>0</v>
      </c>
      <c r="G94" s="29">
        <v>0</v>
      </c>
      <c r="H94" s="29">
        <v>7000</v>
      </c>
      <c r="I94" s="29">
        <v>0</v>
      </c>
      <c r="J94" s="29" t="s">
        <v>58</v>
      </c>
      <c r="K94" s="29">
        <v>900</v>
      </c>
      <c r="L94" s="29" t="s">
        <v>527</v>
      </c>
      <c r="M94" s="32">
        <f t="shared" si="81"/>
        <v>0</v>
      </c>
      <c r="N94" s="33">
        <f t="shared" si="82"/>
        <v>1</v>
      </c>
      <c r="O94" s="33">
        <f t="shared" si="83"/>
        <v>0</v>
      </c>
      <c r="P94" s="33">
        <f t="shared" si="84"/>
        <v>1</v>
      </c>
      <c r="Q94" s="34">
        <f t="shared" si="85"/>
        <v>0</v>
      </c>
      <c r="R94" s="33">
        <f t="shared" si="86"/>
        <v>1</v>
      </c>
      <c r="S94" s="34">
        <f t="shared" ref="S94:S104" si="94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7"/>
        <v>1</v>
      </c>
      <c r="U94" s="34">
        <f t="shared" si="88"/>
        <v>0</v>
      </c>
      <c r="V94" s="34">
        <f t="shared" si="89"/>
        <v>1</v>
      </c>
      <c r="W94" s="34" t="str">
        <f t="shared" si="90"/>
        <v>BKN</v>
      </c>
      <c r="X94" s="34">
        <f t="shared" si="91"/>
        <v>1</v>
      </c>
      <c r="Y94" s="34">
        <f t="shared" si="92"/>
        <v>900</v>
      </c>
      <c r="Z94" s="34">
        <f t="shared" si="93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29" t="s">
        <v>39</v>
      </c>
      <c r="D95" s="30"/>
      <c r="E95" s="29">
        <v>0</v>
      </c>
      <c r="F95" s="29">
        <v>0</v>
      </c>
      <c r="G95" s="29">
        <v>0</v>
      </c>
      <c r="H95" s="29">
        <v>7000</v>
      </c>
      <c r="I95" s="29">
        <v>0</v>
      </c>
      <c r="J95" s="29" t="s">
        <v>58</v>
      </c>
      <c r="K95" s="29">
        <v>900</v>
      </c>
      <c r="L95" s="29" t="s">
        <v>528</v>
      </c>
      <c r="M95" s="32">
        <f t="shared" si="81"/>
        <v>80</v>
      </c>
      <c r="N95" s="33">
        <f t="shared" si="82"/>
        <v>1</v>
      </c>
      <c r="O95" s="33">
        <f t="shared" si="83"/>
        <v>2</v>
      </c>
      <c r="P95" s="33">
        <f t="shared" si="84"/>
        <v>1</v>
      </c>
      <c r="Q95" s="34">
        <f t="shared" si="85"/>
        <v>0</v>
      </c>
      <c r="R95" s="33">
        <f t="shared" si="86"/>
        <v>1</v>
      </c>
      <c r="S95" s="34">
        <f t="shared" si="94"/>
        <v>8000</v>
      </c>
      <c r="T95" s="34">
        <f t="shared" si="87"/>
        <v>1</v>
      </c>
      <c r="U95" s="34">
        <f t="shared" si="88"/>
        <v>0</v>
      </c>
      <c r="V95" s="34">
        <f t="shared" si="89"/>
        <v>1</v>
      </c>
      <c r="W95" s="34" t="str">
        <f t="shared" si="90"/>
        <v>BKN</v>
      </c>
      <c r="X95" s="34">
        <f t="shared" si="91"/>
        <v>1</v>
      </c>
      <c r="Y95" s="34">
        <f t="shared" si="92"/>
        <v>900</v>
      </c>
      <c r="Z95" s="34">
        <f t="shared" si="93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29" t="s">
        <v>39</v>
      </c>
      <c r="D96" s="30"/>
      <c r="E96" s="29">
        <v>0</v>
      </c>
      <c r="F96" s="29">
        <v>0</v>
      </c>
      <c r="G96" s="29">
        <v>0</v>
      </c>
      <c r="H96" s="29">
        <v>7000</v>
      </c>
      <c r="I96" s="29">
        <v>0</v>
      </c>
      <c r="J96" s="29" t="s">
        <v>58</v>
      </c>
      <c r="K96" s="29">
        <v>900</v>
      </c>
      <c r="L96" s="29" t="s">
        <v>529</v>
      </c>
      <c r="M96" s="32">
        <f t="shared" si="81"/>
        <v>80</v>
      </c>
      <c r="N96" s="33">
        <f t="shared" si="82"/>
        <v>1</v>
      </c>
      <c r="O96" s="33">
        <f t="shared" si="83"/>
        <v>2</v>
      </c>
      <c r="P96" s="33">
        <f t="shared" si="84"/>
        <v>1</v>
      </c>
      <c r="Q96" s="34">
        <f t="shared" si="85"/>
        <v>0</v>
      </c>
      <c r="R96" s="33">
        <f t="shared" si="86"/>
        <v>1</v>
      </c>
      <c r="S96" s="34">
        <f t="shared" si="94"/>
        <v>8000</v>
      </c>
      <c r="T96" s="34">
        <f t="shared" si="87"/>
        <v>1</v>
      </c>
      <c r="U96" s="34">
        <f t="shared" si="88"/>
        <v>0</v>
      </c>
      <c r="V96" s="34">
        <f t="shared" si="89"/>
        <v>1</v>
      </c>
      <c r="W96" s="34" t="str">
        <f t="shared" si="90"/>
        <v>BKN</v>
      </c>
      <c r="X96" s="34">
        <f t="shared" si="91"/>
        <v>1</v>
      </c>
      <c r="Y96" s="34">
        <f t="shared" si="92"/>
        <v>900</v>
      </c>
      <c r="Z96" s="34">
        <f t="shared" si="93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29" t="s">
        <v>39</v>
      </c>
      <c r="D97" s="30"/>
      <c r="E97" s="29">
        <v>0</v>
      </c>
      <c r="F97" s="29">
        <v>0</v>
      </c>
      <c r="G97" s="29">
        <v>0</v>
      </c>
      <c r="H97" s="29">
        <v>7000</v>
      </c>
      <c r="I97" s="29">
        <v>0</v>
      </c>
      <c r="J97" s="29" t="s">
        <v>58</v>
      </c>
      <c r="K97" s="29">
        <v>900</v>
      </c>
      <c r="L97" s="29" t="s">
        <v>530</v>
      </c>
      <c r="M97" s="32">
        <f t="shared" si="81"/>
        <v>360</v>
      </c>
      <c r="N97" s="33">
        <f t="shared" si="82"/>
        <v>1</v>
      </c>
      <c r="O97" s="33">
        <f t="shared" si="83"/>
        <v>2</v>
      </c>
      <c r="P97" s="33">
        <f t="shared" si="84"/>
        <v>1</v>
      </c>
      <c r="Q97" s="34">
        <f t="shared" si="85"/>
        <v>0</v>
      </c>
      <c r="R97" s="33">
        <f t="shared" si="86"/>
        <v>1</v>
      </c>
      <c r="S97" s="34">
        <f t="shared" si="94"/>
        <v>8000</v>
      </c>
      <c r="T97" s="34">
        <f t="shared" si="87"/>
        <v>1</v>
      </c>
      <c r="U97" s="34">
        <f t="shared" si="88"/>
        <v>0</v>
      </c>
      <c r="V97" s="34">
        <f t="shared" si="89"/>
        <v>1</v>
      </c>
      <c r="W97" s="34" t="str">
        <f t="shared" si="90"/>
        <v>BKN</v>
      </c>
      <c r="X97" s="34">
        <f t="shared" si="91"/>
        <v>1</v>
      </c>
      <c r="Y97" s="34">
        <f t="shared" si="92"/>
        <v>900</v>
      </c>
      <c r="Z97" s="34">
        <f t="shared" si="93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29" t="s">
        <v>39</v>
      </c>
      <c r="D98" s="30"/>
      <c r="E98" s="29">
        <v>0</v>
      </c>
      <c r="F98" s="29">
        <v>0</v>
      </c>
      <c r="G98" s="29">
        <v>0</v>
      </c>
      <c r="H98" s="29">
        <v>7000</v>
      </c>
      <c r="I98" s="29">
        <v>0</v>
      </c>
      <c r="J98" s="29" t="s">
        <v>58</v>
      </c>
      <c r="K98" s="29">
        <v>900</v>
      </c>
      <c r="L98" s="29" t="s">
        <v>531</v>
      </c>
      <c r="M98" s="32">
        <f t="shared" si="81"/>
        <v>0</v>
      </c>
      <c r="N98" s="33">
        <f t="shared" si="82"/>
        <v>1</v>
      </c>
      <c r="O98" s="33">
        <f t="shared" si="83"/>
        <v>0</v>
      </c>
      <c r="P98" s="33">
        <f t="shared" si="84"/>
        <v>1</v>
      </c>
      <c r="Q98" s="34">
        <f t="shared" si="85"/>
        <v>0</v>
      </c>
      <c r="R98" s="33">
        <f t="shared" si="86"/>
        <v>1</v>
      </c>
      <c r="S98" s="34">
        <f t="shared" si="94"/>
        <v>8000</v>
      </c>
      <c r="T98" s="34">
        <f t="shared" si="87"/>
        <v>1</v>
      </c>
      <c r="U98" s="34">
        <f t="shared" si="88"/>
        <v>0</v>
      </c>
      <c r="V98" s="34">
        <f t="shared" si="89"/>
        <v>1</v>
      </c>
      <c r="W98" s="34" t="str">
        <f t="shared" si="90"/>
        <v>BKN</v>
      </c>
      <c r="X98" s="34">
        <f t="shared" si="91"/>
        <v>1</v>
      </c>
      <c r="Y98" s="34">
        <f t="shared" si="92"/>
        <v>900</v>
      </c>
      <c r="Z98" s="34">
        <f t="shared" si="93"/>
        <v>1</v>
      </c>
      <c r="AA98" s="25"/>
      <c r="AB98" s="25"/>
      <c r="AC98" s="25"/>
      <c r="AD98" s="25"/>
      <c r="AE98" s="25"/>
    </row>
    <row r="99" spans="1:31" ht="16.5">
      <c r="A99" s="55">
        <v>18</v>
      </c>
      <c r="B99" s="54">
        <v>0</v>
      </c>
      <c r="C99" s="29" t="s">
        <v>39</v>
      </c>
      <c r="D99" s="30"/>
      <c r="E99" s="29">
        <v>0</v>
      </c>
      <c r="F99" s="29">
        <v>0</v>
      </c>
      <c r="G99" s="29">
        <v>0</v>
      </c>
      <c r="H99" s="29">
        <v>7000</v>
      </c>
      <c r="I99" s="29">
        <v>0</v>
      </c>
      <c r="J99" s="29" t="s">
        <v>58</v>
      </c>
      <c r="K99" s="29">
        <v>900</v>
      </c>
      <c r="L99" s="29" t="s">
        <v>532</v>
      </c>
      <c r="M99" s="32">
        <f t="shared" ref="M99:M104" si="95">IF(ISNUMBER(VALUE(FIND("VRB",L99))),999,VALUE(MID(L99,20,3)))</f>
        <v>10</v>
      </c>
      <c r="N99" s="33">
        <f t="shared" ref="N99:N104" si="96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7">VALUE(MID(L99,23,2))</f>
        <v>3</v>
      </c>
      <c r="P99" s="33">
        <f t="shared" ref="P99:P104" si="98">IF(ABS(O99-F99)&lt;11,1,0)</f>
        <v>1</v>
      </c>
      <c r="Q99" s="34">
        <f t="shared" ref="Q99:Q104" si="99">IF(MID(L99,25,1)="G","GUST",0)</f>
        <v>0</v>
      </c>
      <c r="R99" s="33">
        <f t="shared" ref="R99:R104" si="100">IF(G99=Q99,1,0)</f>
        <v>1</v>
      </c>
      <c r="S99" s="34">
        <f t="shared" si="94"/>
        <v>8000</v>
      </c>
      <c r="T99" s="34">
        <f t="shared" ref="T99:T104" si="101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02">IF(AND(IFERROR(FIND("RA",L99),0)&gt;0, IFERROR(FIND("RA",L99),0)&lt;38),"RA",0)</f>
        <v>0</v>
      </c>
      <c r="V99" s="34">
        <f t="shared" ref="V99:V104" si="103">IF(U99=I99,1,0)</f>
        <v>1</v>
      </c>
      <c r="W99" s="34" t="str">
        <f t="shared" ref="W99:W104" si="104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05">IF(OR(AND(OR(J99="SKC",J99="FEW",J99="SCT"),OR(W99="SKC",W99="FEW",W99="SCT")),(AND(OR(J99="BKN",J99="OVC"),OR(W99="BKN",W99="OVC")))),1,0)</f>
        <v>1</v>
      </c>
      <c r="Y99" s="34">
        <f t="shared" ref="Y99:Y104" si="106">IF(ISNUMBER(VALUE(FIND("CAVOK",L99))),9999,IF(ISNUMBER(VALUE(FIND("NSC",L99))),9999,(MID(L99,(FIND(W99,L99)+4),2))*100))</f>
        <v>900</v>
      </c>
      <c r="Z99" s="34">
        <f t="shared" ref="Z99:Z104" si="107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29" t="s">
        <v>39</v>
      </c>
      <c r="D100" s="30"/>
      <c r="E100" s="29">
        <v>0</v>
      </c>
      <c r="F100" s="29">
        <v>0</v>
      </c>
      <c r="G100" s="29">
        <v>0</v>
      </c>
      <c r="H100" s="29">
        <v>7000</v>
      </c>
      <c r="I100" s="29">
        <v>0</v>
      </c>
      <c r="J100" s="29" t="s">
        <v>58</v>
      </c>
      <c r="K100" s="29">
        <v>900</v>
      </c>
      <c r="L100" s="29" t="s">
        <v>533</v>
      </c>
      <c r="M100" s="32">
        <f t="shared" si="95"/>
        <v>270</v>
      </c>
      <c r="N100" s="33">
        <f t="shared" si="96"/>
        <v>1</v>
      </c>
      <c r="O100" s="33">
        <f t="shared" si="97"/>
        <v>3</v>
      </c>
      <c r="P100" s="33">
        <f t="shared" si="98"/>
        <v>1</v>
      </c>
      <c r="Q100" s="34">
        <f t="shared" si="99"/>
        <v>0</v>
      </c>
      <c r="R100" s="33">
        <f t="shared" si="100"/>
        <v>1</v>
      </c>
      <c r="S100" s="34">
        <f t="shared" si="94"/>
        <v>8000</v>
      </c>
      <c r="T100" s="34">
        <f t="shared" si="101"/>
        <v>1</v>
      </c>
      <c r="U100" s="34">
        <f t="shared" si="102"/>
        <v>0</v>
      </c>
      <c r="V100" s="34">
        <f t="shared" si="103"/>
        <v>1</v>
      </c>
      <c r="W100" s="34" t="str">
        <f t="shared" si="104"/>
        <v>SCT</v>
      </c>
      <c r="X100" s="34">
        <f t="shared" si="105"/>
        <v>0</v>
      </c>
      <c r="Y100" s="34">
        <f t="shared" si="106"/>
        <v>900</v>
      </c>
      <c r="Z100" s="34">
        <f t="shared" si="107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29" t="s">
        <v>39</v>
      </c>
      <c r="D101" s="30"/>
      <c r="E101" s="29">
        <v>0</v>
      </c>
      <c r="F101" s="29">
        <v>0</v>
      </c>
      <c r="G101" s="29">
        <v>0</v>
      </c>
      <c r="H101" s="29">
        <v>7000</v>
      </c>
      <c r="I101" s="29">
        <v>0</v>
      </c>
      <c r="J101" s="29" t="s">
        <v>58</v>
      </c>
      <c r="K101" s="29">
        <v>900</v>
      </c>
      <c r="L101" s="29" t="s">
        <v>534</v>
      </c>
      <c r="M101" s="32">
        <f t="shared" si="95"/>
        <v>170</v>
      </c>
      <c r="N101" s="33">
        <f t="shared" si="96"/>
        <v>1</v>
      </c>
      <c r="O101" s="33">
        <f t="shared" si="97"/>
        <v>2</v>
      </c>
      <c r="P101" s="33">
        <f t="shared" si="98"/>
        <v>1</v>
      </c>
      <c r="Q101" s="34">
        <f t="shared" si="99"/>
        <v>0</v>
      </c>
      <c r="R101" s="33">
        <f t="shared" si="100"/>
        <v>1</v>
      </c>
      <c r="S101" s="34">
        <f t="shared" si="94"/>
        <v>8000</v>
      </c>
      <c r="T101" s="34">
        <f t="shared" si="101"/>
        <v>1</v>
      </c>
      <c r="U101" s="34">
        <f t="shared" si="102"/>
        <v>0</v>
      </c>
      <c r="V101" s="34">
        <f t="shared" si="103"/>
        <v>1</v>
      </c>
      <c r="W101" s="34" t="str">
        <f t="shared" si="104"/>
        <v>SCT</v>
      </c>
      <c r="X101" s="34">
        <f t="shared" si="105"/>
        <v>0</v>
      </c>
      <c r="Y101" s="34">
        <f t="shared" si="106"/>
        <v>900</v>
      </c>
      <c r="Z101" s="34">
        <f t="shared" si="107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29" t="s">
        <v>39</v>
      </c>
      <c r="D102" s="30"/>
      <c r="E102" s="29">
        <v>0</v>
      </c>
      <c r="F102" s="29">
        <v>0</v>
      </c>
      <c r="G102" s="29">
        <v>0</v>
      </c>
      <c r="H102" s="29">
        <v>7000</v>
      </c>
      <c r="I102" s="29">
        <v>0</v>
      </c>
      <c r="J102" s="29" t="s">
        <v>58</v>
      </c>
      <c r="K102" s="29">
        <v>900</v>
      </c>
      <c r="L102" s="29" t="s">
        <v>535</v>
      </c>
      <c r="M102" s="32">
        <f t="shared" si="95"/>
        <v>250</v>
      </c>
      <c r="N102" s="33">
        <f t="shared" si="96"/>
        <v>1</v>
      </c>
      <c r="O102" s="33">
        <f t="shared" si="97"/>
        <v>4</v>
      </c>
      <c r="P102" s="33">
        <f t="shared" si="98"/>
        <v>1</v>
      </c>
      <c r="Q102" s="34">
        <f t="shared" si="99"/>
        <v>0</v>
      </c>
      <c r="R102" s="33">
        <f t="shared" si="100"/>
        <v>1</v>
      </c>
      <c r="S102" s="34">
        <f t="shared" si="94"/>
        <v>8000</v>
      </c>
      <c r="T102" s="34">
        <f t="shared" si="101"/>
        <v>1</v>
      </c>
      <c r="U102" s="34">
        <f t="shared" si="102"/>
        <v>0</v>
      </c>
      <c r="V102" s="34">
        <f t="shared" si="103"/>
        <v>1</v>
      </c>
      <c r="W102" s="34" t="str">
        <f t="shared" si="104"/>
        <v>BKN</v>
      </c>
      <c r="X102" s="34">
        <f t="shared" si="105"/>
        <v>1</v>
      </c>
      <c r="Y102" s="34">
        <f t="shared" si="106"/>
        <v>900</v>
      </c>
      <c r="Z102" s="34">
        <f t="shared" si="107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29" t="s">
        <v>39</v>
      </c>
      <c r="D103" s="30"/>
      <c r="E103" s="29">
        <v>0</v>
      </c>
      <c r="F103" s="29">
        <v>0</v>
      </c>
      <c r="G103" s="29">
        <v>0</v>
      </c>
      <c r="H103" s="29">
        <v>7000</v>
      </c>
      <c r="I103" s="29">
        <v>0</v>
      </c>
      <c r="J103" s="29" t="s">
        <v>58</v>
      </c>
      <c r="K103" s="29">
        <v>900</v>
      </c>
      <c r="L103" s="29" t="s">
        <v>536</v>
      </c>
      <c r="M103" s="32">
        <f t="shared" si="95"/>
        <v>320</v>
      </c>
      <c r="N103" s="33">
        <f t="shared" si="96"/>
        <v>1</v>
      </c>
      <c r="O103" s="33">
        <f t="shared" si="97"/>
        <v>3</v>
      </c>
      <c r="P103" s="33">
        <f t="shared" si="98"/>
        <v>1</v>
      </c>
      <c r="Q103" s="34">
        <f t="shared" si="99"/>
        <v>0</v>
      </c>
      <c r="R103" s="33">
        <f t="shared" si="100"/>
        <v>1</v>
      </c>
      <c r="S103" s="34">
        <f t="shared" si="94"/>
        <v>8000</v>
      </c>
      <c r="T103" s="34">
        <f t="shared" si="101"/>
        <v>1</v>
      </c>
      <c r="U103" s="34">
        <f t="shared" si="102"/>
        <v>0</v>
      </c>
      <c r="V103" s="34">
        <f t="shared" si="103"/>
        <v>1</v>
      </c>
      <c r="W103" s="34" t="str">
        <f t="shared" si="104"/>
        <v>SCT</v>
      </c>
      <c r="X103" s="34">
        <f t="shared" si="105"/>
        <v>0</v>
      </c>
      <c r="Y103" s="34">
        <f t="shared" si="106"/>
        <v>900</v>
      </c>
      <c r="Z103" s="34">
        <f t="shared" si="107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29" t="s">
        <v>39</v>
      </c>
      <c r="D104" s="30"/>
      <c r="E104" s="29">
        <v>0</v>
      </c>
      <c r="F104" s="29">
        <v>0</v>
      </c>
      <c r="G104" s="29">
        <v>0</v>
      </c>
      <c r="H104" s="29">
        <v>7000</v>
      </c>
      <c r="I104" s="29">
        <v>0</v>
      </c>
      <c r="J104" s="29" t="s">
        <v>58</v>
      </c>
      <c r="K104" s="29">
        <v>900</v>
      </c>
      <c r="L104" s="29" t="s">
        <v>537</v>
      </c>
      <c r="M104" s="32">
        <f t="shared" si="95"/>
        <v>210</v>
      </c>
      <c r="N104" s="33">
        <f t="shared" si="96"/>
        <v>1</v>
      </c>
      <c r="O104" s="33">
        <f t="shared" si="97"/>
        <v>3</v>
      </c>
      <c r="P104" s="33">
        <f t="shared" si="98"/>
        <v>1</v>
      </c>
      <c r="Q104" s="34">
        <f t="shared" si="99"/>
        <v>0</v>
      </c>
      <c r="R104" s="33">
        <f t="shared" si="100"/>
        <v>1</v>
      </c>
      <c r="S104" s="34">
        <f t="shared" si="94"/>
        <v>8000</v>
      </c>
      <c r="T104" s="34">
        <f t="shared" si="101"/>
        <v>1</v>
      </c>
      <c r="U104" s="34">
        <f t="shared" si="102"/>
        <v>0</v>
      </c>
      <c r="V104" s="34">
        <f t="shared" si="103"/>
        <v>1</v>
      </c>
      <c r="W104" s="34" t="str">
        <f t="shared" si="104"/>
        <v>SCT</v>
      </c>
      <c r="X104" s="34">
        <f t="shared" si="105"/>
        <v>0</v>
      </c>
      <c r="Y104" s="34">
        <f t="shared" si="106"/>
        <v>900</v>
      </c>
      <c r="Z104" s="34">
        <f t="shared" si="107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8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8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66.666666666666657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682E0-FA49-9C40-97C3-085E34B986FD}">
  <sheetPr>
    <tabColor theme="0"/>
  </sheetPr>
  <dimension ref="A1:AE115"/>
  <sheetViews>
    <sheetView zoomScale="71" zoomScaleNormal="71" workbookViewId="0">
      <selection activeCell="L99" sqref="L99:L104"/>
    </sheetView>
  </sheetViews>
  <sheetFormatPr defaultColWidth="11.5" defaultRowHeight="15.75"/>
  <cols>
    <col min="12" max="12" width="48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540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18</v>
      </c>
      <c r="B7" s="28">
        <v>0</v>
      </c>
      <c r="C7" s="29" t="s">
        <v>39</v>
      </c>
      <c r="D7" s="29"/>
      <c r="E7" s="29">
        <v>0</v>
      </c>
      <c r="F7" s="29">
        <v>0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29" t="s">
        <v>532</v>
      </c>
      <c r="M7" s="32">
        <f t="shared" ref="M7:M14" si="0">IF(ISNUMBER(VALUE(FIND("VRB",L7))),999,VALUE(MID(L7,20,3)))</f>
        <v>10</v>
      </c>
      <c r="N7" s="33">
        <f t="shared" ref="N7:N14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4" si="2">VALUE(MID(L7,23,2))</f>
        <v>3</v>
      </c>
      <c r="P7" s="33">
        <f t="shared" ref="P7:P14" si="3">IF(ABS(O7-F7)&lt;11,1,0)</f>
        <v>1</v>
      </c>
      <c r="Q7" s="34">
        <f t="shared" ref="Q7:Q14" si="4">IF(MID(L7,25,1)="G","GUST",0)</f>
        <v>0</v>
      </c>
      <c r="R7" s="33">
        <f t="shared" ref="R7:R14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4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4" si="7">IF(AND(IFERROR(FIND("RA",L7),0)&gt;0, IFERROR(FIND("RA",L7),0)&lt;38),"RA",0)</f>
        <v>0</v>
      </c>
      <c r="V7" s="34">
        <f t="shared" ref="V7:V14" si="8">IF(U7=I7,1,0)</f>
        <v>1</v>
      </c>
      <c r="W7" s="34" t="str">
        <f t="shared" ref="W7:W14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4" si="10">IF(OR(AND(OR(J7="SKC",J7="FEW",J7="SCT"),OR(W7="SKC",W7="FEW",W7="SCT")),(AND(OR(J7="BKN",J7="OVC"),OR(W7="BKN",W7="OVC")))),1,0)</f>
        <v>1</v>
      </c>
      <c r="Y7" s="34">
        <f t="shared" ref="Y7:Y14" si="11">IF(ISNUMBER(VALUE(FIND("CAVOK",L7))),9999,IF(ISNUMBER(VALUE(FIND("NSC",L7))),9999,(MID(L7,(FIND(W7,L7)+4),2))*100))</f>
        <v>900</v>
      </c>
      <c r="Z7" s="34">
        <f t="shared" ref="Z7:Z14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0</v>
      </c>
      <c r="F8" s="29">
        <v>0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29" t="s">
        <v>533</v>
      </c>
      <c r="M8" s="32">
        <f t="shared" si="0"/>
        <v>270</v>
      </c>
      <c r="N8" s="33">
        <f t="shared" si="1"/>
        <v>1</v>
      </c>
      <c r="O8" s="33">
        <f t="shared" si="2"/>
        <v>3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4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SCT</v>
      </c>
      <c r="X8" s="34">
        <f t="shared" si="10"/>
        <v>0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0</v>
      </c>
      <c r="F9" s="29">
        <v>0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29" t="s">
        <v>534</v>
      </c>
      <c r="M9" s="32">
        <f t="shared" si="0"/>
        <v>170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SCT</v>
      </c>
      <c r="X9" s="34">
        <f t="shared" si="10"/>
        <v>0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0</v>
      </c>
      <c r="F10" s="29">
        <v>0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29" t="s">
        <v>535</v>
      </c>
      <c r="M10" s="32">
        <f t="shared" si="0"/>
        <v>250</v>
      </c>
      <c r="N10" s="33">
        <f t="shared" si="1"/>
        <v>1</v>
      </c>
      <c r="O10" s="33">
        <f t="shared" si="2"/>
        <v>4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0</v>
      </c>
      <c r="F11" s="29">
        <v>0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29" t="s">
        <v>536</v>
      </c>
      <c r="M11" s="32">
        <f t="shared" si="0"/>
        <v>320</v>
      </c>
      <c r="N11" s="33">
        <f t="shared" si="1"/>
        <v>1</v>
      </c>
      <c r="O11" s="33">
        <f t="shared" si="2"/>
        <v>3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SCT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0</v>
      </c>
      <c r="F12" s="29">
        <v>0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29" t="s">
        <v>537</v>
      </c>
      <c r="M12" s="32">
        <f t="shared" si="0"/>
        <v>210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SCT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0</v>
      </c>
      <c r="F13" s="29">
        <v>0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29" t="s">
        <v>542</v>
      </c>
      <c r="M13" s="32">
        <f t="shared" si="0"/>
        <v>240</v>
      </c>
      <c r="N13" s="33">
        <f t="shared" si="1"/>
        <v>1</v>
      </c>
      <c r="O13" s="33">
        <f t="shared" si="2"/>
        <v>4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SCT</v>
      </c>
      <c r="X13" s="34">
        <f t="shared" si="10"/>
        <v>0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0</v>
      </c>
      <c r="F14" s="29">
        <v>0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29" t="s">
        <v>543</v>
      </c>
      <c r="M14" s="32">
        <f t="shared" si="0"/>
        <v>22</v>
      </c>
      <c r="N14" s="33">
        <f t="shared" si="1"/>
        <v>1</v>
      </c>
      <c r="O14" s="33">
        <f t="shared" si="2"/>
        <v>0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SCT</v>
      </c>
      <c r="X14" s="34">
        <f t="shared" si="10"/>
        <v>0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40</v>
      </c>
      <c r="D15" s="29"/>
      <c r="E15" s="29">
        <v>0</v>
      </c>
      <c r="F15" s="29">
        <v>0</v>
      </c>
      <c r="G15" s="29">
        <v>0</v>
      </c>
      <c r="H15" s="29">
        <v>4000</v>
      </c>
      <c r="I15" s="29" t="s">
        <v>52</v>
      </c>
      <c r="J15" s="29" t="s">
        <v>51</v>
      </c>
      <c r="K15" s="29">
        <v>800</v>
      </c>
      <c r="L15" t="s">
        <v>547</v>
      </c>
      <c r="M15" s="32">
        <f t="shared" ref="M15:M18" si="14">IF(ISNUMBER(VALUE(FIND("VRB",L15))),999,VALUE(MID(L15,20,3)))</f>
        <v>200</v>
      </c>
      <c r="N15" s="33">
        <f t="shared" ref="N15:N18" si="15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8" si="16">VALUE(MID(L15,23,2))</f>
        <v>1</v>
      </c>
      <c r="P15" s="33">
        <f t="shared" ref="P15:P18" si="17">IF(ABS(O15-F15)&lt;11,1,0)</f>
        <v>1</v>
      </c>
      <c r="Q15" s="34">
        <f t="shared" ref="Q15:Q18" si="18">IF(MID(L15,25,1)="G","GUST",0)</f>
        <v>0</v>
      </c>
      <c r="R15" s="33">
        <f t="shared" ref="R15:R18" si="19">IF(G15=Q15,1,0)</f>
        <v>1</v>
      </c>
      <c r="S15" s="34">
        <f t="shared" ref="S15:S18" si="20">IF(ISNUMBER(VALUE(MID(L15,(FIND("KT",L15,FIND("Z",L15))+3),4))),VALUE(MID(L15,(FIND("KT",L15,FIND("Z",L15))+3),4)),IF(ISNUMBER(VALUE(MID(L15,(FIND("0V",L15)+6),4))),VALUE(MID(L15,(FIND("0V",L15)+6),4)),9999))</f>
        <v>8000</v>
      </c>
      <c r="T15" s="34">
        <f t="shared" ref="T15:T18" si="21">IF(OR(AND(H15&lt;801,S15&lt;801),AND(H15&gt;799,H15&lt;1501,S15&gt;799,S15&lt;1502),AND(H15&gt;1499,H15&lt;3001,S15&gt;1499,S15&lt;3001),AND(H15&gt;2999,H15&lt;5001,S15&gt;2999,S15&lt;5001),AND(H15&gt;4999,S15&gt;4999)),1,0)</f>
        <v>0</v>
      </c>
      <c r="U15" s="34">
        <f t="shared" ref="U15:U18" si="22">IF(AND(IFERROR(FIND("RA",L15),0)&gt;0, IFERROR(FIND("RA",L15),0)&lt;38),"RA",0)</f>
        <v>0</v>
      </c>
      <c r="V15" s="34">
        <f t="shared" ref="V15:V18" si="23">IF(U15=I15,1,0)</f>
        <v>0</v>
      </c>
      <c r="W15" s="34" t="str">
        <f t="shared" ref="W15:W18" si="24"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SCT</v>
      </c>
      <c r="X15" s="34">
        <f t="shared" ref="X15:X18" si="25">IF(OR(AND(OR(J15="SKC",J15="FEW",J15="SCT"),OR(W15="SKC",W15="FEW",W15="SCT")),(AND(OR(J15="BKN",J15="OVC"),OR(W15="BKN",W15="OVC")))),1,0)</f>
        <v>1</v>
      </c>
      <c r="Y15" s="34">
        <f t="shared" ref="Y15:Y18" si="26">IF(ISNUMBER(VALUE(FIND("CAVOK",L15))),9999,IF(ISNUMBER(VALUE(FIND("NSC",L15))),9999,(MID(L15,(FIND(W15,L15)+4),2))*100))</f>
        <v>900</v>
      </c>
      <c r="Z15" s="34">
        <f t="shared" ref="Z15:Z18" si="27">IF(AND(Y15&lt;1001,ABS(K15-Y15)&lt;101),1,IF(AND(Y15&gt;1000,ABS(Y15-K15)/K15&lt;0.30005),1,0))</f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40</v>
      </c>
      <c r="D16" s="29"/>
      <c r="E16" s="29">
        <v>0</v>
      </c>
      <c r="F16" s="29">
        <v>0</v>
      </c>
      <c r="G16" s="29">
        <v>0</v>
      </c>
      <c r="H16" s="29">
        <v>4000</v>
      </c>
      <c r="I16" s="29" t="s">
        <v>52</v>
      </c>
      <c r="J16" s="29" t="s">
        <v>51</v>
      </c>
      <c r="K16" s="29">
        <v>800</v>
      </c>
      <c r="L16" t="s">
        <v>546</v>
      </c>
      <c r="M16" s="32">
        <f t="shared" si="14"/>
        <v>300</v>
      </c>
      <c r="N16" s="33">
        <f t="shared" si="15"/>
        <v>1</v>
      </c>
      <c r="O16" s="33">
        <f t="shared" si="16"/>
        <v>3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20"/>
        <v>8000</v>
      </c>
      <c r="T16" s="34">
        <f t="shared" si="21"/>
        <v>0</v>
      </c>
      <c r="U16" s="34">
        <f t="shared" si="22"/>
        <v>0</v>
      </c>
      <c r="V16" s="34">
        <f t="shared" si="23"/>
        <v>0</v>
      </c>
      <c r="W16" s="34" t="str">
        <f t="shared" si="24"/>
        <v>FEW</v>
      </c>
      <c r="X16" s="34">
        <f t="shared" si="25"/>
        <v>1</v>
      </c>
      <c r="Y16" s="34">
        <f t="shared" si="26"/>
        <v>800</v>
      </c>
      <c r="Z16" s="34">
        <f t="shared" si="27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40</v>
      </c>
      <c r="D17" s="29"/>
      <c r="E17" s="29">
        <v>0</v>
      </c>
      <c r="F17" s="29">
        <v>0</v>
      </c>
      <c r="G17" s="29">
        <v>0</v>
      </c>
      <c r="H17" s="29">
        <v>4000</v>
      </c>
      <c r="I17" s="29" t="s">
        <v>52</v>
      </c>
      <c r="J17" s="29" t="s">
        <v>51</v>
      </c>
      <c r="K17" s="29">
        <v>800</v>
      </c>
      <c r="L17" t="s">
        <v>545</v>
      </c>
      <c r="M17" s="32">
        <f t="shared" si="14"/>
        <v>300</v>
      </c>
      <c r="N17" s="33">
        <f t="shared" si="15"/>
        <v>1</v>
      </c>
      <c r="O17" s="33">
        <f t="shared" si="16"/>
        <v>3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20"/>
        <v>8000</v>
      </c>
      <c r="T17" s="34">
        <f t="shared" si="21"/>
        <v>0</v>
      </c>
      <c r="U17" s="34">
        <f t="shared" si="22"/>
        <v>0</v>
      </c>
      <c r="V17" s="34">
        <f t="shared" si="23"/>
        <v>0</v>
      </c>
      <c r="W17" s="34" t="str">
        <f t="shared" si="24"/>
        <v>FEW</v>
      </c>
      <c r="X17" s="34">
        <f t="shared" si="25"/>
        <v>1</v>
      </c>
      <c r="Y17" s="34">
        <f t="shared" si="26"/>
        <v>800</v>
      </c>
      <c r="Z17" s="34">
        <f t="shared" si="27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0</v>
      </c>
      <c r="F18" s="29">
        <v>0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t="s">
        <v>544</v>
      </c>
      <c r="M18" s="32">
        <f t="shared" si="14"/>
        <v>350</v>
      </c>
      <c r="N18" s="33">
        <f t="shared" si="15"/>
        <v>1</v>
      </c>
      <c r="O18" s="33">
        <f t="shared" si="16"/>
        <v>4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20"/>
        <v>2000</v>
      </c>
      <c r="T18" s="34">
        <f t="shared" si="21"/>
        <v>0</v>
      </c>
      <c r="U18" s="34" t="str">
        <f t="shared" si="22"/>
        <v>RA</v>
      </c>
      <c r="V18" s="34">
        <f t="shared" si="23"/>
        <v>0</v>
      </c>
      <c r="W18" s="34" t="str">
        <f t="shared" si="24"/>
        <v>FEW</v>
      </c>
      <c r="X18" s="34">
        <f t="shared" si="25"/>
        <v>0</v>
      </c>
      <c r="Y18" s="34">
        <f t="shared" si="26"/>
        <v>800</v>
      </c>
      <c r="Z18" s="34">
        <f t="shared" si="27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8</v>
      </c>
      <c r="U23" s="25"/>
      <c r="V23" s="25">
        <f>SUM(V7:V18)</f>
        <v>8</v>
      </c>
      <c r="W23" s="25"/>
      <c r="X23" s="25">
        <f>SUM(X7:X18)</f>
        <v>5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9</v>
      </c>
      <c r="O24" s="25"/>
      <c r="P24" s="25">
        <f>SUMIF($C7:$C18,"GENERAL",P7:P18)</f>
        <v>9</v>
      </c>
      <c r="Q24" s="25"/>
      <c r="R24" s="25">
        <f>SUMIF($C7:$C18,"GENERAL",R7:R18)</f>
        <v>9</v>
      </c>
      <c r="S24" s="25"/>
      <c r="T24" s="25">
        <f>SUMIF($C7:$C18,"GENERAL",T7:T18)</f>
        <v>8</v>
      </c>
      <c r="U24" s="25"/>
      <c r="V24" s="25">
        <f>SUMIF($C7:$C18,"GENERAL",V7:V18)</f>
        <v>8</v>
      </c>
      <c r="W24" s="25"/>
      <c r="X24" s="25">
        <f>SUMIF($C7:$C18,"GENERAL",X7:X18)</f>
        <v>2</v>
      </c>
      <c r="Y24" s="25"/>
      <c r="Z24" s="25">
        <f>SUMIF($C7:$C18,"GENERAL",Z7:Z18)</f>
        <v>9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3</v>
      </c>
      <c r="M27" s="42">
        <f>SUMIF($C7:$C18,"TEMPO",N7:N18)</f>
        <v>3</v>
      </c>
      <c r="N27" s="42">
        <f>M27</f>
        <v>3</v>
      </c>
      <c r="O27" s="42">
        <f>SUMIF($C7:$C18,"TEMPO",P7:P18)</f>
        <v>3</v>
      </c>
      <c r="P27" s="42">
        <f>O27</f>
        <v>3</v>
      </c>
      <c r="Q27" s="42">
        <f>SUMIF($C7:$C18,"TEMPO",R7:R18)</f>
        <v>3</v>
      </c>
      <c r="R27" s="42">
        <f>Q27</f>
        <v>3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3</v>
      </c>
      <c r="X27" s="42">
        <f>W27</f>
        <v>3</v>
      </c>
      <c r="Y27" s="42">
        <f>SUMIF($C7:$C18,"TEMPO",Z7:Z18)</f>
        <v>3</v>
      </c>
      <c r="Z27" s="42">
        <f>Y27</f>
        <v>3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66.666666666666657</v>
      </c>
      <c r="U28" s="38"/>
      <c r="V28" s="38">
        <f>(SUM(V24:V27)/COUNTA(V7:V18))*100</f>
        <v>66.666666666666657</v>
      </c>
      <c r="W28" s="38"/>
      <c r="X28" s="38">
        <f>(SUM(X24:X27)/COUNTA(X7:X18))*100</f>
        <v>41.666666666666671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541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18</v>
      </c>
      <c r="B36" s="28">
        <v>0.25</v>
      </c>
      <c r="C36" s="29" t="s">
        <v>39</v>
      </c>
      <c r="D36" s="29"/>
      <c r="E36" s="29">
        <v>210</v>
      </c>
      <c r="F36" s="29">
        <v>3</v>
      </c>
      <c r="G36" s="29">
        <v>0</v>
      </c>
      <c r="H36" s="29">
        <v>8000</v>
      </c>
      <c r="I36" s="29">
        <v>0</v>
      </c>
      <c r="J36" s="29" t="s">
        <v>53</v>
      </c>
      <c r="K36" s="29">
        <v>900</v>
      </c>
      <c r="L36" s="29" t="s">
        <v>542</v>
      </c>
      <c r="M36" s="32">
        <f t="shared" ref="M36:M41" si="28">IF(ISNUMBER(VALUE(FIND("VRB",L36))),999,VALUE(MID(L36,20,3)))</f>
        <v>240</v>
      </c>
      <c r="N36" s="33">
        <f t="shared" ref="N36:N41" si="29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30">VALUE(MID(L36,23,2))</f>
        <v>4</v>
      </c>
      <c r="P36" s="33">
        <f t="shared" ref="P36:P41" si="31">IF(ABS(O36-F36)&lt;11,1,0)</f>
        <v>1</v>
      </c>
      <c r="Q36" s="34">
        <f t="shared" ref="Q36:Q41" si="32">IF(MID(L36,25,1)="G","GUST",0)</f>
        <v>0</v>
      </c>
      <c r="R36" s="33">
        <f t="shared" ref="R36:R41" si="33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34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5">IF(AND(IFERROR(FIND("RA",L36),0)&gt;0, IFERROR(FIND("RA",L36),0)&lt;38),"RA",0)</f>
        <v>0</v>
      </c>
      <c r="V36" s="34">
        <f t="shared" ref="V36:V41" si="36">IF(U36=I36,1,0)</f>
        <v>1</v>
      </c>
      <c r="W36" s="34" t="str">
        <f t="shared" ref="W36:W41" si="37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SCT</v>
      </c>
      <c r="X36" s="34">
        <f t="shared" ref="X36:X41" si="38">IF(OR(AND(OR(J36="SKC",J36="FEW",J36="SCT"),OR(W36="SKC",W36="FEW",W36="SCT")),(AND(OR(J36="BKN",J36="OVC"),OR(W36="BKN",W36="OVC")))),1,0)</f>
        <v>1</v>
      </c>
      <c r="Y36" s="34">
        <f t="shared" ref="Y36:Y41" si="39">IF(ISNUMBER(VALUE(FIND("CAVOK",L36))),9999,IF(ISNUMBER(VALUE(FIND("NSC",L36))),9999,(MID(L36,(FIND(W36,L36)+4),2))*100))</f>
        <v>900</v>
      </c>
      <c r="Z36" s="34">
        <f t="shared" ref="Z36:Z41" si="40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29"/>
      <c r="E37" s="29">
        <v>210</v>
      </c>
      <c r="F37" s="29">
        <v>3</v>
      </c>
      <c r="G37" s="29">
        <v>0</v>
      </c>
      <c r="H37" s="29">
        <v>8000</v>
      </c>
      <c r="I37" s="29">
        <v>0</v>
      </c>
      <c r="J37" s="29" t="s">
        <v>53</v>
      </c>
      <c r="K37" s="29">
        <v>900</v>
      </c>
      <c r="L37" s="29" t="s">
        <v>543</v>
      </c>
      <c r="M37" s="32">
        <f t="shared" si="28"/>
        <v>22</v>
      </c>
      <c r="N37" s="33">
        <f t="shared" si="29"/>
        <v>1</v>
      </c>
      <c r="O37" s="33">
        <f t="shared" si="30"/>
        <v>0</v>
      </c>
      <c r="P37" s="33">
        <f t="shared" si="31"/>
        <v>1</v>
      </c>
      <c r="Q37" s="34">
        <f t="shared" si="32"/>
        <v>0</v>
      </c>
      <c r="R37" s="33">
        <f t="shared" si="33"/>
        <v>1</v>
      </c>
      <c r="S37" s="34">
        <f t="shared" ref="S37:S41" si="41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4"/>
        <v>1</v>
      </c>
      <c r="U37" s="34">
        <f t="shared" si="35"/>
        <v>0</v>
      </c>
      <c r="V37" s="34">
        <f t="shared" si="36"/>
        <v>1</v>
      </c>
      <c r="W37" s="34" t="str">
        <f t="shared" si="37"/>
        <v>SCT</v>
      </c>
      <c r="X37" s="34">
        <f t="shared" si="38"/>
        <v>1</v>
      </c>
      <c r="Y37" s="34">
        <f t="shared" si="39"/>
        <v>900</v>
      </c>
      <c r="Z37" s="34">
        <f t="shared" si="40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29"/>
      <c r="E38" s="29">
        <v>210</v>
      </c>
      <c r="F38" s="29">
        <v>3</v>
      </c>
      <c r="G38" s="29">
        <v>0</v>
      </c>
      <c r="H38" s="29">
        <v>8000</v>
      </c>
      <c r="I38" s="29">
        <v>0</v>
      </c>
      <c r="J38" s="29" t="s">
        <v>53</v>
      </c>
      <c r="K38" s="29">
        <v>900</v>
      </c>
      <c r="L38" t="s">
        <v>547</v>
      </c>
      <c r="M38" s="32">
        <f t="shared" si="28"/>
        <v>200</v>
      </c>
      <c r="N38" s="33">
        <f t="shared" si="29"/>
        <v>1</v>
      </c>
      <c r="O38" s="33">
        <f t="shared" si="30"/>
        <v>1</v>
      </c>
      <c r="P38" s="33">
        <f t="shared" si="31"/>
        <v>1</v>
      </c>
      <c r="Q38" s="34">
        <f t="shared" si="32"/>
        <v>0</v>
      </c>
      <c r="R38" s="33">
        <f t="shared" si="33"/>
        <v>1</v>
      </c>
      <c r="S38" s="34">
        <f t="shared" si="41"/>
        <v>8000</v>
      </c>
      <c r="T38" s="34">
        <f t="shared" si="34"/>
        <v>1</v>
      </c>
      <c r="U38" s="34">
        <f t="shared" si="35"/>
        <v>0</v>
      </c>
      <c r="V38" s="34">
        <f t="shared" si="36"/>
        <v>1</v>
      </c>
      <c r="W38" s="34" t="str">
        <f t="shared" si="37"/>
        <v>SCT</v>
      </c>
      <c r="X38" s="34">
        <f t="shared" si="38"/>
        <v>1</v>
      </c>
      <c r="Y38" s="34">
        <f t="shared" si="39"/>
        <v>900</v>
      </c>
      <c r="Z38" s="34">
        <f t="shared" si="40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29"/>
      <c r="E39" s="29">
        <v>210</v>
      </c>
      <c r="F39" s="29">
        <v>3</v>
      </c>
      <c r="G39" s="29">
        <v>0</v>
      </c>
      <c r="H39" s="29">
        <v>4000</v>
      </c>
      <c r="I39" s="29" t="s">
        <v>52</v>
      </c>
      <c r="J39" s="29" t="s">
        <v>51</v>
      </c>
      <c r="K39" s="29">
        <v>800</v>
      </c>
      <c r="L39" t="s">
        <v>546</v>
      </c>
      <c r="M39" s="32">
        <f t="shared" si="28"/>
        <v>300</v>
      </c>
      <c r="N39" s="33">
        <f t="shared" si="29"/>
        <v>1</v>
      </c>
      <c r="O39" s="33">
        <f t="shared" si="30"/>
        <v>3</v>
      </c>
      <c r="P39" s="33">
        <f t="shared" si="31"/>
        <v>1</v>
      </c>
      <c r="Q39" s="34">
        <f t="shared" si="32"/>
        <v>0</v>
      </c>
      <c r="R39" s="33">
        <f t="shared" si="33"/>
        <v>1</v>
      </c>
      <c r="S39" s="34">
        <f t="shared" si="41"/>
        <v>8000</v>
      </c>
      <c r="T39" s="34">
        <f t="shared" si="34"/>
        <v>0</v>
      </c>
      <c r="U39" s="34">
        <f t="shared" si="35"/>
        <v>0</v>
      </c>
      <c r="V39" s="34">
        <f t="shared" si="36"/>
        <v>0</v>
      </c>
      <c r="W39" s="34" t="str">
        <f t="shared" si="37"/>
        <v>FEW</v>
      </c>
      <c r="X39" s="34">
        <f t="shared" si="38"/>
        <v>1</v>
      </c>
      <c r="Y39" s="34">
        <f t="shared" si="39"/>
        <v>800</v>
      </c>
      <c r="Z39" s="34">
        <f t="shared" si="40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29"/>
      <c r="E40" s="29">
        <v>210</v>
      </c>
      <c r="F40" s="29">
        <v>3</v>
      </c>
      <c r="G40" s="29">
        <v>0</v>
      </c>
      <c r="H40" s="29">
        <v>4000</v>
      </c>
      <c r="I40" s="29" t="s">
        <v>52</v>
      </c>
      <c r="J40" s="29" t="s">
        <v>51</v>
      </c>
      <c r="K40" s="29">
        <v>800</v>
      </c>
      <c r="L40" t="s">
        <v>545</v>
      </c>
      <c r="M40" s="32">
        <f t="shared" si="28"/>
        <v>300</v>
      </c>
      <c r="N40" s="33">
        <f t="shared" si="29"/>
        <v>1</v>
      </c>
      <c r="O40" s="33">
        <f t="shared" si="30"/>
        <v>3</v>
      </c>
      <c r="P40" s="33">
        <f t="shared" si="31"/>
        <v>1</v>
      </c>
      <c r="Q40" s="34">
        <f t="shared" si="32"/>
        <v>0</v>
      </c>
      <c r="R40" s="33">
        <f t="shared" si="33"/>
        <v>1</v>
      </c>
      <c r="S40" s="34">
        <f t="shared" si="41"/>
        <v>8000</v>
      </c>
      <c r="T40" s="34">
        <f t="shared" si="34"/>
        <v>0</v>
      </c>
      <c r="U40" s="34">
        <f t="shared" si="35"/>
        <v>0</v>
      </c>
      <c r="V40" s="34">
        <f t="shared" si="36"/>
        <v>0</v>
      </c>
      <c r="W40" s="34" t="str">
        <f t="shared" si="37"/>
        <v>FEW</v>
      </c>
      <c r="X40" s="34">
        <f t="shared" si="38"/>
        <v>1</v>
      </c>
      <c r="Y40" s="34">
        <f t="shared" si="39"/>
        <v>800</v>
      </c>
      <c r="Z40" s="34">
        <f t="shared" si="40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29"/>
      <c r="E41" s="29">
        <v>210</v>
      </c>
      <c r="F41" s="29">
        <v>3</v>
      </c>
      <c r="G41" s="29">
        <v>0</v>
      </c>
      <c r="H41" s="29">
        <v>4000</v>
      </c>
      <c r="I41" s="29" t="s">
        <v>52</v>
      </c>
      <c r="J41" s="29" t="s">
        <v>51</v>
      </c>
      <c r="K41" s="29">
        <v>800</v>
      </c>
      <c r="L41" t="s">
        <v>544</v>
      </c>
      <c r="M41" s="32">
        <f t="shared" si="28"/>
        <v>350</v>
      </c>
      <c r="N41" s="33">
        <f t="shared" si="29"/>
        <v>1</v>
      </c>
      <c r="O41" s="33">
        <f t="shared" si="30"/>
        <v>4</v>
      </c>
      <c r="P41" s="33">
        <f t="shared" si="31"/>
        <v>1</v>
      </c>
      <c r="Q41" s="34">
        <f t="shared" si="32"/>
        <v>0</v>
      </c>
      <c r="R41" s="33">
        <f t="shared" si="33"/>
        <v>1</v>
      </c>
      <c r="S41" s="34">
        <f t="shared" si="41"/>
        <v>2000</v>
      </c>
      <c r="T41" s="34">
        <f t="shared" si="34"/>
        <v>0</v>
      </c>
      <c r="U41" s="34" t="str">
        <f t="shared" si="35"/>
        <v>RA</v>
      </c>
      <c r="V41" s="34">
        <f t="shared" si="36"/>
        <v>1</v>
      </c>
      <c r="W41" s="34" t="str">
        <f t="shared" si="37"/>
        <v>FEW</v>
      </c>
      <c r="X41" s="34">
        <f t="shared" si="38"/>
        <v>1</v>
      </c>
      <c r="Y41" s="34">
        <f t="shared" si="39"/>
        <v>800</v>
      </c>
      <c r="Z41" s="34">
        <f t="shared" si="40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29"/>
      <c r="E42" s="29">
        <v>210</v>
      </c>
      <c r="F42" s="29">
        <v>3</v>
      </c>
      <c r="G42" s="29">
        <v>0</v>
      </c>
      <c r="H42" s="29">
        <v>8000</v>
      </c>
      <c r="I42" s="29">
        <v>0</v>
      </c>
      <c r="J42" s="29" t="s">
        <v>53</v>
      </c>
      <c r="K42" s="29">
        <v>900</v>
      </c>
      <c r="L42" t="s">
        <v>553</v>
      </c>
      <c r="M42" s="32">
        <f t="shared" ref="M42:M47" si="42">IF(ISNUMBER(VALUE(FIND("VRB",L42))),999,VALUE(MID(L42,20,3)))</f>
        <v>0</v>
      </c>
      <c r="N42" s="33">
        <f t="shared" ref="N42:N47" si="43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4">VALUE(MID(L42,23,2))</f>
        <v>0</v>
      </c>
      <c r="P42" s="33">
        <f t="shared" ref="P42:P47" si="45">IF(ABS(O42-F42)&lt;11,1,0)</f>
        <v>1</v>
      </c>
      <c r="Q42" s="34">
        <f t="shared" ref="Q42:Q47" si="46">IF(MID(L42,25,1)="G","GUST",0)</f>
        <v>0</v>
      </c>
      <c r="R42" s="33">
        <f t="shared" ref="R42:R47" si="47">IF(G42=Q42,1,0)</f>
        <v>1</v>
      </c>
      <c r="S42" s="34">
        <f t="shared" ref="S42:S47" si="48">IF(ISNUMBER(VALUE(MID(L42,(FIND("KT",L42,FIND("Z",L42))+3),4))),VALUE(MID(L42,(FIND("KT",L42,FIND("Z",L42))+3),4)),IF(ISNUMBER(VALUE(MID(L42,(FIND("0V",L42)+6),4))),VALUE(MID(L42,(FIND("0V",L42)+6),4)),9999))</f>
        <v>3000</v>
      </c>
      <c r="T42" s="34">
        <f t="shared" ref="T42:T47" si="49">IF(OR(AND(H42&lt;801,S42&lt;801),AND(H42&gt;799,H42&lt;1501,S42&gt;799,S42&lt;1502),AND(H42&gt;1499,H42&lt;3001,S42&gt;1499,S42&lt;3001),AND(H42&gt;2999,H42&lt;5001,S42&gt;2999,S42&lt;5001),AND(H42&gt;4999,S42&gt;4999)),1,0)</f>
        <v>0</v>
      </c>
      <c r="U42" s="34" t="str">
        <f t="shared" ref="U42:U47" si="50">IF(AND(IFERROR(FIND("RA",L42),0)&gt;0, IFERROR(FIND("RA",L42),0)&lt;38),"RA",0)</f>
        <v>RA</v>
      </c>
      <c r="V42" s="34">
        <f t="shared" ref="V42:V47" si="51">IF(U42=I42,1,0)</f>
        <v>0</v>
      </c>
      <c r="W42" s="34" t="str">
        <f t="shared" ref="W42:W47" si="52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SCT</v>
      </c>
      <c r="X42" s="34">
        <f t="shared" ref="X42:X47" si="53">IF(OR(AND(OR(J42="SKC",J42="FEW",J42="SCT"),OR(W42="SKC",W42="FEW",W42="SCT")),(AND(OR(J42="BKN",J42="OVC"),OR(W42="BKN",W42="OVC")))),1,0)</f>
        <v>1</v>
      </c>
      <c r="Y42" s="34">
        <f t="shared" ref="Y42:Y47" si="54">IF(ISNUMBER(VALUE(FIND("CAVOK",L42))),9999,IF(ISNUMBER(VALUE(FIND("NSC",L42))),9999,(MID(L42,(FIND(W42,L42)+4),2))*100))</f>
        <v>800</v>
      </c>
      <c r="Z42" s="34">
        <f t="shared" ref="Z42:Z47" si="55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29"/>
      <c r="E43" s="29">
        <v>210</v>
      </c>
      <c r="F43" s="29">
        <v>3</v>
      </c>
      <c r="G43" s="29">
        <v>0</v>
      </c>
      <c r="H43" s="29">
        <v>8000</v>
      </c>
      <c r="I43" s="29">
        <v>0</v>
      </c>
      <c r="J43" s="29" t="s">
        <v>53</v>
      </c>
      <c r="K43" s="29">
        <v>900</v>
      </c>
      <c r="L43" t="s">
        <v>552</v>
      </c>
      <c r="M43" s="32">
        <f t="shared" si="42"/>
        <v>310</v>
      </c>
      <c r="N43" s="33">
        <f t="shared" si="43"/>
        <v>1</v>
      </c>
      <c r="O43" s="33">
        <f t="shared" si="44"/>
        <v>3</v>
      </c>
      <c r="P43" s="33">
        <f t="shared" si="45"/>
        <v>1</v>
      </c>
      <c r="Q43" s="34">
        <f t="shared" si="46"/>
        <v>0</v>
      </c>
      <c r="R43" s="33">
        <f t="shared" si="47"/>
        <v>1</v>
      </c>
      <c r="S43" s="34">
        <f t="shared" si="48"/>
        <v>4000</v>
      </c>
      <c r="T43" s="34">
        <f t="shared" si="49"/>
        <v>0</v>
      </c>
      <c r="U43" s="34" t="str">
        <f t="shared" si="50"/>
        <v>RA</v>
      </c>
      <c r="V43" s="34">
        <f t="shared" si="51"/>
        <v>0</v>
      </c>
      <c r="W43" s="34" t="str">
        <f t="shared" si="52"/>
        <v>SCT</v>
      </c>
      <c r="X43" s="34">
        <f t="shared" si="53"/>
        <v>1</v>
      </c>
      <c r="Y43" s="34">
        <f t="shared" si="54"/>
        <v>800</v>
      </c>
      <c r="Z43" s="34">
        <f t="shared" si="55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29"/>
      <c r="E44" s="29">
        <v>210</v>
      </c>
      <c r="F44" s="29">
        <v>3</v>
      </c>
      <c r="G44" s="29">
        <v>0</v>
      </c>
      <c r="H44" s="29">
        <v>8000</v>
      </c>
      <c r="I44" s="29">
        <v>0</v>
      </c>
      <c r="J44" s="29" t="s">
        <v>53</v>
      </c>
      <c r="K44" s="29">
        <v>900</v>
      </c>
      <c r="L44" t="s">
        <v>551</v>
      </c>
      <c r="M44" s="32">
        <f t="shared" si="42"/>
        <v>80</v>
      </c>
      <c r="N44" s="33">
        <f t="shared" si="43"/>
        <v>1</v>
      </c>
      <c r="O44" s="33">
        <f t="shared" si="44"/>
        <v>2</v>
      </c>
      <c r="P44" s="33">
        <f t="shared" si="45"/>
        <v>1</v>
      </c>
      <c r="Q44" s="34">
        <f t="shared" si="46"/>
        <v>0</v>
      </c>
      <c r="R44" s="33">
        <f t="shared" si="47"/>
        <v>1</v>
      </c>
      <c r="S44" s="34">
        <f t="shared" si="48"/>
        <v>4000</v>
      </c>
      <c r="T44" s="34">
        <f t="shared" si="49"/>
        <v>0</v>
      </c>
      <c r="U44" s="34" t="str">
        <f t="shared" si="50"/>
        <v>RA</v>
      </c>
      <c r="V44" s="34">
        <f t="shared" si="51"/>
        <v>0</v>
      </c>
      <c r="W44" s="34" t="str">
        <f t="shared" si="52"/>
        <v>FEW</v>
      </c>
      <c r="X44" s="34">
        <f t="shared" si="53"/>
        <v>1</v>
      </c>
      <c r="Y44" s="34">
        <f t="shared" si="54"/>
        <v>800</v>
      </c>
      <c r="Z44" s="34">
        <f t="shared" si="55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29"/>
      <c r="E45" s="29">
        <v>210</v>
      </c>
      <c r="F45" s="29">
        <v>3</v>
      </c>
      <c r="G45" s="29">
        <v>0</v>
      </c>
      <c r="H45" s="29">
        <v>8000</v>
      </c>
      <c r="I45" s="29">
        <v>0</v>
      </c>
      <c r="J45" s="29" t="s">
        <v>53</v>
      </c>
      <c r="K45" s="29">
        <v>900</v>
      </c>
      <c r="L45" t="s">
        <v>550</v>
      </c>
      <c r="M45" s="32">
        <f t="shared" si="42"/>
        <v>330</v>
      </c>
      <c r="N45" s="33">
        <f t="shared" si="43"/>
        <v>1</v>
      </c>
      <c r="O45" s="33">
        <f t="shared" si="44"/>
        <v>3</v>
      </c>
      <c r="P45" s="33">
        <f t="shared" si="45"/>
        <v>1</v>
      </c>
      <c r="Q45" s="34">
        <f t="shared" si="46"/>
        <v>0</v>
      </c>
      <c r="R45" s="33">
        <f t="shared" si="47"/>
        <v>1</v>
      </c>
      <c r="S45" s="34">
        <f t="shared" si="48"/>
        <v>5000</v>
      </c>
      <c r="T45" s="34">
        <f t="shared" si="49"/>
        <v>1</v>
      </c>
      <c r="U45" s="34" t="str">
        <f t="shared" si="50"/>
        <v>RA</v>
      </c>
      <c r="V45" s="34">
        <f t="shared" si="51"/>
        <v>0</v>
      </c>
      <c r="W45" s="34" t="str">
        <f t="shared" si="52"/>
        <v>FEW</v>
      </c>
      <c r="X45" s="34">
        <f t="shared" si="53"/>
        <v>1</v>
      </c>
      <c r="Y45" s="34">
        <f t="shared" si="54"/>
        <v>800</v>
      </c>
      <c r="Z45" s="34">
        <f t="shared" si="55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29"/>
      <c r="E46" s="29">
        <v>210</v>
      </c>
      <c r="F46" s="29">
        <v>3</v>
      </c>
      <c r="G46" s="29">
        <v>0</v>
      </c>
      <c r="H46" s="29">
        <v>8000</v>
      </c>
      <c r="I46" s="29">
        <v>0</v>
      </c>
      <c r="J46" s="29" t="s">
        <v>53</v>
      </c>
      <c r="K46" s="29">
        <v>900</v>
      </c>
      <c r="L46" t="s">
        <v>549</v>
      </c>
      <c r="M46" s="32">
        <f t="shared" si="42"/>
        <v>0</v>
      </c>
      <c r="N46" s="33">
        <f t="shared" si="43"/>
        <v>1</v>
      </c>
      <c r="O46" s="33">
        <f t="shared" si="44"/>
        <v>0</v>
      </c>
      <c r="P46" s="33">
        <f t="shared" si="45"/>
        <v>1</v>
      </c>
      <c r="Q46" s="34">
        <f t="shared" si="46"/>
        <v>0</v>
      </c>
      <c r="R46" s="33">
        <f t="shared" si="47"/>
        <v>1</v>
      </c>
      <c r="S46" s="34">
        <f t="shared" si="48"/>
        <v>5000</v>
      </c>
      <c r="T46" s="34">
        <f t="shared" si="49"/>
        <v>1</v>
      </c>
      <c r="U46" s="34" t="str">
        <f t="shared" si="50"/>
        <v>RA</v>
      </c>
      <c r="V46" s="34">
        <f t="shared" si="51"/>
        <v>0</v>
      </c>
      <c r="W46" s="34" t="str">
        <f t="shared" si="52"/>
        <v>FEW</v>
      </c>
      <c r="X46" s="34">
        <f t="shared" si="53"/>
        <v>1</v>
      </c>
      <c r="Y46" s="34">
        <f t="shared" si="54"/>
        <v>800</v>
      </c>
      <c r="Z46" s="34">
        <f t="shared" si="55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29"/>
      <c r="E47" s="29">
        <v>210</v>
      </c>
      <c r="F47" s="29">
        <v>3</v>
      </c>
      <c r="G47" s="29">
        <v>0</v>
      </c>
      <c r="H47" s="29">
        <v>8000</v>
      </c>
      <c r="I47" s="29">
        <v>0</v>
      </c>
      <c r="J47" s="29" t="s">
        <v>53</v>
      </c>
      <c r="K47" s="29">
        <v>900</v>
      </c>
      <c r="L47" t="s">
        <v>548</v>
      </c>
      <c r="M47" s="32">
        <f t="shared" si="42"/>
        <v>270</v>
      </c>
      <c r="N47" s="33">
        <f t="shared" si="43"/>
        <v>1</v>
      </c>
      <c r="O47" s="33">
        <f t="shared" si="44"/>
        <v>4</v>
      </c>
      <c r="P47" s="33">
        <f t="shared" si="45"/>
        <v>1</v>
      </c>
      <c r="Q47" s="34">
        <f t="shared" si="46"/>
        <v>0</v>
      </c>
      <c r="R47" s="33">
        <f t="shared" si="47"/>
        <v>1</v>
      </c>
      <c r="S47" s="34">
        <f t="shared" si="48"/>
        <v>5000</v>
      </c>
      <c r="T47" s="34">
        <f t="shared" si="49"/>
        <v>1</v>
      </c>
      <c r="U47" s="34" t="str">
        <f t="shared" si="50"/>
        <v>RA</v>
      </c>
      <c r="V47" s="34">
        <f t="shared" si="51"/>
        <v>0</v>
      </c>
      <c r="W47" s="34" t="str">
        <f t="shared" si="52"/>
        <v>FEW</v>
      </c>
      <c r="X47" s="34">
        <f t="shared" si="53"/>
        <v>1</v>
      </c>
      <c r="Y47" s="34">
        <f t="shared" si="54"/>
        <v>800</v>
      </c>
      <c r="Z47" s="34">
        <f t="shared" si="55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6</v>
      </c>
      <c r="U52" s="25"/>
      <c r="V52" s="25">
        <f>SUM(V36:V47)</f>
        <v>4</v>
      </c>
      <c r="W52" s="25"/>
      <c r="X52" s="25">
        <f>SUM(X36:X47)</f>
        <v>12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6</v>
      </c>
      <c r="U53" s="25"/>
      <c r="V53" s="25">
        <f>SUMIF($C36:$C47,"GENERAL",V36:V47)</f>
        <v>3</v>
      </c>
      <c r="W53" s="25"/>
      <c r="X53" s="25">
        <f>SUMIF($C36:$C47,"GENERAL",X36:X47)</f>
        <v>9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0</v>
      </c>
      <c r="T56" s="42">
        <f>S56</f>
        <v>0</v>
      </c>
      <c r="U56" s="42">
        <f>SUMIF($C36:$C47,"TEMPO",V36:V47)</f>
        <v>1</v>
      </c>
      <c r="V56" s="42">
        <f>U56</f>
        <v>1</v>
      </c>
      <c r="W56" s="42">
        <f>SUMIF($C36:$C47,"TEMPO",X36:X47)</f>
        <v>3</v>
      </c>
      <c r="X56" s="42">
        <f>W56</f>
        <v>3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50</v>
      </c>
      <c r="U57" s="38"/>
      <c r="V57" s="38">
        <f>(SUM(V53:V56)/COUNTA(V36:V47))*100</f>
        <v>33.333333333333329</v>
      </c>
      <c r="W57" s="38"/>
      <c r="X57" s="38">
        <f>(SUM(X53:X56)/COUNTA(X36:X47))*100</f>
        <v>100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554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18</v>
      </c>
      <c r="B65" s="50">
        <v>0.5</v>
      </c>
      <c r="C65" s="29" t="s">
        <v>39</v>
      </c>
      <c r="D65" s="52"/>
      <c r="E65" s="51">
        <v>350</v>
      </c>
      <c r="F65" s="51">
        <v>4</v>
      </c>
      <c r="G65" s="51">
        <v>0</v>
      </c>
      <c r="H65" s="51">
        <v>2000</v>
      </c>
      <c r="I65" s="51" t="s">
        <v>556</v>
      </c>
      <c r="J65" s="51" t="s">
        <v>51</v>
      </c>
      <c r="K65" s="51">
        <v>800</v>
      </c>
      <c r="L65" t="s">
        <v>553</v>
      </c>
      <c r="M65" s="32">
        <f t="shared" ref="M65:M70" si="56">IF(ISNUMBER(VALUE(FIND("VRB",L65))),999,VALUE(MID(L65,20,3)))</f>
        <v>0</v>
      </c>
      <c r="N65" s="33">
        <f t="shared" ref="N65:N70" si="57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8">VALUE(MID(L65,23,2))</f>
        <v>0</v>
      </c>
      <c r="P65" s="33">
        <f t="shared" ref="P65:P70" si="59">IF(ABS(O65-F65)&lt;11,1,0)</f>
        <v>1</v>
      </c>
      <c r="Q65" s="34">
        <f t="shared" ref="Q65:Q70" si="60">IF(MID(L65,25,1)="G","GUST",0)</f>
        <v>0</v>
      </c>
      <c r="R65" s="33">
        <f t="shared" ref="R65:R70" si="61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3000</v>
      </c>
      <c r="T65" s="34">
        <f t="shared" ref="T65:T70" si="62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 t="str">
        <f t="shared" ref="U65:U70" si="63">IF(AND(IFERROR(FIND("RA",L65),0)&gt;0, IFERROR(FIND("RA",L65),0)&lt;38),"RA",0)</f>
        <v>RA</v>
      </c>
      <c r="V65" s="34">
        <f t="shared" ref="V65:V70" si="64">IF(U65=I65,1,0)</f>
        <v>0</v>
      </c>
      <c r="W65" s="34" t="str">
        <f t="shared" ref="W65:W70" si="65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SCT</v>
      </c>
      <c r="X65" s="34">
        <f t="shared" ref="X65:X70" si="66">IF(OR(AND(OR(J65="SKC",J65="FEW",J65="SCT"),OR(W65="SKC",W65="FEW",W65="SCT")),(AND(OR(J65="BKN",J65="OVC"),OR(W65="BKN",W65="OVC")))),1,0)</f>
        <v>1</v>
      </c>
      <c r="Y65" s="34">
        <f t="shared" ref="Y65:Y70" si="67">IF(ISNUMBER(VALUE(FIND("CAVOK",L65))),9999,IF(ISNUMBER(VALUE(FIND("NSC",L65))),9999,(MID(L65,(FIND(W65,L65)+4),2))*100))</f>
        <v>800</v>
      </c>
      <c r="Z65" s="34">
        <f t="shared" ref="Z65:Z70" si="68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52"/>
      <c r="E66" s="51">
        <v>350</v>
      </c>
      <c r="F66" s="51">
        <v>4</v>
      </c>
      <c r="G66" s="51">
        <v>0</v>
      </c>
      <c r="H66" s="51">
        <v>2000</v>
      </c>
      <c r="I66" s="51" t="s">
        <v>556</v>
      </c>
      <c r="J66" s="51" t="s">
        <v>51</v>
      </c>
      <c r="K66" s="51">
        <v>800</v>
      </c>
      <c r="L66" t="s">
        <v>552</v>
      </c>
      <c r="M66" s="32">
        <f t="shared" si="56"/>
        <v>310</v>
      </c>
      <c r="N66" s="33">
        <f t="shared" si="57"/>
        <v>1</v>
      </c>
      <c r="O66" s="33">
        <f t="shared" si="58"/>
        <v>3</v>
      </c>
      <c r="P66" s="33">
        <f t="shared" si="59"/>
        <v>1</v>
      </c>
      <c r="Q66" s="34">
        <f t="shared" si="60"/>
        <v>0</v>
      </c>
      <c r="R66" s="33">
        <f t="shared" si="61"/>
        <v>1</v>
      </c>
      <c r="S66" s="34">
        <f t="shared" ref="S66:S70" si="69">IF(ISNUMBER(VALUE(MID(L66,(FIND("KT",L66,FIND("Z",L66))+3),4))),VALUE(MID(L66,(FIND("KT",L66,FIND("Z",L66))+3),4)),IF(ISNUMBER(VALUE(MID(L66,(FIND("0V",L66)+6),4))),VALUE(MID(L66,(FIND("0V",L66)+6),4)),9999))</f>
        <v>4000</v>
      </c>
      <c r="T66" s="34">
        <f t="shared" si="62"/>
        <v>0</v>
      </c>
      <c r="U66" s="34" t="str">
        <f t="shared" si="63"/>
        <v>RA</v>
      </c>
      <c r="V66" s="34">
        <f t="shared" si="64"/>
        <v>0</v>
      </c>
      <c r="W66" s="34" t="str">
        <f t="shared" si="65"/>
        <v>SCT</v>
      </c>
      <c r="X66" s="34">
        <f t="shared" si="66"/>
        <v>1</v>
      </c>
      <c r="Y66" s="34">
        <f t="shared" si="67"/>
        <v>800</v>
      </c>
      <c r="Z66" s="34">
        <f t="shared" si="68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39</v>
      </c>
      <c r="D67" s="52"/>
      <c r="E67" s="51">
        <v>350</v>
      </c>
      <c r="F67" s="51">
        <v>4</v>
      </c>
      <c r="G67" s="51">
        <v>0</v>
      </c>
      <c r="H67" s="51">
        <v>2000</v>
      </c>
      <c r="I67" s="51" t="s">
        <v>556</v>
      </c>
      <c r="J67" s="51" t="s">
        <v>51</v>
      </c>
      <c r="K67" s="51">
        <v>800</v>
      </c>
      <c r="L67" t="s">
        <v>551</v>
      </c>
      <c r="M67" s="32">
        <f t="shared" si="56"/>
        <v>80</v>
      </c>
      <c r="N67" s="33">
        <f t="shared" si="57"/>
        <v>1</v>
      </c>
      <c r="O67" s="33">
        <f t="shared" si="58"/>
        <v>2</v>
      </c>
      <c r="P67" s="33">
        <f t="shared" si="59"/>
        <v>1</v>
      </c>
      <c r="Q67" s="34">
        <f t="shared" si="60"/>
        <v>0</v>
      </c>
      <c r="R67" s="33">
        <f t="shared" si="61"/>
        <v>1</v>
      </c>
      <c r="S67" s="34">
        <f t="shared" si="69"/>
        <v>4000</v>
      </c>
      <c r="T67" s="34">
        <f t="shared" si="62"/>
        <v>0</v>
      </c>
      <c r="U67" s="34" t="str">
        <f t="shared" si="63"/>
        <v>RA</v>
      </c>
      <c r="V67" s="34">
        <f t="shared" si="64"/>
        <v>0</v>
      </c>
      <c r="W67" s="34" t="str">
        <f t="shared" si="65"/>
        <v>FEW</v>
      </c>
      <c r="X67" s="34">
        <f t="shared" si="66"/>
        <v>1</v>
      </c>
      <c r="Y67" s="34">
        <f t="shared" si="67"/>
        <v>800</v>
      </c>
      <c r="Z67" s="34">
        <f t="shared" si="68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39</v>
      </c>
      <c r="D68" s="52"/>
      <c r="E68" s="51">
        <v>350</v>
      </c>
      <c r="F68" s="51">
        <v>4</v>
      </c>
      <c r="G68" s="51">
        <v>0</v>
      </c>
      <c r="H68" s="51">
        <v>2000</v>
      </c>
      <c r="I68" s="51" t="s">
        <v>556</v>
      </c>
      <c r="J68" s="51" t="s">
        <v>51</v>
      </c>
      <c r="K68" s="51">
        <v>800</v>
      </c>
      <c r="L68" t="s">
        <v>550</v>
      </c>
      <c r="M68" s="32">
        <f t="shared" si="56"/>
        <v>330</v>
      </c>
      <c r="N68" s="33">
        <f t="shared" si="57"/>
        <v>1</v>
      </c>
      <c r="O68" s="33">
        <f t="shared" si="58"/>
        <v>3</v>
      </c>
      <c r="P68" s="33">
        <f t="shared" si="59"/>
        <v>1</v>
      </c>
      <c r="Q68" s="34">
        <f t="shared" si="60"/>
        <v>0</v>
      </c>
      <c r="R68" s="33">
        <f t="shared" si="61"/>
        <v>1</v>
      </c>
      <c r="S68" s="34">
        <f t="shared" si="69"/>
        <v>5000</v>
      </c>
      <c r="T68" s="34">
        <f t="shared" si="62"/>
        <v>0</v>
      </c>
      <c r="U68" s="34" t="str">
        <f t="shared" si="63"/>
        <v>RA</v>
      </c>
      <c r="V68" s="34">
        <f t="shared" si="64"/>
        <v>0</v>
      </c>
      <c r="W68" s="34" t="str">
        <f t="shared" si="65"/>
        <v>FEW</v>
      </c>
      <c r="X68" s="34">
        <f t="shared" si="66"/>
        <v>1</v>
      </c>
      <c r="Y68" s="34">
        <f t="shared" si="67"/>
        <v>800</v>
      </c>
      <c r="Z68" s="34">
        <f t="shared" si="68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39</v>
      </c>
      <c r="D69" s="52"/>
      <c r="E69" s="51">
        <v>350</v>
      </c>
      <c r="F69" s="51">
        <v>4</v>
      </c>
      <c r="G69" s="51">
        <v>0</v>
      </c>
      <c r="H69" s="51">
        <v>2000</v>
      </c>
      <c r="I69" s="51" t="s">
        <v>556</v>
      </c>
      <c r="J69" s="51" t="s">
        <v>51</v>
      </c>
      <c r="K69" s="51">
        <v>800</v>
      </c>
      <c r="L69" t="s">
        <v>549</v>
      </c>
      <c r="M69" s="32">
        <f t="shared" si="56"/>
        <v>0</v>
      </c>
      <c r="N69" s="33">
        <f t="shared" si="57"/>
        <v>1</v>
      </c>
      <c r="O69" s="33">
        <f t="shared" si="58"/>
        <v>0</v>
      </c>
      <c r="P69" s="33">
        <f t="shared" si="59"/>
        <v>1</v>
      </c>
      <c r="Q69" s="34">
        <f t="shared" si="60"/>
        <v>0</v>
      </c>
      <c r="R69" s="33">
        <f t="shared" si="61"/>
        <v>1</v>
      </c>
      <c r="S69" s="34">
        <f t="shared" si="69"/>
        <v>5000</v>
      </c>
      <c r="T69" s="34">
        <f t="shared" si="62"/>
        <v>0</v>
      </c>
      <c r="U69" s="34" t="str">
        <f t="shared" si="63"/>
        <v>RA</v>
      </c>
      <c r="V69" s="34">
        <f t="shared" si="64"/>
        <v>0</v>
      </c>
      <c r="W69" s="34" t="str">
        <f t="shared" si="65"/>
        <v>FEW</v>
      </c>
      <c r="X69" s="34">
        <f t="shared" si="66"/>
        <v>1</v>
      </c>
      <c r="Y69" s="34">
        <f t="shared" si="67"/>
        <v>800</v>
      </c>
      <c r="Z69" s="34">
        <f t="shared" si="68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39</v>
      </c>
      <c r="D70" s="52"/>
      <c r="E70" s="51">
        <v>350</v>
      </c>
      <c r="F70" s="51">
        <v>4</v>
      </c>
      <c r="G70" s="51">
        <v>0</v>
      </c>
      <c r="H70" s="51">
        <v>2000</v>
      </c>
      <c r="I70" s="51" t="s">
        <v>556</v>
      </c>
      <c r="J70" s="51" t="s">
        <v>51</v>
      </c>
      <c r="K70" s="51">
        <v>800</v>
      </c>
      <c r="L70" t="s">
        <v>548</v>
      </c>
      <c r="M70" s="32">
        <f t="shared" si="56"/>
        <v>270</v>
      </c>
      <c r="N70" s="33">
        <f t="shared" si="57"/>
        <v>1</v>
      </c>
      <c r="O70" s="33">
        <f t="shared" si="58"/>
        <v>4</v>
      </c>
      <c r="P70" s="33">
        <f t="shared" si="59"/>
        <v>1</v>
      </c>
      <c r="Q70" s="34">
        <f t="shared" si="60"/>
        <v>0</v>
      </c>
      <c r="R70" s="33">
        <f t="shared" si="61"/>
        <v>1</v>
      </c>
      <c r="S70" s="34">
        <f t="shared" si="69"/>
        <v>5000</v>
      </c>
      <c r="T70" s="34">
        <f t="shared" si="62"/>
        <v>0</v>
      </c>
      <c r="U70" s="34" t="str">
        <f t="shared" si="63"/>
        <v>RA</v>
      </c>
      <c r="V70" s="34">
        <f t="shared" si="64"/>
        <v>0</v>
      </c>
      <c r="W70" s="34" t="str">
        <f t="shared" si="65"/>
        <v>FEW</v>
      </c>
      <c r="X70" s="34">
        <f t="shared" si="66"/>
        <v>1</v>
      </c>
      <c r="Y70" s="34">
        <f t="shared" si="67"/>
        <v>800</v>
      </c>
      <c r="Z70" s="34">
        <f t="shared" si="68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39</v>
      </c>
      <c r="D71" s="52"/>
      <c r="E71" s="51">
        <v>350</v>
      </c>
      <c r="F71" s="51">
        <v>4</v>
      </c>
      <c r="G71" s="51">
        <v>0</v>
      </c>
      <c r="H71" s="51">
        <v>2000</v>
      </c>
      <c r="I71" s="51" t="s">
        <v>556</v>
      </c>
      <c r="J71" s="51" t="s">
        <v>51</v>
      </c>
      <c r="K71" s="51">
        <v>800</v>
      </c>
      <c r="L71" t="s">
        <v>562</v>
      </c>
      <c r="M71" s="32">
        <f t="shared" ref="M71:M76" si="70">IF(ISNUMBER(VALUE(FIND("VRB",L71))),999,VALUE(MID(L71,20,3)))</f>
        <v>270</v>
      </c>
      <c r="N71" s="33">
        <f t="shared" ref="N71:N76" si="71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2">VALUE(MID(L71,23,2))</f>
        <v>3</v>
      </c>
      <c r="P71" s="33">
        <f t="shared" ref="P71:P76" si="73">IF(ABS(O71-F71)&lt;11,1,0)</f>
        <v>1</v>
      </c>
      <c r="Q71" s="34">
        <f t="shared" ref="Q71:Q76" si="74">IF(MID(L71,25,1)="G","GUST",0)</f>
        <v>0</v>
      </c>
      <c r="R71" s="33">
        <f t="shared" ref="R71:R76" si="75">IF(G71=Q71,1,0)</f>
        <v>1</v>
      </c>
      <c r="S71" s="34">
        <f t="shared" ref="S71:S76" si="76">IF(ISNUMBER(VALUE(MID(L71,(FIND("KT",L71,FIND("Z",L71))+3),4))),VALUE(MID(L71,(FIND("KT",L71,FIND("Z",L71))+3),4)),IF(ISNUMBER(VALUE(MID(L71,(FIND("0V",L71)+6),4))),VALUE(MID(L71,(FIND("0V",L71)+6),4)),9999))</f>
        <v>5000</v>
      </c>
      <c r="T71" s="34">
        <f t="shared" ref="T71:T76" si="77">IF(OR(AND(H71&lt;801,S71&lt;801),AND(H71&gt;799,H71&lt;1501,S71&gt;799,S71&lt;1502),AND(H71&gt;1499,H71&lt;3001,S71&gt;1499,S71&lt;3001),AND(H71&gt;2999,H71&lt;5001,S71&gt;2999,S71&lt;5001),AND(H71&gt;4999,S71&gt;4999)),1,0)</f>
        <v>0</v>
      </c>
      <c r="U71" s="34">
        <f t="shared" ref="U71:U76" si="78">IF(AND(IFERROR(FIND("RA",L71),0)&gt;0, IFERROR(FIND("RA",L71),0)&lt;38),"RA",0)</f>
        <v>0</v>
      </c>
      <c r="V71" s="34">
        <f t="shared" ref="V71:V76" si="79">IF(U71=I71,1,0)</f>
        <v>0</v>
      </c>
      <c r="W71" s="34" t="str">
        <f t="shared" ref="W71:W76" si="80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FEW</v>
      </c>
      <c r="X71" s="34">
        <f t="shared" ref="X71:X76" si="81">IF(OR(AND(OR(J71="SKC",J71="FEW",J71="SCT"),OR(W71="SKC",W71="FEW",W71="SCT")),(AND(OR(J71="BKN",J71="OVC"),OR(W71="BKN",W71="OVC")))),1,0)</f>
        <v>1</v>
      </c>
      <c r="Y71" s="34">
        <f t="shared" ref="Y71:Y76" si="82">IF(ISNUMBER(VALUE(FIND("CAVOK",L71))),9999,IF(ISNUMBER(VALUE(FIND("NSC",L71))),9999,(MID(L71,(FIND(W71,L71)+4),2))*100))</f>
        <v>800</v>
      </c>
      <c r="Z71" s="34">
        <f t="shared" ref="Z71:Z76" si="83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39</v>
      </c>
      <c r="D72" s="52"/>
      <c r="E72" s="51">
        <v>350</v>
      </c>
      <c r="F72" s="51">
        <v>4</v>
      </c>
      <c r="G72" s="51">
        <v>0</v>
      </c>
      <c r="H72" s="51">
        <v>2000</v>
      </c>
      <c r="I72" s="51" t="s">
        <v>556</v>
      </c>
      <c r="J72" s="51" t="s">
        <v>51</v>
      </c>
      <c r="K72" s="51">
        <v>800</v>
      </c>
      <c r="L72" t="s">
        <v>561</v>
      </c>
      <c r="M72" s="32">
        <f t="shared" si="70"/>
        <v>80</v>
      </c>
      <c r="N72" s="33">
        <f t="shared" si="71"/>
        <v>1</v>
      </c>
      <c r="O72" s="33">
        <f t="shared" si="72"/>
        <v>2</v>
      </c>
      <c r="P72" s="33">
        <f t="shared" si="73"/>
        <v>1</v>
      </c>
      <c r="Q72" s="34">
        <f t="shared" si="74"/>
        <v>0</v>
      </c>
      <c r="R72" s="33">
        <f t="shared" si="75"/>
        <v>1</v>
      </c>
      <c r="S72" s="34">
        <f t="shared" si="76"/>
        <v>8000</v>
      </c>
      <c r="T72" s="34">
        <f t="shared" si="77"/>
        <v>0</v>
      </c>
      <c r="U72" s="34">
        <f t="shared" si="78"/>
        <v>0</v>
      </c>
      <c r="V72" s="34">
        <f t="shared" si="79"/>
        <v>0</v>
      </c>
      <c r="W72" s="34" t="str">
        <f t="shared" si="80"/>
        <v>BKN</v>
      </c>
      <c r="X72" s="34">
        <f t="shared" si="81"/>
        <v>0</v>
      </c>
      <c r="Y72" s="34">
        <f t="shared" si="82"/>
        <v>800</v>
      </c>
      <c r="Z72" s="34">
        <f t="shared" si="83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39</v>
      </c>
      <c r="D73" s="52"/>
      <c r="E73" s="51">
        <v>350</v>
      </c>
      <c r="F73" s="51">
        <v>4</v>
      </c>
      <c r="G73" s="51">
        <v>0</v>
      </c>
      <c r="H73" s="51">
        <v>2000</v>
      </c>
      <c r="I73" s="51" t="s">
        <v>556</v>
      </c>
      <c r="J73" s="51" t="s">
        <v>51</v>
      </c>
      <c r="K73" s="51">
        <v>800</v>
      </c>
      <c r="L73" t="s">
        <v>560</v>
      </c>
      <c r="M73" s="32">
        <f t="shared" si="70"/>
        <v>120</v>
      </c>
      <c r="N73" s="33">
        <f t="shared" si="71"/>
        <v>1</v>
      </c>
      <c r="O73" s="33">
        <f t="shared" si="72"/>
        <v>2</v>
      </c>
      <c r="P73" s="33">
        <f t="shared" si="73"/>
        <v>1</v>
      </c>
      <c r="Q73" s="34">
        <f t="shared" si="74"/>
        <v>0</v>
      </c>
      <c r="R73" s="33">
        <f t="shared" si="75"/>
        <v>1</v>
      </c>
      <c r="S73" s="34">
        <f t="shared" si="76"/>
        <v>8000</v>
      </c>
      <c r="T73" s="34">
        <f t="shared" si="77"/>
        <v>0</v>
      </c>
      <c r="U73" s="34">
        <f t="shared" si="78"/>
        <v>0</v>
      </c>
      <c r="V73" s="34">
        <f t="shared" si="79"/>
        <v>0</v>
      </c>
      <c r="W73" s="34" t="str">
        <f t="shared" si="80"/>
        <v>BKN</v>
      </c>
      <c r="X73" s="34">
        <f t="shared" si="81"/>
        <v>0</v>
      </c>
      <c r="Y73" s="34">
        <f t="shared" si="82"/>
        <v>800</v>
      </c>
      <c r="Z73" s="34">
        <f t="shared" si="83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39</v>
      </c>
      <c r="D74" s="52"/>
      <c r="E74" s="51">
        <v>350</v>
      </c>
      <c r="F74" s="51">
        <v>4</v>
      </c>
      <c r="G74" s="51">
        <v>0</v>
      </c>
      <c r="H74" s="51">
        <v>2000</v>
      </c>
      <c r="I74" s="51" t="s">
        <v>556</v>
      </c>
      <c r="J74" s="51" t="s">
        <v>51</v>
      </c>
      <c r="K74" s="51">
        <v>800</v>
      </c>
      <c r="L74" t="s">
        <v>559</v>
      </c>
      <c r="M74" s="32">
        <f t="shared" si="70"/>
        <v>120</v>
      </c>
      <c r="N74" s="33">
        <f t="shared" si="71"/>
        <v>1</v>
      </c>
      <c r="O74" s="33">
        <f t="shared" si="72"/>
        <v>2</v>
      </c>
      <c r="P74" s="33">
        <f t="shared" si="73"/>
        <v>1</v>
      </c>
      <c r="Q74" s="34">
        <f t="shared" si="74"/>
        <v>0</v>
      </c>
      <c r="R74" s="33">
        <f t="shared" si="75"/>
        <v>1</v>
      </c>
      <c r="S74" s="34">
        <f t="shared" si="76"/>
        <v>8000</v>
      </c>
      <c r="T74" s="34">
        <f t="shared" si="77"/>
        <v>0</v>
      </c>
      <c r="U74" s="34">
        <f t="shared" si="78"/>
        <v>0</v>
      </c>
      <c r="V74" s="34">
        <f t="shared" si="79"/>
        <v>0</v>
      </c>
      <c r="W74" s="34" t="str">
        <f t="shared" si="80"/>
        <v>BKN</v>
      </c>
      <c r="X74" s="34">
        <f t="shared" si="81"/>
        <v>0</v>
      </c>
      <c r="Y74" s="34">
        <f t="shared" si="82"/>
        <v>800</v>
      </c>
      <c r="Z74" s="34">
        <f t="shared" si="83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39</v>
      </c>
      <c r="D75" s="52"/>
      <c r="E75" s="51">
        <v>350</v>
      </c>
      <c r="F75" s="51">
        <v>4</v>
      </c>
      <c r="G75" s="51">
        <v>0</v>
      </c>
      <c r="H75" s="51">
        <v>2000</v>
      </c>
      <c r="I75" s="51" t="s">
        <v>556</v>
      </c>
      <c r="J75" s="51" t="s">
        <v>51</v>
      </c>
      <c r="K75" s="51">
        <v>800</v>
      </c>
      <c r="L75" t="s">
        <v>558</v>
      </c>
      <c r="M75" s="32">
        <f t="shared" si="70"/>
        <v>80</v>
      </c>
      <c r="N75" s="33">
        <f t="shared" si="71"/>
        <v>1</v>
      </c>
      <c r="O75" s="33">
        <f t="shared" si="72"/>
        <v>3</v>
      </c>
      <c r="P75" s="33">
        <f t="shared" si="73"/>
        <v>1</v>
      </c>
      <c r="Q75" s="34">
        <f t="shared" si="74"/>
        <v>0</v>
      </c>
      <c r="R75" s="33">
        <f t="shared" si="75"/>
        <v>1</v>
      </c>
      <c r="S75" s="34">
        <f t="shared" si="76"/>
        <v>8000</v>
      </c>
      <c r="T75" s="34">
        <f t="shared" si="77"/>
        <v>0</v>
      </c>
      <c r="U75" s="34">
        <f t="shared" si="78"/>
        <v>0</v>
      </c>
      <c r="V75" s="34">
        <f t="shared" si="79"/>
        <v>0</v>
      </c>
      <c r="W75" s="34" t="str">
        <f t="shared" si="80"/>
        <v>BKN</v>
      </c>
      <c r="X75" s="34">
        <f t="shared" si="81"/>
        <v>0</v>
      </c>
      <c r="Y75" s="34">
        <f t="shared" si="82"/>
        <v>800</v>
      </c>
      <c r="Z75" s="34">
        <f t="shared" si="83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39</v>
      </c>
      <c r="D76" s="52"/>
      <c r="E76" s="51">
        <v>350</v>
      </c>
      <c r="F76" s="51">
        <v>4</v>
      </c>
      <c r="G76" s="51">
        <v>0</v>
      </c>
      <c r="H76" s="51">
        <v>2000</v>
      </c>
      <c r="I76" s="51" t="s">
        <v>556</v>
      </c>
      <c r="J76" s="51" t="s">
        <v>51</v>
      </c>
      <c r="K76" s="51">
        <v>800</v>
      </c>
      <c r="L76" t="s">
        <v>557</v>
      </c>
      <c r="M76" s="32">
        <f t="shared" si="70"/>
        <v>20</v>
      </c>
      <c r="N76" s="33">
        <f t="shared" si="71"/>
        <v>1</v>
      </c>
      <c r="O76" s="33">
        <f t="shared" si="72"/>
        <v>2</v>
      </c>
      <c r="P76" s="33">
        <f t="shared" si="73"/>
        <v>1</v>
      </c>
      <c r="Q76" s="34">
        <f t="shared" si="74"/>
        <v>0</v>
      </c>
      <c r="R76" s="33">
        <f t="shared" si="75"/>
        <v>1</v>
      </c>
      <c r="S76" s="34">
        <f t="shared" si="76"/>
        <v>8000</v>
      </c>
      <c r="T76" s="34">
        <f t="shared" si="77"/>
        <v>0</v>
      </c>
      <c r="U76" s="34">
        <f t="shared" si="78"/>
        <v>0</v>
      </c>
      <c r="V76" s="34">
        <f t="shared" si="79"/>
        <v>0</v>
      </c>
      <c r="W76" s="34" t="str">
        <f t="shared" si="80"/>
        <v>BKN</v>
      </c>
      <c r="X76" s="34">
        <f t="shared" si="81"/>
        <v>0</v>
      </c>
      <c r="Y76" s="34">
        <f t="shared" si="82"/>
        <v>900</v>
      </c>
      <c r="Z76" s="34">
        <f t="shared" si="83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 ht="20.25">
      <c r="A79" s="25"/>
      <c r="B79" s="25"/>
      <c r="C79" s="41"/>
      <c r="D79" s="25"/>
      <c r="E79" s="56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</v>
      </c>
      <c r="U80" s="25"/>
      <c r="V80" s="25">
        <f>SUM(V64:V76)</f>
        <v>0</v>
      </c>
      <c r="W80" s="25"/>
      <c r="X80" s="25">
        <f>SUM(X64:X76)</f>
        <v>7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</v>
      </c>
      <c r="U81" s="25"/>
      <c r="V81" s="25">
        <f>SUMIF($C64:$C76,"GENERAL",V64:V76)</f>
        <v>0</v>
      </c>
      <c r="W81" s="25"/>
      <c r="X81" s="25">
        <f>SUMIF($C64:$C76,"GENERAL",X64:X76)</f>
        <v>7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8.3333333333333321</v>
      </c>
      <c r="U85" s="38"/>
      <c r="V85" s="38">
        <f>(SUM(V81:V84)/COUNTA(V64:V76))*100</f>
        <v>0</v>
      </c>
      <c r="W85" s="38"/>
      <c r="X85" s="38">
        <f>(SUM(X81:X84)/COUNTA(X64:X76))*100</f>
        <v>58.333333333333336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555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18</v>
      </c>
      <c r="B93" s="50">
        <v>0.75</v>
      </c>
      <c r="C93" s="29" t="s">
        <v>39</v>
      </c>
      <c r="D93" s="52"/>
      <c r="E93" s="51">
        <v>320</v>
      </c>
      <c r="F93" s="51">
        <v>2</v>
      </c>
      <c r="G93" s="51">
        <v>0</v>
      </c>
      <c r="H93" s="51">
        <v>4000</v>
      </c>
      <c r="I93" s="51" t="s">
        <v>52</v>
      </c>
      <c r="J93" s="51" t="s">
        <v>51</v>
      </c>
      <c r="K93" s="51">
        <v>800</v>
      </c>
      <c r="L93" t="s">
        <v>562</v>
      </c>
      <c r="M93" s="32">
        <f t="shared" ref="M93:M99" si="84">IF(ISNUMBER(VALUE(FIND("VRB",L93))),999,VALUE(MID(L93,20,3)))</f>
        <v>270</v>
      </c>
      <c r="N93" s="33">
        <f t="shared" ref="N93:N99" si="85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9" si="86">VALUE(MID(L93,23,2))</f>
        <v>3</v>
      </c>
      <c r="P93" s="33">
        <f t="shared" ref="P93:P99" si="87">IF(ABS(O93-F93)&lt;11,1,0)</f>
        <v>1</v>
      </c>
      <c r="Q93" s="34">
        <f t="shared" ref="Q93:Q99" si="88">IF(MID(L93,25,1)="G","GUST",0)</f>
        <v>0</v>
      </c>
      <c r="R93" s="33">
        <f t="shared" ref="R93:R99" si="89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5000</v>
      </c>
      <c r="T93" s="34">
        <f t="shared" ref="T93:T99" si="90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9" si="91">IF(AND(IFERROR(FIND("RA",L93),0)&gt;0, IFERROR(FIND("RA",L93),0)&lt;38),"RA",0)</f>
        <v>0</v>
      </c>
      <c r="V93" s="34">
        <f t="shared" ref="V93:V99" si="92">IF(U93=I93,1,0)</f>
        <v>0</v>
      </c>
      <c r="W93" s="34" t="str">
        <f t="shared" ref="W93:W99" si="93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FEW</v>
      </c>
      <c r="X93" s="34">
        <f t="shared" ref="X93:X99" si="94">IF(OR(AND(OR(J93="SKC",J93="FEW",J93="SCT"),OR(W93="SKC",W93="FEW",W93="SCT")),(AND(OR(J93="BKN",J93="OVC"),OR(W93="BKN",W93="OVC")))),1,0)</f>
        <v>1</v>
      </c>
      <c r="Y93" s="34">
        <f t="shared" ref="Y93:Y99" si="95">IF(ISNUMBER(VALUE(FIND("CAVOK",L93))),9999,IF(ISNUMBER(VALUE(FIND("NSC",L93))),9999,(MID(L93,(FIND(W93,L93)+4),2))*100))</f>
        <v>800</v>
      </c>
      <c r="Z93" s="34">
        <f t="shared" ref="Z93:Z99" si="96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29" t="s">
        <v>39</v>
      </c>
      <c r="D94" s="52"/>
      <c r="E94" s="51">
        <v>320</v>
      </c>
      <c r="F94" s="51">
        <v>2</v>
      </c>
      <c r="G94" s="51">
        <v>0</v>
      </c>
      <c r="H94" s="51">
        <v>4000</v>
      </c>
      <c r="I94" s="51" t="s">
        <v>52</v>
      </c>
      <c r="J94" s="51" t="s">
        <v>51</v>
      </c>
      <c r="K94" s="51">
        <v>800</v>
      </c>
      <c r="L94" t="s">
        <v>561</v>
      </c>
      <c r="M94" s="32">
        <f t="shared" si="84"/>
        <v>80</v>
      </c>
      <c r="N94" s="33">
        <f t="shared" si="85"/>
        <v>1</v>
      </c>
      <c r="O94" s="33">
        <f t="shared" si="86"/>
        <v>2</v>
      </c>
      <c r="P94" s="33">
        <f t="shared" si="87"/>
        <v>1</v>
      </c>
      <c r="Q94" s="34">
        <f t="shared" si="88"/>
        <v>0</v>
      </c>
      <c r="R94" s="33">
        <f t="shared" si="89"/>
        <v>1</v>
      </c>
      <c r="S94" s="34">
        <f t="shared" ref="S94:S99" si="97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90"/>
        <v>0</v>
      </c>
      <c r="U94" s="34">
        <f t="shared" si="91"/>
        <v>0</v>
      </c>
      <c r="V94" s="34">
        <f t="shared" si="92"/>
        <v>0</v>
      </c>
      <c r="W94" s="34" t="str">
        <f t="shared" si="93"/>
        <v>BKN</v>
      </c>
      <c r="X94" s="34">
        <f t="shared" si="94"/>
        <v>0</v>
      </c>
      <c r="Y94" s="34">
        <f t="shared" si="95"/>
        <v>800</v>
      </c>
      <c r="Z94" s="34">
        <f t="shared" si="96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29" t="s">
        <v>39</v>
      </c>
      <c r="D95" s="52"/>
      <c r="E95" s="51">
        <v>320</v>
      </c>
      <c r="F95" s="51">
        <v>2</v>
      </c>
      <c r="G95" s="51">
        <v>0</v>
      </c>
      <c r="H95" s="51">
        <v>4000</v>
      </c>
      <c r="I95" s="51" t="s">
        <v>52</v>
      </c>
      <c r="J95" s="51" t="s">
        <v>51</v>
      </c>
      <c r="K95" s="51">
        <v>800</v>
      </c>
      <c r="L95" t="s">
        <v>560</v>
      </c>
      <c r="M95" s="32">
        <f t="shared" si="84"/>
        <v>120</v>
      </c>
      <c r="N95" s="33">
        <f t="shared" si="85"/>
        <v>1</v>
      </c>
      <c r="O95" s="33">
        <f t="shared" si="86"/>
        <v>2</v>
      </c>
      <c r="P95" s="33">
        <f t="shared" si="87"/>
        <v>1</v>
      </c>
      <c r="Q95" s="34">
        <f t="shared" si="88"/>
        <v>0</v>
      </c>
      <c r="R95" s="33">
        <f t="shared" si="89"/>
        <v>1</v>
      </c>
      <c r="S95" s="34">
        <f t="shared" si="97"/>
        <v>8000</v>
      </c>
      <c r="T95" s="34">
        <f t="shared" si="90"/>
        <v>0</v>
      </c>
      <c r="U95" s="34">
        <f t="shared" si="91"/>
        <v>0</v>
      </c>
      <c r="V95" s="34">
        <f t="shared" si="92"/>
        <v>0</v>
      </c>
      <c r="W95" s="34" t="str">
        <f t="shared" si="93"/>
        <v>BKN</v>
      </c>
      <c r="X95" s="34">
        <f t="shared" si="94"/>
        <v>0</v>
      </c>
      <c r="Y95" s="34">
        <f t="shared" si="95"/>
        <v>800</v>
      </c>
      <c r="Z95" s="34">
        <f t="shared" si="96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29" t="s">
        <v>34</v>
      </c>
      <c r="D96" s="52"/>
      <c r="E96" s="51">
        <v>320</v>
      </c>
      <c r="F96" s="51">
        <v>2</v>
      </c>
      <c r="G96" s="51">
        <v>0</v>
      </c>
      <c r="H96" s="51">
        <v>7000</v>
      </c>
      <c r="I96" s="51">
        <v>0</v>
      </c>
      <c r="J96" s="51" t="s">
        <v>58</v>
      </c>
      <c r="K96" s="51">
        <v>900</v>
      </c>
      <c r="L96" t="s">
        <v>559</v>
      </c>
      <c r="M96" s="32">
        <f t="shared" si="84"/>
        <v>120</v>
      </c>
      <c r="N96" s="33">
        <f t="shared" si="85"/>
        <v>1</v>
      </c>
      <c r="O96" s="33">
        <f t="shared" si="86"/>
        <v>2</v>
      </c>
      <c r="P96" s="33">
        <f t="shared" si="87"/>
        <v>1</v>
      </c>
      <c r="Q96" s="34">
        <f t="shared" si="88"/>
        <v>0</v>
      </c>
      <c r="R96" s="33">
        <f t="shared" si="89"/>
        <v>1</v>
      </c>
      <c r="S96" s="34">
        <f t="shared" si="97"/>
        <v>8000</v>
      </c>
      <c r="T96" s="34">
        <f t="shared" si="90"/>
        <v>1</v>
      </c>
      <c r="U96" s="34">
        <f t="shared" si="91"/>
        <v>0</v>
      </c>
      <c r="V96" s="34">
        <f t="shared" si="92"/>
        <v>1</v>
      </c>
      <c r="W96" s="34" t="str">
        <f t="shared" si="93"/>
        <v>BKN</v>
      </c>
      <c r="X96" s="34">
        <f t="shared" si="94"/>
        <v>1</v>
      </c>
      <c r="Y96" s="34">
        <f t="shared" si="95"/>
        <v>800</v>
      </c>
      <c r="Z96" s="34">
        <f t="shared" si="96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29" t="s">
        <v>34</v>
      </c>
      <c r="D97" s="52"/>
      <c r="E97" s="51">
        <v>320</v>
      </c>
      <c r="F97" s="51">
        <v>2</v>
      </c>
      <c r="G97" s="51">
        <v>0</v>
      </c>
      <c r="H97" s="51">
        <v>7000</v>
      </c>
      <c r="I97" s="51">
        <v>0</v>
      </c>
      <c r="J97" s="51" t="s">
        <v>58</v>
      </c>
      <c r="K97" s="51">
        <v>900</v>
      </c>
      <c r="L97" t="s">
        <v>558</v>
      </c>
      <c r="M97" s="32">
        <f t="shared" si="84"/>
        <v>80</v>
      </c>
      <c r="N97" s="33">
        <f t="shared" si="85"/>
        <v>1</v>
      </c>
      <c r="O97" s="33">
        <f t="shared" si="86"/>
        <v>3</v>
      </c>
      <c r="P97" s="33">
        <f t="shared" si="87"/>
        <v>1</v>
      </c>
      <c r="Q97" s="34">
        <f t="shared" si="88"/>
        <v>0</v>
      </c>
      <c r="R97" s="33">
        <f t="shared" si="89"/>
        <v>1</v>
      </c>
      <c r="S97" s="34">
        <f t="shared" si="97"/>
        <v>8000</v>
      </c>
      <c r="T97" s="34">
        <f t="shared" si="90"/>
        <v>1</v>
      </c>
      <c r="U97" s="34">
        <f t="shared" si="91"/>
        <v>0</v>
      </c>
      <c r="V97" s="34">
        <f t="shared" si="92"/>
        <v>1</v>
      </c>
      <c r="W97" s="34" t="str">
        <f t="shared" si="93"/>
        <v>BKN</v>
      </c>
      <c r="X97" s="34">
        <f t="shared" si="94"/>
        <v>1</v>
      </c>
      <c r="Y97" s="34">
        <f t="shared" si="95"/>
        <v>800</v>
      </c>
      <c r="Z97" s="34">
        <f t="shared" si="96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29" t="s">
        <v>34</v>
      </c>
      <c r="D98" s="52"/>
      <c r="E98" s="51">
        <v>320</v>
      </c>
      <c r="F98" s="51">
        <v>2</v>
      </c>
      <c r="G98" s="51">
        <v>0</v>
      </c>
      <c r="H98" s="51">
        <v>7000</v>
      </c>
      <c r="I98" s="51">
        <v>0</v>
      </c>
      <c r="J98" s="51" t="s">
        <v>58</v>
      </c>
      <c r="K98" s="51">
        <v>900</v>
      </c>
      <c r="L98" t="s">
        <v>557</v>
      </c>
      <c r="M98" s="32">
        <f t="shared" si="84"/>
        <v>20</v>
      </c>
      <c r="N98" s="33">
        <f t="shared" si="85"/>
        <v>1</v>
      </c>
      <c r="O98" s="33">
        <f t="shared" si="86"/>
        <v>2</v>
      </c>
      <c r="P98" s="33">
        <f t="shared" si="87"/>
        <v>1</v>
      </c>
      <c r="Q98" s="34">
        <f t="shared" si="88"/>
        <v>0</v>
      </c>
      <c r="R98" s="33">
        <f t="shared" si="89"/>
        <v>1</v>
      </c>
      <c r="S98" s="34">
        <f t="shared" si="97"/>
        <v>8000</v>
      </c>
      <c r="T98" s="34">
        <f t="shared" si="90"/>
        <v>1</v>
      </c>
      <c r="U98" s="34">
        <f t="shared" si="91"/>
        <v>0</v>
      </c>
      <c r="V98" s="34">
        <f t="shared" si="92"/>
        <v>1</v>
      </c>
      <c r="W98" s="34" t="str">
        <f t="shared" si="93"/>
        <v>BKN</v>
      </c>
      <c r="X98" s="34">
        <f t="shared" si="94"/>
        <v>1</v>
      </c>
      <c r="Y98" s="34">
        <f t="shared" si="95"/>
        <v>900</v>
      </c>
      <c r="Z98" s="34">
        <f t="shared" si="96"/>
        <v>1</v>
      </c>
      <c r="AA98" s="25"/>
      <c r="AB98" s="25"/>
      <c r="AC98" s="25"/>
      <c r="AD98" s="25"/>
      <c r="AE98" s="25"/>
    </row>
    <row r="99" spans="1:31" ht="16.5">
      <c r="A99" s="55">
        <v>19</v>
      </c>
      <c r="B99" s="54">
        <v>0</v>
      </c>
      <c r="C99" s="29" t="s">
        <v>34</v>
      </c>
      <c r="D99" s="52"/>
      <c r="E99" s="51">
        <v>320</v>
      </c>
      <c r="F99" s="51">
        <v>2</v>
      </c>
      <c r="G99" s="51">
        <v>0</v>
      </c>
      <c r="H99" s="51">
        <v>7000</v>
      </c>
      <c r="I99" s="51">
        <v>0</v>
      </c>
      <c r="J99" s="51" t="s">
        <v>58</v>
      </c>
      <c r="K99" s="51">
        <v>900</v>
      </c>
      <c r="L99" t="s">
        <v>568</v>
      </c>
      <c r="M99" s="32">
        <f t="shared" si="84"/>
        <v>280</v>
      </c>
      <c r="N99" s="33">
        <f t="shared" si="85"/>
        <v>1</v>
      </c>
      <c r="O99" s="33">
        <f t="shared" si="86"/>
        <v>2</v>
      </c>
      <c r="P99" s="33">
        <f t="shared" si="87"/>
        <v>1</v>
      </c>
      <c r="Q99" s="34">
        <f t="shared" si="88"/>
        <v>0</v>
      </c>
      <c r="R99" s="33">
        <f t="shared" si="89"/>
        <v>1</v>
      </c>
      <c r="S99" s="34">
        <f t="shared" si="97"/>
        <v>8000</v>
      </c>
      <c r="T99" s="34">
        <f t="shared" si="90"/>
        <v>1</v>
      </c>
      <c r="U99" s="34">
        <f t="shared" si="91"/>
        <v>0</v>
      </c>
      <c r="V99" s="34">
        <f t="shared" si="92"/>
        <v>1</v>
      </c>
      <c r="W99" s="34" t="str">
        <f t="shared" si="93"/>
        <v>BKN</v>
      </c>
      <c r="X99" s="34">
        <f t="shared" si="94"/>
        <v>1</v>
      </c>
      <c r="Y99" s="34">
        <f t="shared" si="95"/>
        <v>900</v>
      </c>
      <c r="Z99" s="34">
        <f t="shared" si="96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29" t="s">
        <v>34</v>
      </c>
      <c r="D100" s="52"/>
      <c r="E100" s="51">
        <v>320</v>
      </c>
      <c r="F100" s="51">
        <v>2</v>
      </c>
      <c r="G100" s="51">
        <v>0</v>
      </c>
      <c r="H100" s="51">
        <v>7000</v>
      </c>
      <c r="I100" s="51">
        <v>0</v>
      </c>
      <c r="J100" s="51" t="s">
        <v>58</v>
      </c>
      <c r="K100" s="51">
        <v>900</v>
      </c>
      <c r="L100" t="s">
        <v>567</v>
      </c>
      <c r="M100" s="32">
        <f t="shared" ref="M100:M104" si="98">IF(ISNUMBER(VALUE(FIND("VRB",L100))),999,VALUE(MID(L100,20,3)))</f>
        <v>300</v>
      </c>
      <c r="N100" s="33">
        <f t="shared" ref="N100:N104" si="99">IF(OR(ABS(E100-M100)&lt;61,AND(ABS(E100-M100)&gt;60,O100&lt;10),E100=M100,AND(E100=999,ISNUMBER(VALUE(FIND("TS",L100)))),AND(E100=999,ISNUMBER(VALUE(FIND("CB",L100)))),AND(E100=999,O100&lt;10),AND(F100&lt;10,M100=999,O100&lt;10)),1,0)</f>
        <v>1</v>
      </c>
      <c r="O100" s="33">
        <f t="shared" ref="O100:O104" si="100">VALUE(MID(L100,23,2))</f>
        <v>2</v>
      </c>
      <c r="P100" s="33">
        <f t="shared" ref="P100:P104" si="101">IF(ABS(O100-F100)&lt;11,1,0)</f>
        <v>1</v>
      </c>
      <c r="Q100" s="34">
        <f t="shared" ref="Q100:Q104" si="102">IF(MID(L100,25,1)="G","GUST",0)</f>
        <v>0</v>
      </c>
      <c r="R100" s="33">
        <f t="shared" ref="R100:R104" si="103">IF(G100=Q100,1,0)</f>
        <v>1</v>
      </c>
      <c r="S100" s="34">
        <f t="shared" ref="S100:S104" si="104">IF(ISNUMBER(VALUE(MID(L100,(FIND("KT",L100,FIND("Z",L100))+3),4))),VALUE(MID(L100,(FIND("KT",L100,FIND("Z",L100))+3),4)),IF(ISNUMBER(VALUE(MID(L100,(FIND("0V",L100)+6),4))),VALUE(MID(L100,(FIND("0V",L100)+6),4)),9999))</f>
        <v>8000</v>
      </c>
      <c r="T100" s="34">
        <f t="shared" ref="T100:T104" si="105">IF(OR(AND(H100&lt;801,S100&lt;801),AND(H100&gt;799,H100&lt;1501,S100&gt;799,S100&lt;1502),AND(H100&gt;1499,H100&lt;3001,S100&gt;1499,S100&lt;3001),AND(H100&gt;2999,H100&lt;5001,S100&gt;2999,S100&lt;5001),AND(H100&gt;4999,S100&gt;4999)),1,0)</f>
        <v>1</v>
      </c>
      <c r="U100" s="34">
        <f t="shared" ref="U100:U104" si="106">IF(AND(IFERROR(FIND("RA",L100),0)&gt;0, IFERROR(FIND("RA",L100),0)&lt;38),"RA",0)</f>
        <v>0</v>
      </c>
      <c r="V100" s="34">
        <f t="shared" ref="V100:V104" si="107">IF(U100=I100,1,0)</f>
        <v>1</v>
      </c>
      <c r="W100" s="34" t="str">
        <f t="shared" ref="W100:W104" si="108">IF(ISNUMBER(VALUE(FIND("FEW",L100))),"FEW",IF(ISNUMBER(VALUE(FIND("SCT",L100))),"SCT",IF(ISNUMBER(VALUE(FIND("BKN",L100))),"BKN",IF(ISNUMBER(VALUE(FIND("OVC",L100))),"OVC",IF(ISNUMBER(VALUE(FIND("SKC",L100))),"SKC",IF(ISNUMBER(VALUE(FIND("CAVOK",L100))),"SKC",IF(ISNUMBER(VALUE(FIND("NSC",L100))),"SKC","EROR")))))))</f>
        <v>BKN</v>
      </c>
      <c r="X100" s="34">
        <f t="shared" ref="X100:X104" si="109">IF(OR(AND(OR(J100="SKC",J100="FEW",J100="SCT"),OR(W100="SKC",W100="FEW",W100="SCT")),(AND(OR(J100="BKN",J100="OVC"),OR(W100="BKN",W100="OVC")))),1,0)</f>
        <v>1</v>
      </c>
      <c r="Y100" s="34">
        <f t="shared" ref="Y100:Y104" si="110">IF(ISNUMBER(VALUE(FIND("CAVOK",L100))),9999,IF(ISNUMBER(VALUE(FIND("NSC",L100))),9999,(MID(L100,(FIND(W100,L100)+4),2))*100))</f>
        <v>900</v>
      </c>
      <c r="Z100" s="34">
        <f t="shared" ref="Z100:Z104" si="111">IF(AND(Y100&lt;1001,ABS(K100-Y100)&lt;101),1,IF(AND(Y100&gt;1000,ABS(Y100-K100)/K100&lt;0.30005),1,0))</f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29" t="s">
        <v>34</v>
      </c>
      <c r="D101" s="52"/>
      <c r="E101" s="51">
        <v>320</v>
      </c>
      <c r="F101" s="51">
        <v>2</v>
      </c>
      <c r="G101" s="51">
        <v>0</v>
      </c>
      <c r="H101" s="51">
        <v>7000</v>
      </c>
      <c r="I101" s="51">
        <v>0</v>
      </c>
      <c r="J101" s="51" t="s">
        <v>58</v>
      </c>
      <c r="K101" s="51">
        <v>900</v>
      </c>
      <c r="L101" t="s">
        <v>566</v>
      </c>
      <c r="M101" s="32">
        <f t="shared" si="98"/>
        <v>10</v>
      </c>
      <c r="N101" s="33">
        <f t="shared" si="99"/>
        <v>1</v>
      </c>
      <c r="O101" s="33">
        <f t="shared" si="100"/>
        <v>2</v>
      </c>
      <c r="P101" s="33">
        <f t="shared" si="101"/>
        <v>1</v>
      </c>
      <c r="Q101" s="34">
        <f t="shared" si="102"/>
        <v>0</v>
      </c>
      <c r="R101" s="33">
        <f t="shared" si="103"/>
        <v>1</v>
      </c>
      <c r="S101" s="34">
        <f t="shared" si="104"/>
        <v>8000</v>
      </c>
      <c r="T101" s="34">
        <f t="shared" si="105"/>
        <v>1</v>
      </c>
      <c r="U101" s="34">
        <f t="shared" si="106"/>
        <v>0</v>
      </c>
      <c r="V101" s="34">
        <f t="shared" si="107"/>
        <v>1</v>
      </c>
      <c r="W101" s="34" t="str">
        <f t="shared" si="108"/>
        <v>BKN</v>
      </c>
      <c r="X101" s="34">
        <f t="shared" si="109"/>
        <v>1</v>
      </c>
      <c r="Y101" s="34">
        <f t="shared" si="110"/>
        <v>900</v>
      </c>
      <c r="Z101" s="34">
        <f t="shared" si="111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29" t="s">
        <v>34</v>
      </c>
      <c r="D102" s="52"/>
      <c r="E102" s="51">
        <v>320</v>
      </c>
      <c r="F102" s="51">
        <v>2</v>
      </c>
      <c r="G102" s="51">
        <v>0</v>
      </c>
      <c r="H102" s="51">
        <v>7000</v>
      </c>
      <c r="I102" s="51">
        <v>0</v>
      </c>
      <c r="J102" s="51" t="s">
        <v>58</v>
      </c>
      <c r="K102" s="51">
        <v>900</v>
      </c>
      <c r="L102" t="s">
        <v>565</v>
      </c>
      <c r="M102" s="32">
        <f t="shared" si="98"/>
        <v>300</v>
      </c>
      <c r="N102" s="33">
        <f t="shared" si="99"/>
        <v>1</v>
      </c>
      <c r="O102" s="33">
        <f t="shared" si="100"/>
        <v>3</v>
      </c>
      <c r="P102" s="33">
        <f t="shared" si="101"/>
        <v>1</v>
      </c>
      <c r="Q102" s="34">
        <f t="shared" si="102"/>
        <v>0</v>
      </c>
      <c r="R102" s="33">
        <f t="shared" si="103"/>
        <v>1</v>
      </c>
      <c r="S102" s="34">
        <f t="shared" si="104"/>
        <v>8000</v>
      </c>
      <c r="T102" s="34">
        <f t="shared" si="105"/>
        <v>1</v>
      </c>
      <c r="U102" s="34">
        <f t="shared" si="106"/>
        <v>0</v>
      </c>
      <c r="V102" s="34">
        <f t="shared" si="107"/>
        <v>1</v>
      </c>
      <c r="W102" s="34" t="str">
        <f t="shared" si="108"/>
        <v>BKN</v>
      </c>
      <c r="X102" s="34">
        <f t="shared" si="109"/>
        <v>1</v>
      </c>
      <c r="Y102" s="34">
        <f t="shared" si="110"/>
        <v>900</v>
      </c>
      <c r="Z102" s="34">
        <f t="shared" si="111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29" t="s">
        <v>34</v>
      </c>
      <c r="D103" s="52"/>
      <c r="E103" s="51">
        <v>320</v>
      </c>
      <c r="F103" s="51">
        <v>2</v>
      </c>
      <c r="G103" s="51">
        <v>0</v>
      </c>
      <c r="H103" s="51">
        <v>7000</v>
      </c>
      <c r="I103" s="51">
        <v>0</v>
      </c>
      <c r="J103" s="51" t="s">
        <v>58</v>
      </c>
      <c r="K103" s="51">
        <v>900</v>
      </c>
      <c r="L103" t="s">
        <v>564</v>
      </c>
      <c r="M103" s="32">
        <f t="shared" si="98"/>
        <v>200</v>
      </c>
      <c r="N103" s="33">
        <f t="shared" si="99"/>
        <v>1</v>
      </c>
      <c r="O103" s="33">
        <f t="shared" si="100"/>
        <v>3</v>
      </c>
      <c r="P103" s="33">
        <f t="shared" si="101"/>
        <v>1</v>
      </c>
      <c r="Q103" s="34">
        <f t="shared" si="102"/>
        <v>0</v>
      </c>
      <c r="R103" s="33">
        <f t="shared" si="103"/>
        <v>1</v>
      </c>
      <c r="S103" s="34">
        <f t="shared" si="104"/>
        <v>8000</v>
      </c>
      <c r="T103" s="34">
        <f t="shared" si="105"/>
        <v>1</v>
      </c>
      <c r="U103" s="34">
        <f t="shared" si="106"/>
        <v>0</v>
      </c>
      <c r="V103" s="34">
        <f t="shared" si="107"/>
        <v>1</v>
      </c>
      <c r="W103" s="34" t="str">
        <f t="shared" si="108"/>
        <v>BKN</v>
      </c>
      <c r="X103" s="34">
        <f t="shared" si="109"/>
        <v>1</v>
      </c>
      <c r="Y103" s="34">
        <f t="shared" si="110"/>
        <v>900</v>
      </c>
      <c r="Z103" s="34">
        <f t="shared" si="111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29" t="s">
        <v>34</v>
      </c>
      <c r="D104" s="52"/>
      <c r="E104" s="51">
        <v>320</v>
      </c>
      <c r="F104" s="51">
        <v>2</v>
      </c>
      <c r="G104" s="51">
        <v>0</v>
      </c>
      <c r="H104" s="51">
        <v>7000</v>
      </c>
      <c r="I104" s="51">
        <v>0</v>
      </c>
      <c r="J104" s="51" t="s">
        <v>58</v>
      </c>
      <c r="K104" s="51">
        <v>900</v>
      </c>
      <c r="L104" t="s">
        <v>563</v>
      </c>
      <c r="M104" s="32">
        <f t="shared" si="98"/>
        <v>230</v>
      </c>
      <c r="N104" s="33">
        <f t="shared" si="99"/>
        <v>1</v>
      </c>
      <c r="O104" s="33">
        <f t="shared" si="100"/>
        <v>4</v>
      </c>
      <c r="P104" s="33">
        <f t="shared" si="101"/>
        <v>1</v>
      </c>
      <c r="Q104" s="34">
        <f t="shared" si="102"/>
        <v>0</v>
      </c>
      <c r="R104" s="33">
        <f t="shared" si="103"/>
        <v>1</v>
      </c>
      <c r="S104" s="34">
        <f t="shared" si="104"/>
        <v>8000</v>
      </c>
      <c r="T104" s="34">
        <f t="shared" si="105"/>
        <v>1</v>
      </c>
      <c r="U104" s="34">
        <f t="shared" si="106"/>
        <v>0</v>
      </c>
      <c r="V104" s="34">
        <f t="shared" si="107"/>
        <v>1</v>
      </c>
      <c r="W104" s="34" t="str">
        <f t="shared" si="108"/>
        <v>BKN</v>
      </c>
      <c r="X104" s="34">
        <f t="shared" si="109"/>
        <v>1</v>
      </c>
      <c r="Y104" s="34">
        <f t="shared" si="110"/>
        <v>900</v>
      </c>
      <c r="Z104" s="34">
        <f t="shared" si="111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10</v>
      </c>
      <c r="U109" s="25"/>
      <c r="V109" s="25">
        <f>SUM(V93:V104)</f>
        <v>9</v>
      </c>
      <c r="W109" s="25"/>
      <c r="X109" s="25">
        <f>SUM(X93:X104)</f>
        <v>10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3</v>
      </c>
      <c r="O110" s="25"/>
      <c r="P110" s="25">
        <f>SUMIF($C93:$C104,"GENERAL",P93:P104)</f>
        <v>3</v>
      </c>
      <c r="Q110" s="25"/>
      <c r="R110" s="25">
        <f>SUMIF($C93:$C104,"GENERAL",R93:R104)</f>
        <v>3</v>
      </c>
      <c r="S110" s="25"/>
      <c r="T110" s="25">
        <f>SUMIF($C93:$C104,"GENERAL",T93:T104)</f>
        <v>1</v>
      </c>
      <c r="U110" s="25"/>
      <c r="V110" s="25">
        <f>SUMIF($C93:$C104,"GENERAL",V93:V104)</f>
        <v>0</v>
      </c>
      <c r="W110" s="25"/>
      <c r="X110" s="25">
        <f>SUMIF($C93:$C104,"GENERAL",X93:X104)</f>
        <v>1</v>
      </c>
      <c r="Y110" s="25"/>
      <c r="Z110" s="25">
        <f>SUMIF($C93:$C104,"GENERAL",Z93:Z104)</f>
        <v>3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9</v>
      </c>
      <c r="O111" s="25"/>
      <c r="P111" s="25">
        <f>SUMIF($C93:$C104,"BECMG",P93:P104)</f>
        <v>9</v>
      </c>
      <c r="Q111" s="25"/>
      <c r="R111" s="25">
        <f>SUMIF($C93:$C104,"BECMG",R93:R104)</f>
        <v>9</v>
      </c>
      <c r="S111" s="25"/>
      <c r="T111" s="25">
        <f>SUMIF($C93:$C104,"BECMG",T93:T104)</f>
        <v>9</v>
      </c>
      <c r="U111" s="25"/>
      <c r="V111" s="25">
        <f>SUMIF($C93:$C104,"BECMG",V93:V104)</f>
        <v>9</v>
      </c>
      <c r="W111" s="25"/>
      <c r="X111" s="25">
        <f>SUMIF($C93:$C104,"BECMG",X93:X104)</f>
        <v>9</v>
      </c>
      <c r="Y111" s="25"/>
      <c r="Z111" s="25">
        <f>SUMIF($C93:$C104,"BECMG",Z93:Z104)</f>
        <v>9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83.333333333333343</v>
      </c>
      <c r="U114" s="38"/>
      <c r="V114" s="38">
        <f>(SUM(V110:V113)/COUNTA(V93:V104))*100</f>
        <v>75</v>
      </c>
      <c r="W114" s="38"/>
      <c r="X114" s="38">
        <f>(SUM(X110:X113)/COUNTA(X93:X104))*100</f>
        <v>83.333333333333343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9B7C-0FAC-EB43-A0D9-3D6EE1D86FD8}">
  <sheetPr>
    <tabColor theme="0"/>
  </sheetPr>
  <dimension ref="A1:AE115"/>
  <sheetViews>
    <sheetView topLeftCell="A82" zoomScale="85" zoomScaleNormal="85" workbookViewId="0">
      <selection activeCell="C94" sqref="C94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569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19</v>
      </c>
      <c r="B7" s="28">
        <v>0</v>
      </c>
      <c r="C7" s="29" t="s">
        <v>39</v>
      </c>
      <c r="D7" s="29"/>
      <c r="E7" s="29">
        <v>270</v>
      </c>
      <c r="F7" s="29">
        <v>3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1" t="s">
        <v>568</v>
      </c>
      <c r="M7" s="32">
        <f t="shared" ref="M7:M14" si="0">IF(ISNUMBER(VALUE(FIND("VRB",L7))),999,VALUE(MID(L7,20,3)))</f>
        <v>280</v>
      </c>
      <c r="N7" s="33">
        <f t="shared" ref="N7:N14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4" si="2">VALUE(MID(L7,23,2))</f>
        <v>2</v>
      </c>
      <c r="P7" s="33">
        <f t="shared" ref="P7:P14" si="3">IF(ABS(O7-F7)&lt;11,1,0)</f>
        <v>1</v>
      </c>
      <c r="Q7" s="34">
        <f t="shared" ref="Q7:Q14" si="4">IF(MID(L7,25,1)="G","GUST",0)</f>
        <v>0</v>
      </c>
      <c r="R7" s="33">
        <f t="shared" ref="R7:R14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4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4" si="10">IF(OR(AND(OR(J7="SKC",J7="FEW",J7="SCT"),OR(W7="SKC",W7="FEW",W7="SCT")),(AND(OR(J7="BKN",J7="OVC"),OR(W7="BKN",W7="OVC")))),1,0)</f>
        <v>1</v>
      </c>
      <c r="Y7" s="34">
        <f t="shared" ref="Y7:Y14" si="11">IF(ISNUMBER(VALUE(FIND("CAVOK",L7))),9999,IF(ISNUMBER(VALUE(FIND("NSC",L7))),9999,(MID(L7,(FIND(W7,L7)+4),2))*100))</f>
        <v>900</v>
      </c>
      <c r="Z7" s="34">
        <f t="shared" ref="Z7:Z14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270</v>
      </c>
      <c r="F8" s="29">
        <v>3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1" t="s">
        <v>567</v>
      </c>
      <c r="M8" s="32">
        <f t="shared" si="0"/>
        <v>300</v>
      </c>
      <c r="N8" s="33">
        <f t="shared" si="1"/>
        <v>1</v>
      </c>
      <c r="O8" s="33">
        <f t="shared" si="2"/>
        <v>2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270</v>
      </c>
      <c r="F9" s="29">
        <v>3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1" t="s">
        <v>566</v>
      </c>
      <c r="M9" s="32">
        <f t="shared" si="0"/>
        <v>10</v>
      </c>
      <c r="N9" s="33">
        <f t="shared" si="1"/>
        <v>1</v>
      </c>
      <c r="O9" s="33">
        <f t="shared" si="2"/>
        <v>2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270</v>
      </c>
      <c r="F10" s="29">
        <v>3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1" t="s">
        <v>565</v>
      </c>
      <c r="M10" s="32">
        <f t="shared" si="0"/>
        <v>300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270</v>
      </c>
      <c r="F11" s="29">
        <v>3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1" t="s">
        <v>564</v>
      </c>
      <c r="M11" s="32">
        <f t="shared" si="0"/>
        <v>200</v>
      </c>
      <c r="N11" s="33">
        <f t="shared" si="1"/>
        <v>1</v>
      </c>
      <c r="O11" s="33">
        <f t="shared" si="2"/>
        <v>3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270</v>
      </c>
      <c r="F12" s="29">
        <v>3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1" t="s">
        <v>563</v>
      </c>
      <c r="M12" s="32">
        <f t="shared" si="0"/>
        <v>230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40</v>
      </c>
      <c r="D13" s="29"/>
      <c r="E13" s="29">
        <v>270</v>
      </c>
      <c r="F13" s="29">
        <v>3</v>
      </c>
      <c r="G13" s="29">
        <v>0</v>
      </c>
      <c r="H13" s="29">
        <v>5000</v>
      </c>
      <c r="I13" s="29" t="s">
        <v>52</v>
      </c>
      <c r="J13" s="29" t="s">
        <v>51</v>
      </c>
      <c r="K13" s="29">
        <v>800</v>
      </c>
      <c r="L13" s="1" t="s">
        <v>571</v>
      </c>
      <c r="M13" s="32">
        <f t="shared" si="0"/>
        <v>200</v>
      </c>
      <c r="N13" s="33">
        <f t="shared" si="1"/>
        <v>1</v>
      </c>
      <c r="O13" s="33">
        <f t="shared" si="2"/>
        <v>3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0</v>
      </c>
      <c r="W13" s="34" t="str">
        <f t="shared" si="9"/>
        <v>BKN</v>
      </c>
      <c r="X13" s="34">
        <f t="shared" si="10"/>
        <v>0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40</v>
      </c>
      <c r="D14" s="29"/>
      <c r="E14" s="29">
        <v>270</v>
      </c>
      <c r="F14" s="29">
        <v>3</v>
      </c>
      <c r="G14" s="29">
        <v>0</v>
      </c>
      <c r="H14" s="29">
        <v>5000</v>
      </c>
      <c r="I14" s="29" t="s">
        <v>52</v>
      </c>
      <c r="J14" s="29" t="s">
        <v>51</v>
      </c>
      <c r="K14" s="29">
        <v>800</v>
      </c>
      <c r="L14" s="1" t="s">
        <v>572</v>
      </c>
      <c r="M14" s="32">
        <f t="shared" si="0"/>
        <v>230</v>
      </c>
      <c r="N14" s="33">
        <f t="shared" si="1"/>
        <v>1</v>
      </c>
      <c r="O14" s="33">
        <f t="shared" si="2"/>
        <v>3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0</v>
      </c>
      <c r="W14" s="34" t="str">
        <f t="shared" si="9"/>
        <v>BKN</v>
      </c>
      <c r="X14" s="34">
        <f t="shared" si="10"/>
        <v>0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40</v>
      </c>
      <c r="D15" s="29"/>
      <c r="E15" s="29">
        <v>270</v>
      </c>
      <c r="F15" s="29">
        <v>3</v>
      </c>
      <c r="G15" s="29">
        <v>0</v>
      </c>
      <c r="H15" s="29">
        <v>5000</v>
      </c>
      <c r="I15" s="29" t="s">
        <v>52</v>
      </c>
      <c r="J15" s="29" t="s">
        <v>51</v>
      </c>
      <c r="K15" s="29">
        <v>800</v>
      </c>
      <c r="L15" s="1" t="s">
        <v>577</v>
      </c>
      <c r="M15" s="32">
        <f t="shared" ref="M15:M18" si="14">IF(ISNUMBER(VALUE(FIND("VRB",L15))),999,VALUE(MID(L15,20,3)))</f>
        <v>180</v>
      </c>
      <c r="N15" s="33">
        <f t="shared" ref="N15:N18" si="15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8" si="16">VALUE(MID(L15,23,2))</f>
        <v>3</v>
      </c>
      <c r="P15" s="33">
        <f t="shared" ref="P15:P18" si="17">IF(ABS(O15-F15)&lt;11,1,0)</f>
        <v>1</v>
      </c>
      <c r="Q15" s="34">
        <f t="shared" ref="Q15:Q18" si="18">IF(MID(L15,25,1)="G","GUST",0)</f>
        <v>0</v>
      </c>
      <c r="R15" s="33">
        <f t="shared" ref="R15:R18" si="19">IF(G15=Q15,1,0)</f>
        <v>1</v>
      </c>
      <c r="S15" s="34">
        <f t="shared" si="13"/>
        <v>8000</v>
      </c>
      <c r="T15" s="34">
        <f t="shared" si="6"/>
        <v>1</v>
      </c>
      <c r="U15" s="34">
        <f t="shared" si="7"/>
        <v>0</v>
      </c>
      <c r="V15" s="34">
        <f t="shared" si="8"/>
        <v>0</v>
      </c>
      <c r="W15" s="34" t="str">
        <f t="shared" ref="W15:W18" si="20"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BKN</v>
      </c>
      <c r="X15" s="34">
        <f t="shared" ref="X15:X18" si="21">IF(OR(AND(OR(J15="SKC",J15="FEW",J15="SCT"),OR(W15="SKC",W15="FEW",W15="SCT")),(AND(OR(J15="BKN",J15="OVC"),OR(W15="BKN",W15="OVC")))),1,0)</f>
        <v>0</v>
      </c>
      <c r="Y15" s="34">
        <f t="shared" ref="Y15:Y18" si="22">IF(ISNUMBER(VALUE(FIND("CAVOK",L15))),9999,IF(ISNUMBER(VALUE(FIND("NSC",L15))),9999,(MID(L15,(FIND(W15,L15)+4),2))*100))</f>
        <v>900</v>
      </c>
      <c r="Z15" s="34">
        <f t="shared" ref="Z15:Z18" si="23">IF(AND(Y15&lt;1001,ABS(K15-Y15)&lt;101),1,IF(AND(Y15&gt;1000,ABS(Y15-K15)/K15&lt;0.30005),1,0))</f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40</v>
      </c>
      <c r="D16" s="29"/>
      <c r="E16" s="29">
        <v>270</v>
      </c>
      <c r="F16" s="29">
        <v>3</v>
      </c>
      <c r="G16" s="29">
        <v>0</v>
      </c>
      <c r="H16" s="29">
        <v>5000</v>
      </c>
      <c r="I16" s="29" t="s">
        <v>52</v>
      </c>
      <c r="J16" s="29" t="s">
        <v>51</v>
      </c>
      <c r="K16" s="29">
        <v>800</v>
      </c>
      <c r="L16" s="1" t="s">
        <v>578</v>
      </c>
      <c r="M16" s="32">
        <f t="shared" si="14"/>
        <v>180</v>
      </c>
      <c r="N16" s="33">
        <f t="shared" si="15"/>
        <v>1</v>
      </c>
      <c r="O16" s="33">
        <f t="shared" si="16"/>
        <v>3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6"/>
        <v>1</v>
      </c>
      <c r="U16" s="34">
        <f t="shared" si="7"/>
        <v>0</v>
      </c>
      <c r="V16" s="34">
        <f t="shared" si="8"/>
        <v>0</v>
      </c>
      <c r="W16" s="34" t="str">
        <f t="shared" si="20"/>
        <v>BKN</v>
      </c>
      <c r="X16" s="34">
        <f t="shared" si="21"/>
        <v>0</v>
      </c>
      <c r="Y16" s="34">
        <f t="shared" si="22"/>
        <v>900</v>
      </c>
      <c r="Z16" s="34">
        <f t="shared" si="23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270</v>
      </c>
      <c r="F17" s="29">
        <v>3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1" t="s">
        <v>579</v>
      </c>
      <c r="M17" s="32">
        <f t="shared" si="14"/>
        <v>190</v>
      </c>
      <c r="N17" s="33">
        <f t="shared" si="15"/>
        <v>1</v>
      </c>
      <c r="O17" s="33">
        <f t="shared" si="16"/>
        <v>2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8000</v>
      </c>
      <c r="T17" s="34">
        <f t="shared" si="6"/>
        <v>1</v>
      </c>
      <c r="U17" s="34">
        <f t="shared" si="7"/>
        <v>0</v>
      </c>
      <c r="V17" s="34">
        <f t="shared" si="8"/>
        <v>1</v>
      </c>
      <c r="W17" s="34" t="str">
        <f t="shared" si="20"/>
        <v>BKN</v>
      </c>
      <c r="X17" s="34">
        <f t="shared" si="21"/>
        <v>1</v>
      </c>
      <c r="Y17" s="34">
        <f t="shared" si="22"/>
        <v>900</v>
      </c>
      <c r="Z17" s="34">
        <f t="shared" si="23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270</v>
      </c>
      <c r="F18" s="29">
        <v>3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1" t="s">
        <v>580</v>
      </c>
      <c r="M18" s="32">
        <f t="shared" si="14"/>
        <v>170</v>
      </c>
      <c r="N18" s="33">
        <f t="shared" si="15"/>
        <v>1</v>
      </c>
      <c r="O18" s="33">
        <f t="shared" si="16"/>
        <v>6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8000</v>
      </c>
      <c r="T18" s="34">
        <f t="shared" si="6"/>
        <v>1</v>
      </c>
      <c r="U18" s="34" t="str">
        <f t="shared" si="7"/>
        <v>RA</v>
      </c>
      <c r="V18" s="34">
        <f t="shared" si="8"/>
        <v>0</v>
      </c>
      <c r="W18" s="34" t="str">
        <f t="shared" si="20"/>
        <v>FEW</v>
      </c>
      <c r="X18" s="34">
        <f t="shared" si="21"/>
        <v>0</v>
      </c>
      <c r="Y18" s="34">
        <f t="shared" si="22"/>
        <v>800</v>
      </c>
      <c r="Z18" s="34">
        <f t="shared" si="23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 ht="20.25">
      <c r="A21" s="25"/>
      <c r="B21" s="25"/>
      <c r="C21" s="41"/>
      <c r="D21" s="56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7</v>
      </c>
      <c r="W23" s="25"/>
      <c r="X23" s="25">
        <f>SUM(X7:X18)</f>
        <v>7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8</v>
      </c>
      <c r="O24" s="25"/>
      <c r="P24" s="25">
        <f>SUMIF($C7:$C18,"GENERAL",P7:P18)</f>
        <v>8</v>
      </c>
      <c r="Q24" s="25"/>
      <c r="R24" s="25">
        <f>SUMIF($C7:$C18,"GENERAL",R7:R18)</f>
        <v>8</v>
      </c>
      <c r="S24" s="25"/>
      <c r="T24" s="25">
        <f>SUMIF($C7:$C18,"GENERAL",T7:T18)</f>
        <v>8</v>
      </c>
      <c r="U24" s="25"/>
      <c r="V24" s="25">
        <f>SUMIF($C7:$C18,"GENERAL",V7:V18)</f>
        <v>7</v>
      </c>
      <c r="W24" s="25"/>
      <c r="X24" s="25">
        <f>SUMIF($C7:$C18,"GENERAL",X7:X18)</f>
        <v>7</v>
      </c>
      <c r="Y24" s="25"/>
      <c r="Z24" s="25">
        <f>SUMIF($C7:$C18,"GENERAL",Z7:Z18)</f>
        <v>8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4</v>
      </c>
      <c r="M27" s="42">
        <f>SUMIF($C7:$C18,"TEMPO",N7:N18)</f>
        <v>4</v>
      </c>
      <c r="N27" s="42">
        <f>M27</f>
        <v>4</v>
      </c>
      <c r="O27" s="42">
        <f>SUMIF($C7:$C18,"TEMPO",P7:P18)</f>
        <v>4</v>
      </c>
      <c r="P27" s="42">
        <f>O27</f>
        <v>4</v>
      </c>
      <c r="Q27" s="42">
        <f>SUMIF($C7:$C18,"TEMPO",R7:R18)</f>
        <v>4</v>
      </c>
      <c r="R27" s="42">
        <f>Q27</f>
        <v>4</v>
      </c>
      <c r="S27" s="42">
        <f>SUMIF($C7:$C18,"TEMPO",T7:T18)</f>
        <v>4</v>
      </c>
      <c r="T27" s="42">
        <f>S27</f>
        <v>4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4</v>
      </c>
      <c r="Z27" s="42">
        <f>Y27</f>
        <v>4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58.333333333333336</v>
      </c>
      <c r="W28" s="38"/>
      <c r="X28" s="38">
        <f>(SUM(X24:X27)/COUNTA(X7:X18))*100</f>
        <v>58.333333333333336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570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19</v>
      </c>
      <c r="B36" s="28">
        <v>0.25</v>
      </c>
      <c r="C36" s="29" t="s">
        <v>39</v>
      </c>
      <c r="D36" s="29"/>
      <c r="E36" s="29">
        <v>250</v>
      </c>
      <c r="F36" s="29">
        <v>3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1" t="s">
        <v>571</v>
      </c>
      <c r="M36" s="32">
        <f t="shared" ref="M36:M41" si="24">IF(ISNUMBER(VALUE(FIND("VRB",L36))),999,VALUE(MID(L36,20,3)))</f>
        <v>200</v>
      </c>
      <c r="N36" s="33">
        <f t="shared" ref="N36:N41" si="2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6">VALUE(MID(L36,23,2))</f>
        <v>3</v>
      </c>
      <c r="P36" s="33">
        <f t="shared" ref="P36:P41" si="27">IF(ABS(O36-F36)&lt;11,1,0)</f>
        <v>1</v>
      </c>
      <c r="Q36" s="34">
        <f t="shared" ref="Q36:Q41" si="28">IF(MID(L36,25,1)="G","GUST",0)</f>
        <v>0</v>
      </c>
      <c r="R36" s="33">
        <f t="shared" ref="R36:R41" si="2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3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31">IF(AND(IFERROR(FIND("RA",L36),0)&gt;0, IFERROR(FIND("RA",L36),0)&lt;38),"RA",0)</f>
        <v>0</v>
      </c>
      <c r="V36" s="34">
        <f t="shared" ref="V36:V47" si="32">IF(U36=I36,1,0)</f>
        <v>1</v>
      </c>
      <c r="W36" s="34" t="str">
        <f t="shared" ref="W36:W41" si="3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1" si="34">IF(OR(AND(OR(J36="SKC",J36="FEW",J36="SCT"),OR(W36="SKC",W36="FEW",W36="SCT")),(AND(OR(J36="BKN",J36="OVC"),OR(W36="BKN",W36="OVC")))),1,0)</f>
        <v>1</v>
      </c>
      <c r="Y36" s="34">
        <f t="shared" ref="Y36:Y41" si="35">IF(ISNUMBER(VALUE(FIND("CAVOK",L36))),9999,IF(ISNUMBER(VALUE(FIND("NSC",L36))),9999,(MID(L36,(FIND(W36,L36)+4),2))*100))</f>
        <v>900</v>
      </c>
      <c r="Z36" s="34">
        <f t="shared" ref="Z36:Z41" si="3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29"/>
      <c r="E37" s="29">
        <v>250</v>
      </c>
      <c r="F37" s="29">
        <v>3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1" t="s">
        <v>572</v>
      </c>
      <c r="M37" s="32">
        <f t="shared" si="24"/>
        <v>230</v>
      </c>
      <c r="N37" s="33">
        <f t="shared" si="25"/>
        <v>1</v>
      </c>
      <c r="O37" s="33">
        <f t="shared" si="26"/>
        <v>3</v>
      </c>
      <c r="P37" s="33">
        <f t="shared" si="27"/>
        <v>1</v>
      </c>
      <c r="Q37" s="34">
        <f t="shared" si="28"/>
        <v>0</v>
      </c>
      <c r="R37" s="33">
        <f t="shared" si="29"/>
        <v>1</v>
      </c>
      <c r="S37" s="34">
        <f t="shared" ref="S37:S47" si="3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0"/>
        <v>1</v>
      </c>
      <c r="U37" s="34">
        <f t="shared" si="31"/>
        <v>0</v>
      </c>
      <c r="V37" s="34">
        <f t="shared" si="32"/>
        <v>1</v>
      </c>
      <c r="W37" s="34" t="str">
        <f t="shared" si="33"/>
        <v>BKN</v>
      </c>
      <c r="X37" s="34">
        <f t="shared" si="34"/>
        <v>1</v>
      </c>
      <c r="Y37" s="34">
        <f t="shared" si="35"/>
        <v>900</v>
      </c>
      <c r="Z37" s="34">
        <f t="shared" si="3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29"/>
      <c r="E38" s="29">
        <v>250</v>
      </c>
      <c r="F38" s="29">
        <v>3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s="1" t="s">
        <v>577</v>
      </c>
      <c r="M38" s="32">
        <f t="shared" si="24"/>
        <v>180</v>
      </c>
      <c r="N38" s="33">
        <f t="shared" si="25"/>
        <v>1</v>
      </c>
      <c r="O38" s="33">
        <f t="shared" si="26"/>
        <v>3</v>
      </c>
      <c r="P38" s="33">
        <f t="shared" si="27"/>
        <v>1</v>
      </c>
      <c r="Q38" s="34">
        <f t="shared" si="28"/>
        <v>0</v>
      </c>
      <c r="R38" s="33">
        <f t="shared" si="29"/>
        <v>1</v>
      </c>
      <c r="S38" s="34">
        <f t="shared" si="37"/>
        <v>8000</v>
      </c>
      <c r="T38" s="34">
        <f t="shared" si="30"/>
        <v>1</v>
      </c>
      <c r="U38" s="34">
        <f t="shared" si="31"/>
        <v>0</v>
      </c>
      <c r="V38" s="34">
        <f t="shared" si="32"/>
        <v>1</v>
      </c>
      <c r="W38" s="34" t="str">
        <f t="shared" si="33"/>
        <v>BKN</v>
      </c>
      <c r="X38" s="34">
        <f t="shared" si="34"/>
        <v>1</v>
      </c>
      <c r="Y38" s="34">
        <f t="shared" si="35"/>
        <v>900</v>
      </c>
      <c r="Z38" s="34">
        <f t="shared" si="3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29"/>
      <c r="E39" s="29">
        <v>250</v>
      </c>
      <c r="F39" s="29">
        <v>3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s="1" t="s">
        <v>578</v>
      </c>
      <c r="M39" s="32">
        <f t="shared" si="24"/>
        <v>180</v>
      </c>
      <c r="N39" s="33">
        <f t="shared" si="25"/>
        <v>1</v>
      </c>
      <c r="O39" s="33">
        <f t="shared" si="26"/>
        <v>3</v>
      </c>
      <c r="P39" s="33">
        <f t="shared" si="27"/>
        <v>1</v>
      </c>
      <c r="Q39" s="34">
        <f t="shared" si="28"/>
        <v>0</v>
      </c>
      <c r="R39" s="33">
        <f t="shared" si="29"/>
        <v>1</v>
      </c>
      <c r="S39" s="34">
        <f t="shared" si="37"/>
        <v>8000</v>
      </c>
      <c r="T39" s="34">
        <f t="shared" si="30"/>
        <v>1</v>
      </c>
      <c r="U39" s="34">
        <f t="shared" si="31"/>
        <v>0</v>
      </c>
      <c r="V39" s="34">
        <f t="shared" si="32"/>
        <v>1</v>
      </c>
      <c r="W39" s="34" t="str">
        <f t="shared" si="33"/>
        <v>BKN</v>
      </c>
      <c r="X39" s="34">
        <f t="shared" si="34"/>
        <v>1</v>
      </c>
      <c r="Y39" s="34">
        <f t="shared" si="35"/>
        <v>900</v>
      </c>
      <c r="Z39" s="34">
        <f t="shared" si="3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29"/>
      <c r="E40" s="29">
        <v>250</v>
      </c>
      <c r="F40" s="29">
        <v>3</v>
      </c>
      <c r="G40" s="29">
        <v>0</v>
      </c>
      <c r="H40" s="29">
        <v>8000</v>
      </c>
      <c r="I40" s="29">
        <v>0</v>
      </c>
      <c r="J40" s="29" t="s">
        <v>58</v>
      </c>
      <c r="K40" s="29">
        <v>900</v>
      </c>
      <c r="L40" s="1" t="s">
        <v>579</v>
      </c>
      <c r="M40" s="32">
        <f t="shared" si="24"/>
        <v>190</v>
      </c>
      <c r="N40" s="33">
        <f t="shared" si="25"/>
        <v>1</v>
      </c>
      <c r="O40" s="33">
        <f t="shared" si="26"/>
        <v>2</v>
      </c>
      <c r="P40" s="33">
        <f t="shared" si="27"/>
        <v>1</v>
      </c>
      <c r="Q40" s="34">
        <f t="shared" si="28"/>
        <v>0</v>
      </c>
      <c r="R40" s="33">
        <f t="shared" si="29"/>
        <v>1</v>
      </c>
      <c r="S40" s="34">
        <f t="shared" si="37"/>
        <v>8000</v>
      </c>
      <c r="T40" s="34">
        <f t="shared" si="30"/>
        <v>1</v>
      </c>
      <c r="U40" s="34">
        <f t="shared" si="31"/>
        <v>0</v>
      </c>
      <c r="V40" s="34">
        <f t="shared" si="32"/>
        <v>1</v>
      </c>
      <c r="W40" s="34" t="str">
        <f t="shared" si="33"/>
        <v>BKN</v>
      </c>
      <c r="X40" s="34">
        <f t="shared" si="34"/>
        <v>1</v>
      </c>
      <c r="Y40" s="34">
        <f t="shared" si="35"/>
        <v>900</v>
      </c>
      <c r="Z40" s="34">
        <f t="shared" si="3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29"/>
      <c r="E41" s="29">
        <v>250</v>
      </c>
      <c r="F41" s="29">
        <v>3</v>
      </c>
      <c r="G41" s="29">
        <v>0</v>
      </c>
      <c r="H41" s="29">
        <v>3000</v>
      </c>
      <c r="I41" s="29" t="s">
        <v>52</v>
      </c>
      <c r="J41" s="29" t="s">
        <v>51</v>
      </c>
      <c r="K41" s="29">
        <v>800</v>
      </c>
      <c r="L41" s="1" t="s">
        <v>580</v>
      </c>
      <c r="M41" s="32">
        <f t="shared" si="24"/>
        <v>170</v>
      </c>
      <c r="N41" s="33">
        <f t="shared" si="25"/>
        <v>1</v>
      </c>
      <c r="O41" s="33">
        <f t="shared" si="26"/>
        <v>6</v>
      </c>
      <c r="P41" s="33">
        <f t="shared" si="27"/>
        <v>1</v>
      </c>
      <c r="Q41" s="34">
        <f t="shared" si="28"/>
        <v>0</v>
      </c>
      <c r="R41" s="33">
        <f t="shared" si="29"/>
        <v>1</v>
      </c>
      <c r="S41" s="34">
        <f t="shared" si="37"/>
        <v>8000</v>
      </c>
      <c r="T41" s="34">
        <f t="shared" si="30"/>
        <v>0</v>
      </c>
      <c r="U41" s="34" t="str">
        <f t="shared" si="31"/>
        <v>RA</v>
      </c>
      <c r="V41" s="34">
        <f t="shared" si="32"/>
        <v>1</v>
      </c>
      <c r="W41" s="34" t="str">
        <f t="shared" si="33"/>
        <v>FEW</v>
      </c>
      <c r="X41" s="34">
        <f t="shared" si="34"/>
        <v>1</v>
      </c>
      <c r="Y41" s="34">
        <f t="shared" si="35"/>
        <v>800</v>
      </c>
      <c r="Z41" s="34">
        <f t="shared" si="3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40</v>
      </c>
      <c r="D42" s="29"/>
      <c r="E42" s="29">
        <v>250</v>
      </c>
      <c r="F42" s="29">
        <v>3</v>
      </c>
      <c r="G42" s="29">
        <v>0</v>
      </c>
      <c r="H42" s="29">
        <v>3000</v>
      </c>
      <c r="I42" s="29" t="s">
        <v>52</v>
      </c>
      <c r="J42" s="29" t="s">
        <v>51</v>
      </c>
      <c r="K42" s="29">
        <v>800</v>
      </c>
      <c r="L42" s="1" t="s">
        <v>581</v>
      </c>
      <c r="M42" s="32">
        <f t="shared" ref="M42:M47" si="38">IF(ISNUMBER(VALUE(FIND("VRB",L42))),999,VALUE(MID(L42,20,3)))</f>
        <v>190</v>
      </c>
      <c r="N42" s="33">
        <f t="shared" ref="N42:N47" si="39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0">VALUE(MID(L42,23,2))</f>
        <v>3</v>
      </c>
      <c r="P42" s="33">
        <f t="shared" ref="P42:P47" si="41">IF(ABS(O42-F42)&lt;11,1,0)</f>
        <v>1</v>
      </c>
      <c r="Q42" s="34">
        <f t="shared" ref="Q42:Q47" si="42">IF(MID(L42,25,1)="G","GUST",0)</f>
        <v>0</v>
      </c>
      <c r="R42" s="33">
        <f t="shared" ref="R42:R47" si="43">IF(G42=Q42,1,0)</f>
        <v>1</v>
      </c>
      <c r="S42" s="34">
        <f t="shared" si="37"/>
        <v>3000</v>
      </c>
      <c r="T42" s="34">
        <f t="shared" si="30"/>
        <v>1</v>
      </c>
      <c r="U42" s="34" t="str">
        <f t="shared" si="31"/>
        <v>RA</v>
      </c>
      <c r="V42" s="34">
        <f t="shared" si="32"/>
        <v>1</v>
      </c>
      <c r="W42" s="34" t="str">
        <f t="shared" ref="W42:W47" si="44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FEW</v>
      </c>
      <c r="X42" s="34">
        <f t="shared" ref="X42:X47" si="45">IF(OR(AND(OR(J42="SKC",J42="FEW",J42="SCT"),OR(W42="SKC",W42="FEW",W42="SCT")),(AND(OR(J42="BKN",J42="OVC"),OR(W42="BKN",W42="OVC")))),1,0)</f>
        <v>1</v>
      </c>
      <c r="Y42" s="34">
        <f t="shared" ref="Y42:Y47" si="46">IF(ISNUMBER(VALUE(FIND("CAVOK",L42))),9999,IF(ISNUMBER(VALUE(FIND("NSC",L42))),9999,(MID(L42,(FIND(W42,L42)+4),2))*100))</f>
        <v>800</v>
      </c>
      <c r="Z42" s="34">
        <f t="shared" ref="Z42:Z47" si="47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40</v>
      </c>
      <c r="D43" s="29"/>
      <c r="E43" s="29">
        <v>250</v>
      </c>
      <c r="F43" s="29">
        <v>3</v>
      </c>
      <c r="G43" s="29">
        <v>0</v>
      </c>
      <c r="H43" s="29">
        <v>3000</v>
      </c>
      <c r="I43" s="29" t="s">
        <v>52</v>
      </c>
      <c r="J43" s="29" t="s">
        <v>51</v>
      </c>
      <c r="K43" s="29">
        <v>800</v>
      </c>
      <c r="L43" s="1" t="s">
        <v>582</v>
      </c>
      <c r="M43" s="32">
        <f t="shared" si="38"/>
        <v>350</v>
      </c>
      <c r="N43" s="33">
        <f t="shared" si="39"/>
        <v>1</v>
      </c>
      <c r="O43" s="33">
        <f t="shared" si="40"/>
        <v>5</v>
      </c>
      <c r="P43" s="33">
        <f t="shared" si="41"/>
        <v>1</v>
      </c>
      <c r="Q43" s="34">
        <f t="shared" si="42"/>
        <v>0</v>
      </c>
      <c r="R43" s="33">
        <f t="shared" si="43"/>
        <v>1</v>
      </c>
      <c r="S43" s="34">
        <f t="shared" si="37"/>
        <v>3000</v>
      </c>
      <c r="T43" s="34">
        <f t="shared" si="30"/>
        <v>1</v>
      </c>
      <c r="U43" s="34" t="str">
        <f t="shared" si="31"/>
        <v>RA</v>
      </c>
      <c r="V43" s="34">
        <f t="shared" si="32"/>
        <v>1</v>
      </c>
      <c r="W43" s="34" t="str">
        <f t="shared" si="44"/>
        <v>FEW</v>
      </c>
      <c r="X43" s="34">
        <f t="shared" si="45"/>
        <v>1</v>
      </c>
      <c r="Y43" s="34">
        <f t="shared" si="46"/>
        <v>800</v>
      </c>
      <c r="Z43" s="34">
        <f t="shared" si="47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40</v>
      </c>
      <c r="D44" s="29"/>
      <c r="E44" s="29">
        <v>250</v>
      </c>
      <c r="F44" s="29">
        <v>3</v>
      </c>
      <c r="G44" s="29">
        <v>0</v>
      </c>
      <c r="H44" s="29">
        <v>3000</v>
      </c>
      <c r="I44" s="29" t="s">
        <v>52</v>
      </c>
      <c r="J44" s="29" t="s">
        <v>51</v>
      </c>
      <c r="K44" s="29">
        <v>800</v>
      </c>
      <c r="L44" s="1" t="s">
        <v>583</v>
      </c>
      <c r="M44" s="32">
        <f t="shared" si="38"/>
        <v>180</v>
      </c>
      <c r="N44" s="33">
        <f t="shared" si="39"/>
        <v>1</v>
      </c>
      <c r="O44" s="33">
        <f t="shared" si="40"/>
        <v>5</v>
      </c>
      <c r="P44" s="33">
        <f t="shared" si="41"/>
        <v>1</v>
      </c>
      <c r="Q44" s="34">
        <f t="shared" si="42"/>
        <v>0</v>
      </c>
      <c r="R44" s="33">
        <f t="shared" si="43"/>
        <v>1</v>
      </c>
      <c r="S44" s="34">
        <f t="shared" si="37"/>
        <v>3000</v>
      </c>
      <c r="T44" s="34">
        <f t="shared" si="30"/>
        <v>1</v>
      </c>
      <c r="U44" s="34" t="str">
        <f t="shared" si="31"/>
        <v>RA</v>
      </c>
      <c r="V44" s="34">
        <f t="shared" si="32"/>
        <v>1</v>
      </c>
      <c r="W44" s="34" t="str">
        <f t="shared" si="44"/>
        <v>FEW</v>
      </c>
      <c r="X44" s="34">
        <f t="shared" si="45"/>
        <v>1</v>
      </c>
      <c r="Y44" s="34">
        <f t="shared" si="46"/>
        <v>800</v>
      </c>
      <c r="Z44" s="34">
        <f t="shared" si="47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40</v>
      </c>
      <c r="D45" s="29"/>
      <c r="E45" s="29">
        <v>250</v>
      </c>
      <c r="F45" s="29">
        <v>3</v>
      </c>
      <c r="G45" s="29">
        <v>0</v>
      </c>
      <c r="H45" s="29">
        <v>3000</v>
      </c>
      <c r="I45" s="29" t="s">
        <v>52</v>
      </c>
      <c r="J45" s="29" t="s">
        <v>51</v>
      </c>
      <c r="K45" s="29">
        <v>800</v>
      </c>
      <c r="L45" s="1" t="s">
        <v>584</v>
      </c>
      <c r="M45" s="32">
        <f t="shared" si="38"/>
        <v>90</v>
      </c>
      <c r="N45" s="33">
        <f t="shared" si="39"/>
        <v>1</v>
      </c>
      <c r="O45" s="33">
        <f t="shared" si="40"/>
        <v>5</v>
      </c>
      <c r="P45" s="33">
        <f t="shared" si="41"/>
        <v>1</v>
      </c>
      <c r="Q45" s="34">
        <f t="shared" si="42"/>
        <v>0</v>
      </c>
      <c r="R45" s="33">
        <f t="shared" si="43"/>
        <v>1</v>
      </c>
      <c r="S45" s="34">
        <f t="shared" si="37"/>
        <v>3000</v>
      </c>
      <c r="T45" s="34">
        <f t="shared" si="30"/>
        <v>1</v>
      </c>
      <c r="U45" s="34" t="str">
        <f t="shared" si="31"/>
        <v>RA</v>
      </c>
      <c r="V45" s="34">
        <f t="shared" si="32"/>
        <v>1</v>
      </c>
      <c r="W45" s="34" t="str">
        <f t="shared" si="44"/>
        <v>FEW</v>
      </c>
      <c r="X45" s="34">
        <f t="shared" si="45"/>
        <v>1</v>
      </c>
      <c r="Y45" s="34">
        <f t="shared" si="46"/>
        <v>800</v>
      </c>
      <c r="Z45" s="34">
        <f t="shared" si="47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29"/>
      <c r="E46" s="29">
        <v>250</v>
      </c>
      <c r="F46" s="29">
        <v>3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1" t="s">
        <v>585</v>
      </c>
      <c r="M46" s="32">
        <f t="shared" si="38"/>
        <v>90</v>
      </c>
      <c r="N46" s="33">
        <f t="shared" si="39"/>
        <v>1</v>
      </c>
      <c r="O46" s="33">
        <f t="shared" si="40"/>
        <v>3</v>
      </c>
      <c r="P46" s="33">
        <f t="shared" si="41"/>
        <v>1</v>
      </c>
      <c r="Q46" s="34">
        <f t="shared" si="42"/>
        <v>0</v>
      </c>
      <c r="R46" s="33">
        <f t="shared" si="43"/>
        <v>1</v>
      </c>
      <c r="S46" s="34">
        <f t="shared" si="37"/>
        <v>3000</v>
      </c>
      <c r="T46" s="34">
        <f t="shared" si="30"/>
        <v>0</v>
      </c>
      <c r="U46" s="34" t="str">
        <f t="shared" si="31"/>
        <v>RA</v>
      </c>
      <c r="V46" s="34">
        <f t="shared" si="32"/>
        <v>0</v>
      </c>
      <c r="W46" s="34" t="str">
        <f t="shared" si="44"/>
        <v>FEW</v>
      </c>
      <c r="X46" s="34">
        <f t="shared" si="45"/>
        <v>0</v>
      </c>
      <c r="Y46" s="34">
        <f t="shared" si="46"/>
        <v>800</v>
      </c>
      <c r="Z46" s="34">
        <f t="shared" si="47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29"/>
      <c r="E47" s="29">
        <v>250</v>
      </c>
      <c r="F47" s="29">
        <v>3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1" t="s">
        <v>586</v>
      </c>
      <c r="M47" s="32">
        <f t="shared" si="38"/>
        <v>80</v>
      </c>
      <c r="N47" s="33">
        <f t="shared" si="39"/>
        <v>1</v>
      </c>
      <c r="O47" s="33">
        <f t="shared" si="40"/>
        <v>3</v>
      </c>
      <c r="P47" s="33">
        <f t="shared" si="41"/>
        <v>1</v>
      </c>
      <c r="Q47" s="34">
        <f t="shared" si="42"/>
        <v>0</v>
      </c>
      <c r="R47" s="33">
        <f t="shared" si="43"/>
        <v>1</v>
      </c>
      <c r="S47" s="34">
        <f t="shared" si="37"/>
        <v>3000</v>
      </c>
      <c r="T47" s="34">
        <f t="shared" si="30"/>
        <v>0</v>
      </c>
      <c r="U47" s="34" t="str">
        <f t="shared" si="31"/>
        <v>RA</v>
      </c>
      <c r="V47" s="34">
        <f t="shared" si="32"/>
        <v>0</v>
      </c>
      <c r="W47" s="34" t="str">
        <f t="shared" si="44"/>
        <v>FEW</v>
      </c>
      <c r="X47" s="34">
        <f t="shared" si="45"/>
        <v>0</v>
      </c>
      <c r="Y47" s="34">
        <f t="shared" si="46"/>
        <v>800</v>
      </c>
      <c r="Z47" s="34">
        <f t="shared" si="47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 ht="20.25">
      <c r="A50" s="25"/>
      <c r="B50" s="25"/>
      <c r="C50" s="41"/>
      <c r="D50" s="56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10</v>
      </c>
      <c r="W52" s="25"/>
      <c r="X52" s="25">
        <f>SUM(X36:X47)</f>
        <v>10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7</v>
      </c>
      <c r="O53" s="25"/>
      <c r="P53" s="25">
        <f>SUMIF($C36:$C47,"GENERAL",P36:P47)</f>
        <v>7</v>
      </c>
      <c r="Q53" s="25"/>
      <c r="R53" s="25">
        <f>SUMIF($C36:$C47,"GENERAL",R36:R47)</f>
        <v>7</v>
      </c>
      <c r="S53" s="25"/>
      <c r="T53" s="25">
        <f>SUMIF($C36:$C47,"GENERAL",T36:T47)</f>
        <v>5</v>
      </c>
      <c r="U53" s="25"/>
      <c r="V53" s="25">
        <f>SUMIF($C36:$C47,"GENERAL",V36:V47)</f>
        <v>5</v>
      </c>
      <c r="W53" s="25"/>
      <c r="X53" s="25">
        <f>SUMIF($C36:$C47,"GENERAL",X36:X47)</f>
        <v>5</v>
      </c>
      <c r="Y53" s="25"/>
      <c r="Z53" s="25">
        <f>SUMIF($C36:$C47,"GENERAL",Z36:Z47)</f>
        <v>7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5</v>
      </c>
      <c r="M56" s="42">
        <f>SUMIF($C36:$C47,"TEMPO",N36:N47)</f>
        <v>5</v>
      </c>
      <c r="N56" s="42">
        <f>M56</f>
        <v>5</v>
      </c>
      <c r="O56" s="42">
        <f>SUMIF($C36:$C47,"TEMPO",P36:P47)</f>
        <v>5</v>
      </c>
      <c r="P56" s="42">
        <f>O56</f>
        <v>5</v>
      </c>
      <c r="Q56" s="42">
        <f>SUMIF($C36:$C47,"TEMPO",R36:R47)</f>
        <v>5</v>
      </c>
      <c r="R56" s="42">
        <f>Q56</f>
        <v>5</v>
      </c>
      <c r="S56" s="42">
        <f>SUMIF($C36:$C47,"TEMPO",T36:T47)</f>
        <v>4</v>
      </c>
      <c r="T56" s="42">
        <f>S56</f>
        <v>4</v>
      </c>
      <c r="U56" s="42">
        <f>SUMIF($C36:$C47,"TEMPO",V36:V47)</f>
        <v>5</v>
      </c>
      <c r="V56" s="42">
        <f>U56</f>
        <v>5</v>
      </c>
      <c r="W56" s="42">
        <f>SUMIF($C36:$C47,"TEMPO",X36:X47)</f>
        <v>5</v>
      </c>
      <c r="X56" s="42">
        <f>W56</f>
        <v>5</v>
      </c>
      <c r="Y56" s="42">
        <f>SUMIF($C36:$C47,"TEMPO",Z36:Z47)</f>
        <v>5</v>
      </c>
      <c r="Z56" s="42">
        <f>Y56</f>
        <v>5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83.333333333333343</v>
      </c>
      <c r="W57" s="38"/>
      <c r="X57" s="38">
        <f>(SUM(X53:X56)/COUNTA(X36:X47))*100</f>
        <v>83.333333333333343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573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19</v>
      </c>
      <c r="B65" s="50">
        <v>0.5</v>
      </c>
      <c r="C65" s="51" t="s">
        <v>39</v>
      </c>
      <c r="D65" s="52"/>
      <c r="E65" s="51">
        <v>170</v>
      </c>
      <c r="F65" s="51">
        <v>3</v>
      </c>
      <c r="G65" s="51">
        <v>0</v>
      </c>
      <c r="H65" s="51">
        <v>4000</v>
      </c>
      <c r="I65" s="51" t="s">
        <v>52</v>
      </c>
      <c r="J65" s="51" t="s">
        <v>51</v>
      </c>
      <c r="K65" s="51">
        <v>800</v>
      </c>
      <c r="L65" s="1" t="s">
        <v>581</v>
      </c>
      <c r="M65" s="32">
        <f t="shared" ref="M65:M70" si="48">IF(ISNUMBER(VALUE(FIND("VRB",L65))),999,VALUE(MID(L65,20,3)))</f>
        <v>190</v>
      </c>
      <c r="N65" s="33">
        <f t="shared" ref="N65:N70" si="4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0">VALUE(MID(L65,23,2))</f>
        <v>3</v>
      </c>
      <c r="P65" s="33">
        <f t="shared" ref="P65:P70" si="51">IF(ABS(O65-F65)&lt;11,1,0)</f>
        <v>1</v>
      </c>
      <c r="Q65" s="34">
        <f t="shared" ref="Q65:Q70" si="52">IF(MID(L65,25,1)="G","GUST",0)</f>
        <v>0</v>
      </c>
      <c r="R65" s="33">
        <f t="shared" ref="R65:R70" si="5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3000</v>
      </c>
      <c r="T65" s="34">
        <f t="shared" ref="T65:T76" si="5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 t="str">
        <f t="shared" ref="U65:U76" si="55">IF(AND(IFERROR(FIND("RA",L65),0)&gt;0, IFERROR(FIND("RA",L65),0)&lt;38),"RA",0)</f>
        <v>RA</v>
      </c>
      <c r="V65" s="34">
        <f t="shared" ref="V65:V76" si="56">IF(U65=I65,1,0)</f>
        <v>1</v>
      </c>
      <c r="W65" s="34" t="str">
        <f t="shared" ref="W65:W70" si="5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0" si="58">IF(OR(AND(OR(J65="SKC",J65="FEW",J65="SCT"),OR(W65="SKC",W65="FEW",W65="SCT")),(AND(OR(J65="BKN",J65="OVC"),OR(W65="BKN",W65="OVC")))),1,0)</f>
        <v>1</v>
      </c>
      <c r="Y65" s="34">
        <f t="shared" ref="Y65:Y70" si="59">IF(ISNUMBER(VALUE(FIND("CAVOK",L65))),9999,IF(ISNUMBER(VALUE(FIND("NSC",L65))),9999,(MID(L65,(FIND(W65,L65)+4),2))*100))</f>
        <v>800</v>
      </c>
      <c r="Z65" s="34">
        <f t="shared" ref="Z65:Z70" si="6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170</v>
      </c>
      <c r="F66" s="51">
        <v>3</v>
      </c>
      <c r="G66" s="51">
        <v>0</v>
      </c>
      <c r="H66" s="51">
        <v>4000</v>
      </c>
      <c r="I66" s="51" t="s">
        <v>52</v>
      </c>
      <c r="J66" s="51" t="s">
        <v>51</v>
      </c>
      <c r="K66" s="51">
        <v>800</v>
      </c>
      <c r="L66" s="1" t="s">
        <v>582</v>
      </c>
      <c r="M66" s="32">
        <f t="shared" si="48"/>
        <v>350</v>
      </c>
      <c r="N66" s="33">
        <f t="shared" si="49"/>
        <v>1</v>
      </c>
      <c r="O66" s="33">
        <f t="shared" si="50"/>
        <v>5</v>
      </c>
      <c r="P66" s="33">
        <f t="shared" si="51"/>
        <v>1</v>
      </c>
      <c r="Q66" s="34">
        <f t="shared" si="52"/>
        <v>0</v>
      </c>
      <c r="R66" s="33">
        <f t="shared" si="53"/>
        <v>1</v>
      </c>
      <c r="S66" s="34">
        <f t="shared" ref="S66:S76" si="61">IF(ISNUMBER(VALUE(MID(L66,(FIND("KT",L66,FIND("Z",L66))+3),4))),VALUE(MID(L66,(FIND("KT",L66,FIND("Z",L66))+3),4)),IF(ISNUMBER(VALUE(MID(L66,(FIND("0V",L66)+6),4))),VALUE(MID(L66,(FIND("0V",L66)+6),4)),9999))</f>
        <v>3000</v>
      </c>
      <c r="T66" s="34">
        <f t="shared" si="54"/>
        <v>1</v>
      </c>
      <c r="U66" s="34" t="str">
        <f t="shared" si="55"/>
        <v>RA</v>
      </c>
      <c r="V66" s="34">
        <f t="shared" si="56"/>
        <v>1</v>
      </c>
      <c r="W66" s="34" t="str">
        <f t="shared" si="57"/>
        <v>FEW</v>
      </c>
      <c r="X66" s="34">
        <f t="shared" si="58"/>
        <v>1</v>
      </c>
      <c r="Y66" s="34">
        <f t="shared" si="59"/>
        <v>800</v>
      </c>
      <c r="Z66" s="34">
        <f t="shared" si="6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170</v>
      </c>
      <c r="F67" s="51">
        <v>3</v>
      </c>
      <c r="G67" s="51">
        <v>0</v>
      </c>
      <c r="H67" s="51">
        <v>4000</v>
      </c>
      <c r="I67" s="51" t="s">
        <v>52</v>
      </c>
      <c r="J67" s="51" t="s">
        <v>51</v>
      </c>
      <c r="K67" s="51">
        <v>800</v>
      </c>
      <c r="L67" s="1" t="s">
        <v>583</v>
      </c>
      <c r="M67" s="32">
        <f t="shared" si="48"/>
        <v>180</v>
      </c>
      <c r="N67" s="33">
        <f t="shared" si="49"/>
        <v>1</v>
      </c>
      <c r="O67" s="33">
        <f t="shared" si="50"/>
        <v>5</v>
      </c>
      <c r="P67" s="33">
        <f t="shared" si="51"/>
        <v>1</v>
      </c>
      <c r="Q67" s="34">
        <f t="shared" si="52"/>
        <v>0</v>
      </c>
      <c r="R67" s="33">
        <f t="shared" si="53"/>
        <v>1</v>
      </c>
      <c r="S67" s="34">
        <f t="shared" si="61"/>
        <v>3000</v>
      </c>
      <c r="T67" s="34">
        <f t="shared" si="54"/>
        <v>1</v>
      </c>
      <c r="U67" s="34" t="str">
        <f t="shared" si="55"/>
        <v>RA</v>
      </c>
      <c r="V67" s="34">
        <f t="shared" si="56"/>
        <v>1</v>
      </c>
      <c r="W67" s="34" t="str">
        <f t="shared" si="57"/>
        <v>FEW</v>
      </c>
      <c r="X67" s="34">
        <f t="shared" si="58"/>
        <v>1</v>
      </c>
      <c r="Y67" s="34">
        <f t="shared" si="59"/>
        <v>800</v>
      </c>
      <c r="Z67" s="34">
        <f t="shared" si="6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170</v>
      </c>
      <c r="F68" s="51">
        <v>3</v>
      </c>
      <c r="G68" s="51">
        <v>0</v>
      </c>
      <c r="H68" s="51">
        <v>4000</v>
      </c>
      <c r="I68" s="51" t="s">
        <v>52</v>
      </c>
      <c r="J68" s="51" t="s">
        <v>51</v>
      </c>
      <c r="K68" s="51">
        <v>800</v>
      </c>
      <c r="L68" s="1" t="s">
        <v>584</v>
      </c>
      <c r="M68" s="32">
        <f t="shared" si="48"/>
        <v>90</v>
      </c>
      <c r="N68" s="33">
        <f t="shared" si="49"/>
        <v>1</v>
      </c>
      <c r="O68" s="33">
        <f t="shared" si="50"/>
        <v>5</v>
      </c>
      <c r="P68" s="33">
        <f t="shared" si="51"/>
        <v>1</v>
      </c>
      <c r="Q68" s="34">
        <f t="shared" si="52"/>
        <v>0</v>
      </c>
      <c r="R68" s="33">
        <f t="shared" si="53"/>
        <v>1</v>
      </c>
      <c r="S68" s="34">
        <f t="shared" si="61"/>
        <v>3000</v>
      </c>
      <c r="T68" s="34">
        <f t="shared" si="54"/>
        <v>1</v>
      </c>
      <c r="U68" s="34" t="str">
        <f t="shared" si="55"/>
        <v>RA</v>
      </c>
      <c r="V68" s="34">
        <f t="shared" si="56"/>
        <v>1</v>
      </c>
      <c r="W68" s="34" t="str">
        <f t="shared" si="57"/>
        <v>FEW</v>
      </c>
      <c r="X68" s="34">
        <f t="shared" si="58"/>
        <v>1</v>
      </c>
      <c r="Y68" s="34">
        <f t="shared" si="59"/>
        <v>800</v>
      </c>
      <c r="Z68" s="34">
        <f t="shared" si="6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170</v>
      </c>
      <c r="F69" s="51">
        <v>3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800</v>
      </c>
      <c r="L69" s="1" t="s">
        <v>585</v>
      </c>
      <c r="M69" s="32">
        <f t="shared" si="48"/>
        <v>90</v>
      </c>
      <c r="N69" s="33">
        <f t="shared" si="49"/>
        <v>1</v>
      </c>
      <c r="O69" s="33">
        <f t="shared" si="50"/>
        <v>3</v>
      </c>
      <c r="P69" s="33">
        <f t="shared" si="51"/>
        <v>1</v>
      </c>
      <c r="Q69" s="34">
        <f t="shared" si="52"/>
        <v>0</v>
      </c>
      <c r="R69" s="33">
        <f t="shared" si="53"/>
        <v>1</v>
      </c>
      <c r="S69" s="34">
        <f t="shared" si="61"/>
        <v>3000</v>
      </c>
      <c r="T69" s="34">
        <f t="shared" si="54"/>
        <v>1</v>
      </c>
      <c r="U69" s="34" t="str">
        <f t="shared" si="55"/>
        <v>RA</v>
      </c>
      <c r="V69" s="34">
        <f t="shared" si="56"/>
        <v>1</v>
      </c>
      <c r="W69" s="34" t="str">
        <f t="shared" si="57"/>
        <v>FEW</v>
      </c>
      <c r="X69" s="34">
        <f t="shared" si="58"/>
        <v>1</v>
      </c>
      <c r="Y69" s="34">
        <f t="shared" si="59"/>
        <v>800</v>
      </c>
      <c r="Z69" s="34">
        <f t="shared" si="6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170</v>
      </c>
      <c r="F70" s="51">
        <v>3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800</v>
      </c>
      <c r="L70" s="1" t="s">
        <v>586</v>
      </c>
      <c r="M70" s="32">
        <f t="shared" si="48"/>
        <v>80</v>
      </c>
      <c r="N70" s="33">
        <f t="shared" si="49"/>
        <v>1</v>
      </c>
      <c r="O70" s="33">
        <f t="shared" si="50"/>
        <v>3</v>
      </c>
      <c r="P70" s="33">
        <f t="shared" si="51"/>
        <v>1</v>
      </c>
      <c r="Q70" s="34">
        <f t="shared" si="52"/>
        <v>0</v>
      </c>
      <c r="R70" s="33">
        <f t="shared" si="53"/>
        <v>1</v>
      </c>
      <c r="S70" s="34">
        <f t="shared" si="61"/>
        <v>3000</v>
      </c>
      <c r="T70" s="34">
        <f t="shared" si="54"/>
        <v>1</v>
      </c>
      <c r="U70" s="34" t="str">
        <f t="shared" si="55"/>
        <v>RA</v>
      </c>
      <c r="V70" s="34">
        <f t="shared" si="56"/>
        <v>1</v>
      </c>
      <c r="W70" s="34" t="str">
        <f t="shared" si="57"/>
        <v>FEW</v>
      </c>
      <c r="X70" s="34">
        <f t="shared" si="58"/>
        <v>1</v>
      </c>
      <c r="Y70" s="34">
        <f t="shared" si="59"/>
        <v>800</v>
      </c>
      <c r="Z70" s="34">
        <f t="shared" si="6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170</v>
      </c>
      <c r="F71" s="51">
        <v>3</v>
      </c>
      <c r="G71" s="51">
        <v>0</v>
      </c>
      <c r="H71" s="51">
        <v>4000</v>
      </c>
      <c r="I71" s="51" t="s">
        <v>52</v>
      </c>
      <c r="J71" s="51" t="s">
        <v>51</v>
      </c>
      <c r="K71" s="51">
        <v>800</v>
      </c>
      <c r="L71" s="1" t="s">
        <v>587</v>
      </c>
      <c r="M71" s="32">
        <f t="shared" ref="M71:M76" si="62">IF(ISNUMBER(VALUE(FIND("VRB",L71))),999,VALUE(MID(L71,20,3)))</f>
        <v>330</v>
      </c>
      <c r="N71" s="33">
        <f t="shared" ref="N71:N76" si="63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64">VALUE(MID(L71,23,2))</f>
        <v>4</v>
      </c>
      <c r="P71" s="33">
        <f t="shared" ref="P71:P76" si="65">IF(ABS(O71-F71)&lt;11,1,0)</f>
        <v>1</v>
      </c>
      <c r="Q71" s="34">
        <f t="shared" ref="Q71:Q76" si="66">IF(MID(L71,25,1)="G","GUST",0)</f>
        <v>0</v>
      </c>
      <c r="R71" s="33">
        <f t="shared" ref="R71:R76" si="67">IF(G71=Q71,1,0)</f>
        <v>1</v>
      </c>
      <c r="S71" s="34">
        <f t="shared" si="61"/>
        <v>3000</v>
      </c>
      <c r="T71" s="34">
        <f t="shared" si="54"/>
        <v>1</v>
      </c>
      <c r="U71" s="34" t="str">
        <f t="shared" si="55"/>
        <v>RA</v>
      </c>
      <c r="V71" s="34">
        <f t="shared" si="56"/>
        <v>1</v>
      </c>
      <c r="W71" s="34" t="str">
        <f t="shared" ref="W71:W76" si="68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FEW</v>
      </c>
      <c r="X71" s="34">
        <f t="shared" ref="X71:X76" si="69">IF(OR(AND(OR(J71="SKC",J71="FEW",J71="SCT"),OR(W71="SKC",W71="FEW",W71="SCT")),(AND(OR(J71="BKN",J71="OVC"),OR(W71="BKN",W71="OVC")))),1,0)</f>
        <v>1</v>
      </c>
      <c r="Y71" s="34">
        <f t="shared" ref="Y71:Y76" si="70">IF(ISNUMBER(VALUE(FIND("CAVOK",L71))),9999,IF(ISNUMBER(VALUE(FIND("NSC",L71))),9999,(MID(L71,(FIND(W71,L71)+4),2))*100))</f>
        <v>800</v>
      </c>
      <c r="Z71" s="34">
        <f t="shared" ref="Z71:Z76" si="71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170</v>
      </c>
      <c r="F72" s="51">
        <v>3</v>
      </c>
      <c r="G72" s="51">
        <v>0</v>
      </c>
      <c r="H72" s="51">
        <v>4000</v>
      </c>
      <c r="I72" s="51" t="s">
        <v>52</v>
      </c>
      <c r="J72" s="51" t="s">
        <v>51</v>
      </c>
      <c r="K72" s="51">
        <v>800</v>
      </c>
      <c r="L72" s="1" t="s">
        <v>588</v>
      </c>
      <c r="M72" s="32">
        <f t="shared" si="62"/>
        <v>350</v>
      </c>
      <c r="N72" s="33">
        <f t="shared" si="63"/>
        <v>1</v>
      </c>
      <c r="O72" s="33">
        <f t="shared" si="64"/>
        <v>3</v>
      </c>
      <c r="P72" s="33">
        <f t="shared" si="65"/>
        <v>1</v>
      </c>
      <c r="Q72" s="34">
        <f t="shared" si="66"/>
        <v>0</v>
      </c>
      <c r="R72" s="33">
        <f t="shared" si="67"/>
        <v>1</v>
      </c>
      <c r="S72" s="34">
        <f t="shared" si="61"/>
        <v>3000</v>
      </c>
      <c r="T72" s="34">
        <f t="shared" si="54"/>
        <v>1</v>
      </c>
      <c r="U72" s="34" t="str">
        <f t="shared" si="55"/>
        <v>RA</v>
      </c>
      <c r="V72" s="34">
        <f t="shared" si="56"/>
        <v>1</v>
      </c>
      <c r="W72" s="34" t="str">
        <f t="shared" si="68"/>
        <v>FEW</v>
      </c>
      <c r="X72" s="34">
        <f t="shared" si="69"/>
        <v>1</v>
      </c>
      <c r="Y72" s="34">
        <f t="shared" si="70"/>
        <v>800</v>
      </c>
      <c r="Z72" s="34">
        <f t="shared" si="71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34</v>
      </c>
      <c r="D73" s="52"/>
      <c r="E73" s="51">
        <v>170</v>
      </c>
      <c r="F73" s="51">
        <v>3</v>
      </c>
      <c r="G73" s="51">
        <v>0</v>
      </c>
      <c r="H73" s="51">
        <v>7000</v>
      </c>
      <c r="I73" s="51">
        <v>0</v>
      </c>
      <c r="J73" s="51" t="s">
        <v>58</v>
      </c>
      <c r="K73" s="51">
        <v>900</v>
      </c>
      <c r="L73" s="1" t="s">
        <v>589</v>
      </c>
      <c r="M73" s="32">
        <f t="shared" si="62"/>
        <v>30</v>
      </c>
      <c r="N73" s="33">
        <f t="shared" si="63"/>
        <v>1</v>
      </c>
      <c r="O73" s="33">
        <f t="shared" si="64"/>
        <v>2</v>
      </c>
      <c r="P73" s="33">
        <f t="shared" si="65"/>
        <v>1</v>
      </c>
      <c r="Q73" s="34">
        <f t="shared" si="66"/>
        <v>0</v>
      </c>
      <c r="R73" s="33">
        <f t="shared" si="67"/>
        <v>1</v>
      </c>
      <c r="S73" s="34">
        <f t="shared" si="61"/>
        <v>3000</v>
      </c>
      <c r="T73" s="34">
        <f t="shared" si="54"/>
        <v>0</v>
      </c>
      <c r="U73" s="34" t="str">
        <f t="shared" si="55"/>
        <v>RA</v>
      </c>
      <c r="V73" s="34">
        <f t="shared" si="56"/>
        <v>0</v>
      </c>
      <c r="W73" s="34" t="str">
        <f t="shared" si="68"/>
        <v>FEW</v>
      </c>
      <c r="X73" s="34">
        <f t="shared" si="69"/>
        <v>0</v>
      </c>
      <c r="Y73" s="34">
        <f t="shared" si="70"/>
        <v>800</v>
      </c>
      <c r="Z73" s="34">
        <f t="shared" si="71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34</v>
      </c>
      <c r="D74" s="52"/>
      <c r="E74" s="51">
        <v>170</v>
      </c>
      <c r="F74" s="51">
        <v>3</v>
      </c>
      <c r="G74" s="51">
        <v>0</v>
      </c>
      <c r="H74" s="51">
        <v>7000</v>
      </c>
      <c r="I74" s="51">
        <v>0</v>
      </c>
      <c r="J74" s="51" t="s">
        <v>58</v>
      </c>
      <c r="K74" s="51">
        <v>900</v>
      </c>
      <c r="L74" s="1" t="s">
        <v>590</v>
      </c>
      <c r="M74" s="32">
        <f t="shared" si="62"/>
        <v>20</v>
      </c>
      <c r="N74" s="33">
        <f t="shared" si="63"/>
        <v>1</v>
      </c>
      <c r="O74" s="33">
        <f t="shared" si="64"/>
        <v>2</v>
      </c>
      <c r="P74" s="33">
        <f t="shared" si="65"/>
        <v>1</v>
      </c>
      <c r="Q74" s="34">
        <f t="shared" si="66"/>
        <v>0</v>
      </c>
      <c r="R74" s="33">
        <f t="shared" si="67"/>
        <v>1</v>
      </c>
      <c r="S74" s="34">
        <f t="shared" si="61"/>
        <v>5000</v>
      </c>
      <c r="T74" s="34">
        <f t="shared" si="54"/>
        <v>1</v>
      </c>
      <c r="U74" s="34">
        <f t="shared" si="55"/>
        <v>0</v>
      </c>
      <c r="V74" s="34">
        <f t="shared" si="56"/>
        <v>1</v>
      </c>
      <c r="W74" s="34" t="str">
        <f t="shared" si="68"/>
        <v>BKN</v>
      </c>
      <c r="X74" s="34">
        <f t="shared" si="69"/>
        <v>1</v>
      </c>
      <c r="Y74" s="34">
        <f t="shared" si="70"/>
        <v>900</v>
      </c>
      <c r="Z74" s="34">
        <f t="shared" si="71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34</v>
      </c>
      <c r="D75" s="52"/>
      <c r="E75" s="51">
        <v>170</v>
      </c>
      <c r="F75" s="51">
        <v>3</v>
      </c>
      <c r="G75" s="51">
        <v>0</v>
      </c>
      <c r="H75" s="51">
        <v>7000</v>
      </c>
      <c r="I75" s="51">
        <v>0</v>
      </c>
      <c r="J75" s="51" t="s">
        <v>58</v>
      </c>
      <c r="K75" s="51">
        <v>900</v>
      </c>
      <c r="L75" s="1" t="s">
        <v>591</v>
      </c>
      <c r="M75" s="32">
        <f t="shared" si="62"/>
        <v>310</v>
      </c>
      <c r="N75" s="33">
        <f t="shared" si="63"/>
        <v>1</v>
      </c>
      <c r="O75" s="33">
        <f t="shared" si="64"/>
        <v>2</v>
      </c>
      <c r="P75" s="33">
        <f t="shared" si="65"/>
        <v>1</v>
      </c>
      <c r="Q75" s="34">
        <f t="shared" si="66"/>
        <v>0</v>
      </c>
      <c r="R75" s="33">
        <f t="shared" si="67"/>
        <v>1</v>
      </c>
      <c r="S75" s="34">
        <f t="shared" si="61"/>
        <v>6000</v>
      </c>
      <c r="T75" s="34">
        <f t="shared" si="54"/>
        <v>1</v>
      </c>
      <c r="U75" s="34">
        <f t="shared" si="55"/>
        <v>0</v>
      </c>
      <c r="V75" s="34">
        <f t="shared" si="56"/>
        <v>1</v>
      </c>
      <c r="W75" s="34" t="str">
        <f t="shared" si="68"/>
        <v>BKN</v>
      </c>
      <c r="X75" s="34">
        <f t="shared" si="69"/>
        <v>1</v>
      </c>
      <c r="Y75" s="34">
        <f t="shared" si="70"/>
        <v>900</v>
      </c>
      <c r="Z75" s="34">
        <f t="shared" si="71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34</v>
      </c>
      <c r="D76" s="52"/>
      <c r="E76" s="51">
        <v>170</v>
      </c>
      <c r="F76" s="51">
        <v>3</v>
      </c>
      <c r="G76" s="51">
        <v>0</v>
      </c>
      <c r="H76" s="51">
        <v>7000</v>
      </c>
      <c r="I76" s="51">
        <v>0</v>
      </c>
      <c r="J76" s="51" t="s">
        <v>58</v>
      </c>
      <c r="K76" s="51">
        <v>900</v>
      </c>
      <c r="L76" s="1" t="s">
        <v>592</v>
      </c>
      <c r="M76" s="32">
        <f t="shared" si="62"/>
        <v>320</v>
      </c>
      <c r="N76" s="33">
        <f t="shared" si="63"/>
        <v>1</v>
      </c>
      <c r="O76" s="33">
        <f t="shared" si="64"/>
        <v>4</v>
      </c>
      <c r="P76" s="33">
        <f t="shared" si="65"/>
        <v>1</v>
      </c>
      <c r="Q76" s="34">
        <f t="shared" si="66"/>
        <v>0</v>
      </c>
      <c r="R76" s="33">
        <f t="shared" si="67"/>
        <v>1</v>
      </c>
      <c r="S76" s="34">
        <f t="shared" si="61"/>
        <v>8000</v>
      </c>
      <c r="T76" s="34">
        <f t="shared" si="54"/>
        <v>1</v>
      </c>
      <c r="U76" s="34">
        <f t="shared" si="55"/>
        <v>0</v>
      </c>
      <c r="V76" s="34">
        <f t="shared" si="56"/>
        <v>1</v>
      </c>
      <c r="W76" s="34" t="str">
        <f t="shared" si="68"/>
        <v>SCT</v>
      </c>
      <c r="X76" s="34">
        <f t="shared" si="69"/>
        <v>0</v>
      </c>
      <c r="Y76" s="34">
        <f t="shared" si="70"/>
        <v>800</v>
      </c>
      <c r="Z76" s="34">
        <f t="shared" si="71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11</v>
      </c>
      <c r="U80" s="25"/>
      <c r="V80" s="25">
        <f>SUM(V64:V76)</f>
        <v>11</v>
      </c>
      <c r="W80" s="25"/>
      <c r="X80" s="25">
        <f>SUM(X64:X76)</f>
        <v>10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8</v>
      </c>
      <c r="O81" s="25"/>
      <c r="P81" s="25">
        <f>SUMIF($C64:$C76,"GENERAL",P64:P76)</f>
        <v>8</v>
      </c>
      <c r="Q81" s="25"/>
      <c r="R81" s="25">
        <f>SUMIF($C64:$C76,"GENERAL",R64:R76)</f>
        <v>8</v>
      </c>
      <c r="S81" s="25"/>
      <c r="T81" s="25">
        <f>SUMIF($C64:$C76,"GENERAL",T64:T76)</f>
        <v>8</v>
      </c>
      <c r="U81" s="25"/>
      <c r="V81" s="25">
        <f>SUMIF($C64:$C76,"GENERAL",V64:V76)</f>
        <v>8</v>
      </c>
      <c r="W81" s="25"/>
      <c r="X81" s="25">
        <f>SUMIF($C64:$C76,"GENERAL",X64:X76)</f>
        <v>8</v>
      </c>
      <c r="Y81" s="25"/>
      <c r="Z81" s="25">
        <f>SUMIF($C64:$C76,"GENERAL",Z64:Z76)</f>
        <v>8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4</v>
      </c>
      <c r="O82" s="25"/>
      <c r="P82" s="25">
        <f>SUMIF($C64:$C76,"BECMG",P64:P76)</f>
        <v>4</v>
      </c>
      <c r="Q82" s="25"/>
      <c r="R82" s="25">
        <f>SUMIF($C64:$C76,"BECMG",R64:R76)</f>
        <v>4</v>
      </c>
      <c r="S82" s="25"/>
      <c r="T82" s="25">
        <f>SUMIF($C64:$C76,"BECMG",T64:T76)</f>
        <v>3</v>
      </c>
      <c r="U82" s="25"/>
      <c r="V82" s="25">
        <f>SUMIF($C64:$C76,"BECMG",V64:V76)</f>
        <v>3</v>
      </c>
      <c r="W82" s="25"/>
      <c r="X82" s="25">
        <f>SUMIF($C64:$C76,"BECMG",X64:X76)</f>
        <v>2</v>
      </c>
      <c r="Y82" s="25"/>
      <c r="Z82" s="25">
        <f>SUMIF($C64:$C76,"BECMG",Z64:Z76)</f>
        <v>4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91.666666666666657</v>
      </c>
      <c r="U85" s="38"/>
      <c r="V85" s="38">
        <f>(SUM(V81:V84)/COUNTA(V64:V76))*100</f>
        <v>91.666666666666657</v>
      </c>
      <c r="W85" s="38"/>
      <c r="X85" s="38">
        <f>(SUM(X81:X84)/COUNTA(X64:X76))*100</f>
        <v>83.333333333333343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574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19</v>
      </c>
      <c r="B93" s="50">
        <v>0.75</v>
      </c>
      <c r="C93" s="51" t="s">
        <v>39</v>
      </c>
      <c r="D93" s="52"/>
      <c r="E93" s="51">
        <v>170</v>
      </c>
      <c r="F93" s="51">
        <v>3</v>
      </c>
      <c r="G93" s="51">
        <v>0</v>
      </c>
      <c r="H93" s="51">
        <v>3000</v>
      </c>
      <c r="I93" s="51" t="s">
        <v>52</v>
      </c>
      <c r="J93" s="51" t="s">
        <v>51</v>
      </c>
      <c r="K93" s="51">
        <v>800</v>
      </c>
      <c r="L93" s="1" t="s">
        <v>587</v>
      </c>
      <c r="M93" s="32">
        <f t="shared" ref="M93:M104" si="72">IF(ISNUMBER(VALUE(FIND("VRB",L93))),999,VALUE(MID(L93,20,3)))</f>
        <v>330</v>
      </c>
      <c r="N93" s="33">
        <f t="shared" ref="N93:N104" si="7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74">VALUE(MID(L93,23,2))</f>
        <v>4</v>
      </c>
      <c r="P93" s="33">
        <f t="shared" ref="P93:P99" si="75">IF(ABS(O93-F93)&lt;11,1,0)</f>
        <v>1</v>
      </c>
      <c r="Q93" s="34">
        <f t="shared" ref="Q93:Q104" si="76">IF(MID(L93,25,1)="G","GUST",0)</f>
        <v>0</v>
      </c>
      <c r="R93" s="33">
        <f t="shared" ref="R93:R99" si="77">IF(G93=Q93,1,0)</f>
        <v>1</v>
      </c>
      <c r="S93" s="34">
        <f t="shared" ref="S93:S104" si="78">IF(ISNUMBER(VALUE(MID(L93,(FIND("KT",L93,FIND("Z",L93))+3),4))),VALUE(MID(L93,(FIND("KT",L93,FIND("Z",L93))+3),4)),IF(ISNUMBER(VALUE(MID(L93,(FIND("0V",L93)+6),4))),VALUE(MID(L93,(FIND("0V",L93)+6),4)),9999))</f>
        <v>3000</v>
      </c>
      <c r="T93" s="34">
        <f t="shared" ref="T93:T102" si="79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 t="str">
        <f>IF(AND(IFERROR(FIND("RA",L93),0)&gt;0, IFERROR(FIND("RA",L93),0)&lt;38),"RA",0)</f>
        <v>RA</v>
      </c>
      <c r="V93" s="34">
        <f t="shared" ref="V93:V102" si="80">IF(U93=I93,1,0)</f>
        <v>1</v>
      </c>
      <c r="W93" s="34" t="str">
        <f t="shared" ref="W93:W104" si="81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FEW</v>
      </c>
      <c r="X93" s="34">
        <f t="shared" ref="X93:X99" si="82">IF(OR(AND(OR(J93="SKC",J93="FEW",J93="SCT"),OR(W93="SKC",W93="FEW",W93="SCT")),(AND(OR(J93="BKN",J93="OVC"),OR(W93="BKN",W93="OVC")))),1,0)</f>
        <v>1</v>
      </c>
      <c r="Y93" s="34">
        <f t="shared" ref="Y93:Y104" si="83">IF(ISNUMBER(VALUE(FIND("CAVOK",L93))),9999,IF(ISNUMBER(VALUE(FIND("NSC",L93))),9999,(MID(L93,(FIND(W93,L93)+4),2))*100))</f>
        <v>800</v>
      </c>
      <c r="Z93" s="34">
        <f t="shared" ref="Z93:Z99" si="84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170</v>
      </c>
      <c r="F94" s="51">
        <v>3</v>
      </c>
      <c r="G94" s="51">
        <v>0</v>
      </c>
      <c r="H94" s="51">
        <v>3000</v>
      </c>
      <c r="I94" s="51" t="s">
        <v>52</v>
      </c>
      <c r="J94" s="51" t="s">
        <v>51</v>
      </c>
      <c r="K94" s="51">
        <v>800</v>
      </c>
      <c r="L94" s="1" t="s">
        <v>588</v>
      </c>
      <c r="M94" s="32">
        <f t="shared" si="72"/>
        <v>350</v>
      </c>
      <c r="N94" s="33">
        <f t="shared" si="73"/>
        <v>1</v>
      </c>
      <c r="O94" s="33">
        <f t="shared" si="74"/>
        <v>3</v>
      </c>
      <c r="P94" s="33">
        <f t="shared" si="75"/>
        <v>1</v>
      </c>
      <c r="Q94" s="34">
        <f t="shared" si="76"/>
        <v>0</v>
      </c>
      <c r="R94" s="33">
        <f t="shared" si="77"/>
        <v>1</v>
      </c>
      <c r="S94" s="34">
        <f t="shared" si="78"/>
        <v>3000</v>
      </c>
      <c r="T94" s="34">
        <f t="shared" si="79"/>
        <v>1</v>
      </c>
      <c r="U94" s="34" t="str">
        <f t="shared" ref="U94:U104" si="85">IF(AND(IFERROR(FIND("RA",L94),0)&gt;0, IFERROR(FIND("RA",L94),0)&lt;38),"RA",0)</f>
        <v>RA</v>
      </c>
      <c r="V94" s="34">
        <f t="shared" si="80"/>
        <v>1</v>
      </c>
      <c r="W94" s="34" t="str">
        <f t="shared" si="81"/>
        <v>FEW</v>
      </c>
      <c r="X94" s="34">
        <f t="shared" si="82"/>
        <v>1</v>
      </c>
      <c r="Y94" s="34">
        <f t="shared" si="83"/>
        <v>800</v>
      </c>
      <c r="Z94" s="34">
        <f t="shared" si="84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170</v>
      </c>
      <c r="F95" s="51">
        <v>3</v>
      </c>
      <c r="G95" s="51">
        <v>0</v>
      </c>
      <c r="H95" s="51">
        <v>3000</v>
      </c>
      <c r="I95" s="51" t="s">
        <v>52</v>
      </c>
      <c r="J95" s="51" t="s">
        <v>51</v>
      </c>
      <c r="K95" s="51">
        <v>800</v>
      </c>
      <c r="L95" s="1" t="s">
        <v>589</v>
      </c>
      <c r="M95" s="32">
        <f t="shared" si="72"/>
        <v>30</v>
      </c>
      <c r="N95" s="33">
        <f t="shared" si="73"/>
        <v>1</v>
      </c>
      <c r="O95" s="33">
        <f t="shared" si="74"/>
        <v>2</v>
      </c>
      <c r="P95" s="33">
        <f t="shared" si="75"/>
        <v>1</v>
      </c>
      <c r="Q95" s="34">
        <f t="shared" si="76"/>
        <v>0</v>
      </c>
      <c r="R95" s="33">
        <f t="shared" si="77"/>
        <v>1</v>
      </c>
      <c r="S95" s="34">
        <f t="shared" si="78"/>
        <v>3000</v>
      </c>
      <c r="T95" s="34">
        <f t="shared" si="79"/>
        <v>1</v>
      </c>
      <c r="U95" s="34" t="str">
        <f t="shared" si="85"/>
        <v>RA</v>
      </c>
      <c r="V95" s="34">
        <f t="shared" si="80"/>
        <v>1</v>
      </c>
      <c r="W95" s="34" t="str">
        <f t="shared" si="81"/>
        <v>FEW</v>
      </c>
      <c r="X95" s="34">
        <f t="shared" si="82"/>
        <v>1</v>
      </c>
      <c r="Y95" s="34">
        <f t="shared" si="83"/>
        <v>800</v>
      </c>
      <c r="Z95" s="34">
        <f t="shared" si="84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170</v>
      </c>
      <c r="F96" s="51">
        <v>3</v>
      </c>
      <c r="G96" s="51">
        <v>0</v>
      </c>
      <c r="H96" s="51">
        <v>3000</v>
      </c>
      <c r="I96" s="51" t="s">
        <v>52</v>
      </c>
      <c r="J96" s="51" t="s">
        <v>51</v>
      </c>
      <c r="K96" s="51">
        <v>800</v>
      </c>
      <c r="L96" s="1" t="s">
        <v>590</v>
      </c>
      <c r="M96" s="32">
        <f t="shared" si="72"/>
        <v>20</v>
      </c>
      <c r="N96" s="33">
        <f t="shared" si="73"/>
        <v>1</v>
      </c>
      <c r="O96" s="33">
        <f t="shared" si="74"/>
        <v>2</v>
      </c>
      <c r="P96" s="33">
        <f t="shared" si="75"/>
        <v>1</v>
      </c>
      <c r="Q96" s="34">
        <f t="shared" si="76"/>
        <v>0</v>
      </c>
      <c r="R96" s="33">
        <f t="shared" si="77"/>
        <v>1</v>
      </c>
      <c r="S96" s="34">
        <f t="shared" si="78"/>
        <v>5000</v>
      </c>
      <c r="T96" s="34">
        <f t="shared" si="79"/>
        <v>1</v>
      </c>
      <c r="U96" s="34">
        <f t="shared" si="85"/>
        <v>0</v>
      </c>
      <c r="V96" s="34">
        <f t="shared" si="80"/>
        <v>0</v>
      </c>
      <c r="W96" s="34" t="str">
        <f t="shared" si="81"/>
        <v>BKN</v>
      </c>
      <c r="X96" s="34">
        <f t="shared" si="82"/>
        <v>0</v>
      </c>
      <c r="Y96" s="34">
        <f t="shared" si="83"/>
        <v>900</v>
      </c>
      <c r="Z96" s="34">
        <f t="shared" si="84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34</v>
      </c>
      <c r="D97" s="52"/>
      <c r="E97" s="51">
        <v>230</v>
      </c>
      <c r="F97" s="51">
        <v>3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s="1" t="s">
        <v>591</v>
      </c>
      <c r="M97" s="32">
        <f t="shared" si="72"/>
        <v>310</v>
      </c>
      <c r="N97" s="33">
        <f t="shared" si="73"/>
        <v>1</v>
      </c>
      <c r="O97" s="33">
        <f t="shared" si="74"/>
        <v>2</v>
      </c>
      <c r="P97" s="33">
        <f t="shared" si="75"/>
        <v>1</v>
      </c>
      <c r="Q97" s="34">
        <f t="shared" si="76"/>
        <v>0</v>
      </c>
      <c r="R97" s="33">
        <f t="shared" si="77"/>
        <v>1</v>
      </c>
      <c r="S97" s="34">
        <f t="shared" si="78"/>
        <v>6000</v>
      </c>
      <c r="T97" s="34">
        <f t="shared" si="79"/>
        <v>1</v>
      </c>
      <c r="U97" s="34">
        <f t="shared" si="85"/>
        <v>0</v>
      </c>
      <c r="V97" s="34">
        <f t="shared" si="80"/>
        <v>1</v>
      </c>
      <c r="W97" s="34" t="str">
        <f t="shared" si="81"/>
        <v>BKN</v>
      </c>
      <c r="X97" s="34">
        <f t="shared" si="82"/>
        <v>1</v>
      </c>
      <c r="Y97" s="34">
        <f t="shared" si="83"/>
        <v>900</v>
      </c>
      <c r="Z97" s="34">
        <f t="shared" si="84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34</v>
      </c>
      <c r="D98" s="52"/>
      <c r="E98" s="51">
        <v>230</v>
      </c>
      <c r="F98" s="51">
        <v>3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s="1" t="s">
        <v>592</v>
      </c>
      <c r="M98" s="32">
        <f t="shared" si="72"/>
        <v>320</v>
      </c>
      <c r="N98" s="33">
        <f t="shared" si="73"/>
        <v>1</v>
      </c>
      <c r="O98" s="33">
        <f t="shared" si="74"/>
        <v>4</v>
      </c>
      <c r="P98" s="33">
        <f t="shared" si="75"/>
        <v>1</v>
      </c>
      <c r="Q98" s="34">
        <f t="shared" si="76"/>
        <v>0</v>
      </c>
      <c r="R98" s="33">
        <f t="shared" si="77"/>
        <v>1</v>
      </c>
      <c r="S98" s="34">
        <f t="shared" si="78"/>
        <v>8000</v>
      </c>
      <c r="T98" s="34">
        <f t="shared" si="79"/>
        <v>1</v>
      </c>
      <c r="U98" s="34">
        <f t="shared" si="85"/>
        <v>0</v>
      </c>
      <c r="V98" s="34">
        <f t="shared" si="80"/>
        <v>1</v>
      </c>
      <c r="W98" s="34" t="str">
        <f t="shared" si="81"/>
        <v>SCT</v>
      </c>
      <c r="X98" s="34">
        <f t="shared" si="82"/>
        <v>0</v>
      </c>
      <c r="Y98" s="34">
        <f t="shared" si="83"/>
        <v>800</v>
      </c>
      <c r="Z98" s="34">
        <f t="shared" si="84"/>
        <v>1</v>
      </c>
      <c r="AA98" s="25"/>
      <c r="AB98" s="25"/>
      <c r="AC98" s="25"/>
      <c r="AD98" s="25"/>
      <c r="AE98" s="25"/>
    </row>
    <row r="99" spans="1:31" ht="16.5">
      <c r="A99" s="55">
        <v>20</v>
      </c>
      <c r="B99" s="54">
        <v>0</v>
      </c>
      <c r="C99" s="51" t="s">
        <v>34</v>
      </c>
      <c r="D99" s="52"/>
      <c r="E99" s="51">
        <v>230</v>
      </c>
      <c r="F99" s="51">
        <v>3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s="1" t="s">
        <v>593</v>
      </c>
      <c r="M99" s="32">
        <f t="shared" si="72"/>
        <v>320</v>
      </c>
      <c r="N99" s="33">
        <f t="shared" si="73"/>
        <v>1</v>
      </c>
      <c r="O99" s="33">
        <f t="shared" si="74"/>
        <v>4</v>
      </c>
      <c r="P99" s="33">
        <f t="shared" si="75"/>
        <v>1</v>
      </c>
      <c r="Q99" s="34">
        <f t="shared" si="76"/>
        <v>0</v>
      </c>
      <c r="R99" s="33">
        <f t="shared" si="77"/>
        <v>1</v>
      </c>
      <c r="S99" s="34">
        <f t="shared" si="78"/>
        <v>8000</v>
      </c>
      <c r="T99" s="34">
        <f t="shared" si="79"/>
        <v>1</v>
      </c>
      <c r="U99" s="34">
        <f t="shared" si="85"/>
        <v>0</v>
      </c>
      <c r="V99" s="34">
        <f t="shared" si="80"/>
        <v>1</v>
      </c>
      <c r="W99" s="34" t="str">
        <f t="shared" si="81"/>
        <v>BKN</v>
      </c>
      <c r="X99" s="34">
        <f t="shared" si="82"/>
        <v>1</v>
      </c>
      <c r="Y99" s="34">
        <f t="shared" si="83"/>
        <v>900</v>
      </c>
      <c r="Z99" s="34">
        <f t="shared" si="84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34</v>
      </c>
      <c r="D100" s="52"/>
      <c r="E100" s="51">
        <v>230</v>
      </c>
      <c r="F100" s="51">
        <v>3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s="1" t="s">
        <v>594</v>
      </c>
      <c r="M100" s="32">
        <f t="shared" si="72"/>
        <v>280</v>
      </c>
      <c r="N100" s="33">
        <f t="shared" si="73"/>
        <v>1</v>
      </c>
      <c r="O100" s="33">
        <f t="shared" si="74"/>
        <v>3</v>
      </c>
      <c r="P100" s="33">
        <f t="shared" ref="P100:P104" si="86">IF(ABS(O100-F100)&lt;11,1,0)</f>
        <v>1</v>
      </c>
      <c r="Q100" s="34">
        <f t="shared" si="76"/>
        <v>0</v>
      </c>
      <c r="R100" s="33">
        <f t="shared" ref="R100:R104" si="87">IF(G100=Q100,1,0)</f>
        <v>1</v>
      </c>
      <c r="S100" s="34">
        <f t="shared" si="78"/>
        <v>8000</v>
      </c>
      <c r="T100" s="34">
        <f t="shared" si="79"/>
        <v>1</v>
      </c>
      <c r="U100" s="34">
        <f t="shared" si="85"/>
        <v>0</v>
      </c>
      <c r="V100" s="34">
        <f t="shared" si="80"/>
        <v>1</v>
      </c>
      <c r="W100" s="34" t="str">
        <f t="shared" si="81"/>
        <v>BKN</v>
      </c>
      <c r="X100" s="34">
        <f t="shared" ref="X100:X104" si="88">IF(OR(AND(OR(J100="SKC",J100="FEW",J100="SCT"),OR(W100="SKC",W100="FEW",W100="SCT")),(AND(OR(J100="BKN",J100="OVC"),OR(W100="BKN",W100="OVC")))),1,0)</f>
        <v>1</v>
      </c>
      <c r="Y100" s="34">
        <f t="shared" si="83"/>
        <v>800</v>
      </c>
      <c r="Z100" s="34">
        <f t="shared" ref="Z100:Z104" si="89">IF(AND(Y100&lt;1001,ABS(K100-Y100)&lt;101),1,IF(AND(Y100&gt;1000,ABS(Y100-K100)/K100&lt;0.30005),1,0))</f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34</v>
      </c>
      <c r="D101" s="52"/>
      <c r="E101" s="51">
        <v>230</v>
      </c>
      <c r="F101" s="51">
        <v>3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s="1" t="s">
        <v>595</v>
      </c>
      <c r="M101" s="32">
        <f t="shared" si="72"/>
        <v>270</v>
      </c>
      <c r="N101" s="33">
        <f t="shared" si="73"/>
        <v>1</v>
      </c>
      <c r="O101" s="33">
        <f t="shared" si="74"/>
        <v>3</v>
      </c>
      <c r="P101" s="33">
        <f t="shared" si="86"/>
        <v>1</v>
      </c>
      <c r="Q101" s="34">
        <f t="shared" si="76"/>
        <v>0</v>
      </c>
      <c r="R101" s="33">
        <f t="shared" si="87"/>
        <v>1</v>
      </c>
      <c r="S101" s="34">
        <f t="shared" si="78"/>
        <v>8000</v>
      </c>
      <c r="T101" s="34">
        <f t="shared" si="79"/>
        <v>1</v>
      </c>
      <c r="U101" s="34">
        <f t="shared" si="85"/>
        <v>0</v>
      </c>
      <c r="V101" s="34">
        <f t="shared" si="80"/>
        <v>1</v>
      </c>
      <c r="W101" s="34" t="str">
        <f t="shared" si="81"/>
        <v>OVC</v>
      </c>
      <c r="X101" s="34">
        <f t="shared" si="88"/>
        <v>1</v>
      </c>
      <c r="Y101" s="34">
        <f t="shared" si="83"/>
        <v>800</v>
      </c>
      <c r="Z101" s="34">
        <f t="shared" si="89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34</v>
      </c>
      <c r="D102" s="52"/>
      <c r="E102" s="51">
        <v>230</v>
      </c>
      <c r="F102" s="51">
        <v>3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s="1" t="s">
        <v>596</v>
      </c>
      <c r="M102" s="32">
        <f t="shared" si="72"/>
        <v>360</v>
      </c>
      <c r="N102" s="33">
        <f t="shared" si="73"/>
        <v>1</v>
      </c>
      <c r="O102" s="33">
        <f t="shared" si="74"/>
        <v>3</v>
      </c>
      <c r="P102" s="33">
        <f t="shared" si="86"/>
        <v>1</v>
      </c>
      <c r="Q102" s="34">
        <f t="shared" si="76"/>
        <v>0</v>
      </c>
      <c r="R102" s="33">
        <f t="shared" si="87"/>
        <v>1</v>
      </c>
      <c r="S102" s="34">
        <f t="shared" si="78"/>
        <v>7000</v>
      </c>
      <c r="T102" s="34">
        <f t="shared" si="79"/>
        <v>1</v>
      </c>
      <c r="U102" s="34">
        <f t="shared" si="85"/>
        <v>0</v>
      </c>
      <c r="V102" s="34">
        <f t="shared" si="80"/>
        <v>1</v>
      </c>
      <c r="W102" s="34" t="str">
        <f t="shared" si="81"/>
        <v>BKN</v>
      </c>
      <c r="X102" s="34">
        <f t="shared" si="88"/>
        <v>1</v>
      </c>
      <c r="Y102" s="34">
        <f t="shared" si="83"/>
        <v>800</v>
      </c>
      <c r="Z102" s="34">
        <f t="shared" si="89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34</v>
      </c>
      <c r="D103" s="52"/>
      <c r="E103" s="51">
        <v>230</v>
      </c>
      <c r="F103" s="51">
        <v>3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s="1" t="s">
        <v>597</v>
      </c>
      <c r="M103" s="32">
        <f t="shared" si="72"/>
        <v>350</v>
      </c>
      <c r="N103" s="33">
        <f t="shared" si="73"/>
        <v>1</v>
      </c>
      <c r="O103" s="33">
        <f t="shared" si="74"/>
        <v>3</v>
      </c>
      <c r="P103" s="33">
        <f t="shared" si="86"/>
        <v>1</v>
      </c>
      <c r="Q103" s="34">
        <f t="shared" si="76"/>
        <v>0</v>
      </c>
      <c r="R103" s="33">
        <f t="shared" si="87"/>
        <v>1</v>
      </c>
      <c r="S103" s="34">
        <f t="shared" si="78"/>
        <v>8000</v>
      </c>
      <c r="T103" s="34">
        <f t="shared" ref="T103:T104" si="90">IF(OR(AND(H103&lt;801,S103&lt;801),AND(H103&gt;799,H103&lt;1501,S103&gt;799,S103&lt;1502),AND(H103&gt;1499,H103&lt;3001,S103&gt;1499,S103&lt;3001),AND(H103&gt;2999,H103&lt;5001,S103&gt;2999,S103&lt;5001),AND(H103&gt;4999,S103&gt;4999)),1,0)</f>
        <v>1</v>
      </c>
      <c r="U103" s="34">
        <f t="shared" si="85"/>
        <v>0</v>
      </c>
      <c r="V103" s="34">
        <f t="shared" ref="V103:V104" si="91">IF(U103=I103,1,0)</f>
        <v>1</v>
      </c>
      <c r="W103" s="34" t="str">
        <f t="shared" si="81"/>
        <v>BKN</v>
      </c>
      <c r="X103" s="34">
        <f t="shared" si="88"/>
        <v>1</v>
      </c>
      <c r="Y103" s="34">
        <f t="shared" si="83"/>
        <v>900</v>
      </c>
      <c r="Z103" s="34">
        <f t="shared" si="89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34</v>
      </c>
      <c r="D104" s="52"/>
      <c r="E104" s="51">
        <v>230</v>
      </c>
      <c r="F104" s="51">
        <v>3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s="1" t="s">
        <v>598</v>
      </c>
      <c r="M104" s="32">
        <f t="shared" si="72"/>
        <v>320</v>
      </c>
      <c r="N104" s="33">
        <f t="shared" si="73"/>
        <v>1</v>
      </c>
      <c r="O104" s="33">
        <f t="shared" si="74"/>
        <v>4</v>
      </c>
      <c r="P104" s="33">
        <f t="shared" si="86"/>
        <v>1</v>
      </c>
      <c r="Q104" s="34">
        <f t="shared" si="76"/>
        <v>0</v>
      </c>
      <c r="R104" s="33">
        <f t="shared" si="87"/>
        <v>1</v>
      </c>
      <c r="S104" s="34">
        <f t="shared" si="78"/>
        <v>8000</v>
      </c>
      <c r="T104" s="34">
        <f t="shared" si="90"/>
        <v>1</v>
      </c>
      <c r="U104" s="34">
        <f t="shared" si="85"/>
        <v>0</v>
      </c>
      <c r="V104" s="34">
        <f t="shared" si="91"/>
        <v>1</v>
      </c>
      <c r="W104" s="34" t="str">
        <f t="shared" si="81"/>
        <v>BKN</v>
      </c>
      <c r="X104" s="34">
        <f t="shared" si="88"/>
        <v>1</v>
      </c>
      <c r="Y104" s="34">
        <f t="shared" si="83"/>
        <v>800</v>
      </c>
      <c r="Z104" s="34">
        <f t="shared" si="89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11</v>
      </c>
      <c r="W109" s="25"/>
      <c r="X109" s="25">
        <f>SUM(X93:X104)</f>
        <v>10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4</v>
      </c>
      <c r="O110" s="25"/>
      <c r="P110" s="25">
        <f>SUMIF($C93:$C104,"GENERAL",P93:P104)</f>
        <v>4</v>
      </c>
      <c r="Q110" s="25"/>
      <c r="R110" s="25">
        <f>SUMIF($C93:$C104,"GENERAL",R93:R104)</f>
        <v>4</v>
      </c>
      <c r="S110" s="25"/>
      <c r="T110" s="25">
        <f>SUMIF($C93:$C104,"GENERAL",T93:T104)</f>
        <v>4</v>
      </c>
      <c r="U110" s="25"/>
      <c r="V110" s="25">
        <f>SUMIF($C93:$C104,"GENERAL",V93:V104)</f>
        <v>3</v>
      </c>
      <c r="W110" s="25"/>
      <c r="X110" s="25">
        <f>SUMIF($C93:$C104,"GENERAL",X93:X104)</f>
        <v>3</v>
      </c>
      <c r="Y110" s="25"/>
      <c r="Z110" s="25">
        <f>SUMIF($C93:$C104,"GENERAL",Z93:Z104)</f>
        <v>4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8</v>
      </c>
      <c r="O111" s="25"/>
      <c r="P111" s="25">
        <f>SUMIF($C93:$C104,"BECMG",P93:P104)</f>
        <v>8</v>
      </c>
      <c r="Q111" s="25"/>
      <c r="R111" s="25">
        <f>SUMIF($C93:$C104,"BECMG",R93:R104)</f>
        <v>8</v>
      </c>
      <c r="S111" s="25"/>
      <c r="T111" s="25">
        <f>SUMIF($C93:$C104,"BECMG",T93:T104)</f>
        <v>8</v>
      </c>
      <c r="U111" s="25"/>
      <c r="V111" s="25">
        <f>SUMIF($C93:$C104,"BECMG",V93:V104)</f>
        <v>8</v>
      </c>
      <c r="W111" s="25"/>
      <c r="X111" s="25">
        <f>SUMIF($C93:$C104,"BECMG",X93:X104)</f>
        <v>7</v>
      </c>
      <c r="Y111" s="25"/>
      <c r="Z111" s="25">
        <f>SUMIF($C93:$C104,"BECMG",Z93:Z104)</f>
        <v>8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91.666666666666657</v>
      </c>
      <c r="W114" s="38"/>
      <c r="X114" s="38">
        <f>(SUM(X110:X113)/COUNTA(X93:X104))*100</f>
        <v>83.333333333333343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E4E9-B2D0-2C47-BEB9-B9ABE7B9EB1A}">
  <sheetPr>
    <tabColor theme="0"/>
  </sheetPr>
  <dimension ref="A1:AE115"/>
  <sheetViews>
    <sheetView topLeftCell="A82" zoomScale="85" zoomScaleNormal="85" workbookViewId="0">
      <selection activeCell="L66" sqref="L66:L67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575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20</v>
      </c>
      <c r="B7" s="28">
        <v>0</v>
      </c>
      <c r="C7" s="29" t="s">
        <v>39</v>
      </c>
      <c r="D7" s="29"/>
      <c r="E7" s="29">
        <v>320</v>
      </c>
      <c r="F7" s="29">
        <v>3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1" t="s">
        <v>593</v>
      </c>
      <c r="M7" s="32">
        <f t="shared" ref="M7:M18" si="0">IF(ISNUMBER(VALUE(FIND("VRB",L7))),999,VALUE(MID(L7,20,3)))</f>
        <v>320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4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 t="shared" ref="S7:S18" si="6"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7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8">IF(AND(IFERROR(FIND("RA",L7),0)&gt;0, IFERROR(FIND("RA",L7),0)&lt;38),"RA",0)</f>
        <v>0</v>
      </c>
      <c r="V7" s="34">
        <f t="shared" ref="V7:V18" si="9">IF(U7=I7,1,0)</f>
        <v>1</v>
      </c>
      <c r="W7" s="34" t="str">
        <f t="shared" ref="W7:W18" si="10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1">IF(OR(AND(OR(J7="SKC",J7="FEW",J7="SCT"),OR(W7="SKC",W7="FEW",W7="SCT")),(AND(OR(J7="BKN",J7="OVC"),OR(W7="BKN",W7="OVC")))),1,0)</f>
        <v>1</v>
      </c>
      <c r="Y7" s="34">
        <f t="shared" ref="Y7:Y18" si="12">IF(ISNUMBER(VALUE(FIND("CAVOK",L7))),9999,IF(ISNUMBER(VALUE(FIND("NSC",L7))),9999,(MID(L7,(FIND(W7,L7)+4),2))*100))</f>
        <v>900</v>
      </c>
      <c r="Z7" s="34">
        <f t="shared" ref="Z7:Z18" si="13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320</v>
      </c>
      <c r="F8" s="29">
        <v>3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1" t="s">
        <v>594</v>
      </c>
      <c r="M8" s="32">
        <f t="shared" si="0"/>
        <v>280</v>
      </c>
      <c r="N8" s="33">
        <f t="shared" si="1"/>
        <v>1</v>
      </c>
      <c r="O8" s="33">
        <f t="shared" si="2"/>
        <v>3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si="6"/>
        <v>8000</v>
      </c>
      <c r="T8" s="34">
        <f t="shared" si="7"/>
        <v>1</v>
      </c>
      <c r="U8" s="34">
        <f t="shared" si="8"/>
        <v>0</v>
      </c>
      <c r="V8" s="34">
        <f t="shared" si="9"/>
        <v>1</v>
      </c>
      <c r="W8" s="34" t="str">
        <f t="shared" si="10"/>
        <v>BKN</v>
      </c>
      <c r="X8" s="34">
        <f t="shared" si="11"/>
        <v>1</v>
      </c>
      <c r="Y8" s="34">
        <f t="shared" si="12"/>
        <v>800</v>
      </c>
      <c r="Z8" s="34">
        <f t="shared" si="13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40</v>
      </c>
      <c r="D9" s="29"/>
      <c r="E9" s="29">
        <v>20</v>
      </c>
      <c r="F9" s="29">
        <v>2</v>
      </c>
      <c r="G9" s="29">
        <v>0</v>
      </c>
      <c r="H9" s="29">
        <v>4000</v>
      </c>
      <c r="I9" s="29" t="s">
        <v>52</v>
      </c>
      <c r="J9" s="29" t="s">
        <v>51</v>
      </c>
      <c r="K9" s="29">
        <v>800</v>
      </c>
      <c r="L9" s="1" t="s">
        <v>595</v>
      </c>
      <c r="M9" s="32">
        <f t="shared" si="0"/>
        <v>270</v>
      </c>
      <c r="N9" s="33">
        <f t="shared" si="1"/>
        <v>1</v>
      </c>
      <c r="O9" s="33">
        <f t="shared" si="2"/>
        <v>3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6"/>
        <v>8000</v>
      </c>
      <c r="T9" s="34">
        <f t="shared" si="7"/>
        <v>0</v>
      </c>
      <c r="U9" s="34">
        <f t="shared" si="8"/>
        <v>0</v>
      </c>
      <c r="V9" s="34">
        <f t="shared" si="9"/>
        <v>0</v>
      </c>
      <c r="W9" s="34" t="str">
        <f t="shared" si="10"/>
        <v>OVC</v>
      </c>
      <c r="X9" s="34">
        <f t="shared" si="11"/>
        <v>0</v>
      </c>
      <c r="Y9" s="34">
        <f t="shared" si="12"/>
        <v>800</v>
      </c>
      <c r="Z9" s="34">
        <f t="shared" si="13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40</v>
      </c>
      <c r="D10" s="29"/>
      <c r="E10" s="29">
        <v>20</v>
      </c>
      <c r="F10" s="29">
        <v>2</v>
      </c>
      <c r="G10" s="29">
        <v>0</v>
      </c>
      <c r="H10" s="29">
        <v>4000</v>
      </c>
      <c r="I10" s="29" t="s">
        <v>52</v>
      </c>
      <c r="J10" s="29" t="s">
        <v>51</v>
      </c>
      <c r="K10" s="29">
        <v>800</v>
      </c>
      <c r="L10" s="1" t="s">
        <v>596</v>
      </c>
      <c r="M10" s="32">
        <f t="shared" si="0"/>
        <v>360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6"/>
        <v>7000</v>
      </c>
      <c r="T10" s="34">
        <f t="shared" si="7"/>
        <v>0</v>
      </c>
      <c r="U10" s="34">
        <f t="shared" si="8"/>
        <v>0</v>
      </c>
      <c r="V10" s="34">
        <f t="shared" si="9"/>
        <v>0</v>
      </c>
      <c r="W10" s="34" t="str">
        <f t="shared" si="10"/>
        <v>BKN</v>
      </c>
      <c r="X10" s="34">
        <f t="shared" si="11"/>
        <v>0</v>
      </c>
      <c r="Y10" s="34">
        <f t="shared" si="12"/>
        <v>800</v>
      </c>
      <c r="Z10" s="34">
        <f t="shared" si="13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40</v>
      </c>
      <c r="D11" s="29"/>
      <c r="E11" s="29">
        <v>20</v>
      </c>
      <c r="F11" s="29">
        <v>2</v>
      </c>
      <c r="G11" s="29">
        <v>0</v>
      </c>
      <c r="H11" s="29">
        <v>4000</v>
      </c>
      <c r="I11" s="29" t="s">
        <v>52</v>
      </c>
      <c r="J11" s="29" t="s">
        <v>51</v>
      </c>
      <c r="K11" s="29">
        <v>800</v>
      </c>
      <c r="L11" s="1" t="s">
        <v>597</v>
      </c>
      <c r="M11" s="32">
        <f t="shared" si="0"/>
        <v>350</v>
      </c>
      <c r="N11" s="33">
        <f t="shared" si="1"/>
        <v>1</v>
      </c>
      <c r="O11" s="33">
        <f t="shared" si="2"/>
        <v>3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6"/>
        <v>8000</v>
      </c>
      <c r="T11" s="34">
        <f t="shared" si="7"/>
        <v>0</v>
      </c>
      <c r="U11" s="34">
        <f t="shared" si="8"/>
        <v>0</v>
      </c>
      <c r="V11" s="34">
        <f t="shared" si="9"/>
        <v>0</v>
      </c>
      <c r="W11" s="34" t="str">
        <f t="shared" si="10"/>
        <v>BKN</v>
      </c>
      <c r="X11" s="34">
        <f t="shared" si="11"/>
        <v>0</v>
      </c>
      <c r="Y11" s="34">
        <f t="shared" si="12"/>
        <v>900</v>
      </c>
      <c r="Z11" s="34">
        <f t="shared" si="13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320</v>
      </c>
      <c r="F12" s="29">
        <v>3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1" t="s">
        <v>598</v>
      </c>
      <c r="M12" s="32">
        <f t="shared" si="0"/>
        <v>320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6"/>
        <v>8000</v>
      </c>
      <c r="T12" s="34">
        <f t="shared" si="7"/>
        <v>1</v>
      </c>
      <c r="U12" s="34">
        <f t="shared" si="8"/>
        <v>0</v>
      </c>
      <c r="V12" s="34">
        <f t="shared" si="9"/>
        <v>1</v>
      </c>
      <c r="W12" s="34" t="str">
        <f t="shared" si="10"/>
        <v>BKN</v>
      </c>
      <c r="X12" s="34">
        <f t="shared" si="11"/>
        <v>1</v>
      </c>
      <c r="Y12" s="34">
        <f t="shared" si="12"/>
        <v>800</v>
      </c>
      <c r="Z12" s="34">
        <f t="shared" si="13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320</v>
      </c>
      <c r="F13" s="29">
        <v>3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1" t="s">
        <v>599</v>
      </c>
      <c r="M13" s="32">
        <f t="shared" si="0"/>
        <v>330</v>
      </c>
      <c r="N13" s="33">
        <f t="shared" si="1"/>
        <v>1</v>
      </c>
      <c r="O13" s="33">
        <f t="shared" si="2"/>
        <v>2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6"/>
        <v>8000</v>
      </c>
      <c r="T13" s="34">
        <f t="shared" si="7"/>
        <v>1</v>
      </c>
      <c r="U13" s="34">
        <f t="shared" si="8"/>
        <v>0</v>
      </c>
      <c r="V13" s="34">
        <f t="shared" si="9"/>
        <v>1</v>
      </c>
      <c r="W13" s="34" t="str">
        <f t="shared" si="10"/>
        <v>BKN</v>
      </c>
      <c r="X13" s="34">
        <f t="shared" si="11"/>
        <v>1</v>
      </c>
      <c r="Y13" s="34">
        <f t="shared" si="12"/>
        <v>800</v>
      </c>
      <c r="Z13" s="34">
        <f t="shared" si="13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320</v>
      </c>
      <c r="F14" s="29">
        <v>3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1" t="s">
        <v>600</v>
      </c>
      <c r="M14" s="32">
        <f t="shared" si="0"/>
        <v>0</v>
      </c>
      <c r="N14" s="33">
        <f t="shared" si="1"/>
        <v>1</v>
      </c>
      <c r="O14" s="33">
        <f t="shared" si="2"/>
        <v>0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6"/>
        <v>8000</v>
      </c>
      <c r="T14" s="34">
        <f t="shared" si="7"/>
        <v>1</v>
      </c>
      <c r="U14" s="34">
        <f t="shared" si="8"/>
        <v>0</v>
      </c>
      <c r="V14" s="34">
        <f t="shared" si="9"/>
        <v>1</v>
      </c>
      <c r="W14" s="34" t="str">
        <f t="shared" si="10"/>
        <v>BKN</v>
      </c>
      <c r="X14" s="34">
        <f t="shared" si="11"/>
        <v>1</v>
      </c>
      <c r="Y14" s="34">
        <f t="shared" si="12"/>
        <v>800</v>
      </c>
      <c r="Z14" s="34">
        <f t="shared" si="13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320</v>
      </c>
      <c r="F15" s="29">
        <v>3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s="1" t="s">
        <v>601</v>
      </c>
      <c r="M15" s="32">
        <f t="shared" si="0"/>
        <v>150</v>
      </c>
      <c r="N15" s="33">
        <f t="shared" si="1"/>
        <v>1</v>
      </c>
      <c r="O15" s="33">
        <f t="shared" si="2"/>
        <v>2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6"/>
        <v>8000</v>
      </c>
      <c r="T15" s="34">
        <f t="shared" si="7"/>
        <v>1</v>
      </c>
      <c r="U15" s="34">
        <f t="shared" si="8"/>
        <v>0</v>
      </c>
      <c r="V15" s="34">
        <f t="shared" si="9"/>
        <v>1</v>
      </c>
      <c r="W15" s="34" t="str">
        <f t="shared" si="10"/>
        <v>BKN</v>
      </c>
      <c r="X15" s="34">
        <f t="shared" si="11"/>
        <v>1</v>
      </c>
      <c r="Y15" s="34">
        <f t="shared" si="12"/>
        <v>900</v>
      </c>
      <c r="Z15" s="34">
        <f t="shared" si="13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320</v>
      </c>
      <c r="F16" s="29">
        <v>3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1" t="s">
        <v>602</v>
      </c>
      <c r="M16" s="32">
        <f t="shared" si="0"/>
        <v>0</v>
      </c>
      <c r="N16" s="33">
        <f t="shared" si="1"/>
        <v>1</v>
      </c>
      <c r="O16" s="33">
        <f t="shared" si="2"/>
        <v>0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6"/>
        <v>8000</v>
      </c>
      <c r="T16" s="34">
        <f t="shared" si="7"/>
        <v>1</v>
      </c>
      <c r="U16" s="34">
        <f t="shared" si="8"/>
        <v>0</v>
      </c>
      <c r="V16" s="34">
        <f t="shared" si="9"/>
        <v>1</v>
      </c>
      <c r="W16" s="34" t="str">
        <f t="shared" si="10"/>
        <v>BKN</v>
      </c>
      <c r="X16" s="34">
        <f t="shared" si="11"/>
        <v>1</v>
      </c>
      <c r="Y16" s="34">
        <f t="shared" si="12"/>
        <v>800</v>
      </c>
      <c r="Z16" s="34">
        <f t="shared" si="13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320</v>
      </c>
      <c r="F17" s="29">
        <v>3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1" t="s">
        <v>603</v>
      </c>
      <c r="M17" s="32">
        <f t="shared" si="0"/>
        <v>0</v>
      </c>
      <c r="N17" s="33">
        <f t="shared" si="1"/>
        <v>1</v>
      </c>
      <c r="O17" s="33">
        <f t="shared" si="2"/>
        <v>0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6"/>
        <v>8000</v>
      </c>
      <c r="T17" s="34">
        <f t="shared" si="7"/>
        <v>1</v>
      </c>
      <c r="U17" s="34">
        <f t="shared" si="8"/>
        <v>0</v>
      </c>
      <c r="V17" s="34">
        <f t="shared" si="9"/>
        <v>1</v>
      </c>
      <c r="W17" s="34" t="str">
        <f t="shared" si="10"/>
        <v>BKN</v>
      </c>
      <c r="X17" s="34">
        <f t="shared" si="11"/>
        <v>1</v>
      </c>
      <c r="Y17" s="34">
        <f t="shared" si="12"/>
        <v>900</v>
      </c>
      <c r="Z17" s="34">
        <f t="shared" si="13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320</v>
      </c>
      <c r="F18" s="29">
        <v>3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1" t="s">
        <v>604</v>
      </c>
      <c r="M18" s="32">
        <f t="shared" si="0"/>
        <v>140</v>
      </c>
      <c r="N18" s="33">
        <f t="shared" si="1"/>
        <v>1</v>
      </c>
      <c r="O18" s="33">
        <f t="shared" si="2"/>
        <v>2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6"/>
        <v>8000</v>
      </c>
      <c r="T18" s="34">
        <f t="shared" si="7"/>
        <v>1</v>
      </c>
      <c r="U18" s="34">
        <f t="shared" si="8"/>
        <v>0</v>
      </c>
      <c r="V18" s="34">
        <f t="shared" si="9"/>
        <v>1</v>
      </c>
      <c r="W18" s="34" t="str">
        <f t="shared" si="10"/>
        <v>BKN</v>
      </c>
      <c r="X18" s="34">
        <f t="shared" si="11"/>
        <v>1</v>
      </c>
      <c r="Y18" s="34">
        <f t="shared" si="12"/>
        <v>900</v>
      </c>
      <c r="Z18" s="34">
        <f t="shared" si="13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9</v>
      </c>
      <c r="U23" s="25"/>
      <c r="V23" s="25">
        <f>SUM(V7:V18)</f>
        <v>9</v>
      </c>
      <c r="W23" s="25"/>
      <c r="X23" s="25">
        <f>SUM(X7:X18)</f>
        <v>9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9</v>
      </c>
      <c r="O24" s="25"/>
      <c r="P24" s="25">
        <f>SUMIF($C7:$C18,"GENERAL",P7:P18)</f>
        <v>9</v>
      </c>
      <c r="Q24" s="25"/>
      <c r="R24" s="25">
        <f>SUMIF($C7:$C18,"GENERAL",R7:R18)</f>
        <v>9</v>
      </c>
      <c r="S24" s="25"/>
      <c r="T24" s="25">
        <f>SUMIF($C7:$C18,"GENERAL",T7:T18)</f>
        <v>9</v>
      </c>
      <c r="U24" s="25"/>
      <c r="V24" s="25">
        <f>SUMIF($C7:$C18,"GENERAL",V7:V18)</f>
        <v>9</v>
      </c>
      <c r="W24" s="25"/>
      <c r="X24" s="25">
        <f>SUMIF($C7:$C18,"GENERAL",X7:X18)</f>
        <v>9</v>
      </c>
      <c r="Y24" s="25"/>
      <c r="Z24" s="25">
        <f>SUMIF($C7:$C18,"GENERAL",Z7:Z18)</f>
        <v>9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3</v>
      </c>
      <c r="M27" s="42">
        <f>SUMIF($C7:$C18,"TEMPO",N7:N18)</f>
        <v>3</v>
      </c>
      <c r="N27" s="42">
        <f>M27</f>
        <v>3</v>
      </c>
      <c r="O27" s="42">
        <f>SUMIF($C7:$C18,"TEMPO",P7:P18)</f>
        <v>3</v>
      </c>
      <c r="P27" s="42">
        <f>O27</f>
        <v>3</v>
      </c>
      <c r="Q27" s="42">
        <f>SUMIF($C7:$C18,"TEMPO",R7:R18)</f>
        <v>3</v>
      </c>
      <c r="R27" s="42">
        <f>Q27</f>
        <v>3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3</v>
      </c>
      <c r="Z27" s="42">
        <f>Y27</f>
        <v>3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75</v>
      </c>
      <c r="U28" s="38"/>
      <c r="V28" s="38">
        <f>(SUM(V24:V27)/COUNTA(V7:V18))*100</f>
        <v>75</v>
      </c>
      <c r="W28" s="38"/>
      <c r="X28" s="38">
        <f>(SUM(X24:X27)/COUNTA(X7:X18))*100</f>
        <v>75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576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20</v>
      </c>
      <c r="B36" s="28">
        <v>0.25</v>
      </c>
      <c r="C36" s="29" t="s">
        <v>39</v>
      </c>
      <c r="D36" s="30"/>
      <c r="E36" s="29">
        <v>180</v>
      </c>
      <c r="F36" s="29">
        <v>3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1" t="s">
        <v>599</v>
      </c>
      <c r="M36" s="32">
        <f t="shared" ref="M36:M47" si="14">IF(ISNUMBER(VALUE(FIND("VRB",L36))),999,VALUE(MID(L36,20,3)))</f>
        <v>330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2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 t="shared" ref="S36:S47" si="20"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1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2">IF(AND(IFERROR(FIND("RA",L36),0)&gt;0, IFERROR(FIND("RA",L36),0)&lt;38),"RA",0)</f>
        <v>0</v>
      </c>
      <c r="V36" s="34">
        <f t="shared" ref="V36:V47" si="23">IF(U36=I36,1,0)</f>
        <v>1</v>
      </c>
      <c r="W36" s="34" t="str">
        <f t="shared" ref="W36:W47" si="24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7" si="25">IF(OR(AND(OR(J36="SKC",J36="FEW",J36="SCT"),OR(W36="SKC",W36="FEW",W36="SCT")),(AND(OR(J36="BKN",J36="OVC"),OR(W36="BKN",W36="OVC")))),1,0)</f>
        <v>1</v>
      </c>
      <c r="Y36" s="34">
        <f t="shared" ref="Y36:Y47" si="26">IF(ISNUMBER(VALUE(FIND("CAVOK",L36))),9999,IF(ISNUMBER(VALUE(FIND("NSC",L36))),9999,(MID(L36,(FIND(W36,L36)+4),2))*100))</f>
        <v>800</v>
      </c>
      <c r="Z36" s="34">
        <f t="shared" ref="Z36:Z47" si="27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180</v>
      </c>
      <c r="F37" s="29">
        <v>3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1" t="s">
        <v>600</v>
      </c>
      <c r="M37" s="32">
        <f t="shared" si="14"/>
        <v>0</v>
      </c>
      <c r="N37" s="33">
        <f t="shared" si="15"/>
        <v>1</v>
      </c>
      <c r="O37" s="33">
        <f t="shared" si="16"/>
        <v>0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si="20"/>
        <v>8000</v>
      </c>
      <c r="T37" s="34">
        <f t="shared" si="21"/>
        <v>1</v>
      </c>
      <c r="U37" s="34">
        <f t="shared" si="22"/>
        <v>0</v>
      </c>
      <c r="V37" s="34">
        <f t="shared" si="23"/>
        <v>1</v>
      </c>
      <c r="W37" s="34" t="str">
        <f t="shared" si="24"/>
        <v>BKN</v>
      </c>
      <c r="X37" s="34">
        <f t="shared" si="25"/>
        <v>1</v>
      </c>
      <c r="Y37" s="34">
        <f t="shared" si="26"/>
        <v>800</v>
      </c>
      <c r="Z37" s="34">
        <f t="shared" si="27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180</v>
      </c>
      <c r="F38" s="29">
        <v>3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s="29" t="s">
        <v>601</v>
      </c>
      <c r="M38" s="32">
        <f t="shared" si="14"/>
        <v>150</v>
      </c>
      <c r="N38" s="33">
        <f t="shared" si="15"/>
        <v>1</v>
      </c>
      <c r="O38" s="33">
        <f t="shared" si="16"/>
        <v>2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0"/>
        <v>8000</v>
      </c>
      <c r="T38" s="34">
        <f t="shared" si="21"/>
        <v>1</v>
      </c>
      <c r="U38" s="34">
        <f t="shared" si="22"/>
        <v>0</v>
      </c>
      <c r="V38" s="34">
        <f t="shared" si="23"/>
        <v>1</v>
      </c>
      <c r="W38" s="34" t="str">
        <f t="shared" si="24"/>
        <v>BKN</v>
      </c>
      <c r="X38" s="34">
        <f t="shared" si="25"/>
        <v>1</v>
      </c>
      <c r="Y38" s="34">
        <f t="shared" si="26"/>
        <v>900</v>
      </c>
      <c r="Z38" s="34">
        <f t="shared" si="27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30"/>
      <c r="E39" s="29">
        <v>230</v>
      </c>
      <c r="F39" s="29">
        <v>2</v>
      </c>
      <c r="G39" s="29">
        <v>0</v>
      </c>
      <c r="H39" s="29">
        <v>4000</v>
      </c>
      <c r="I39" s="29" t="s">
        <v>52</v>
      </c>
      <c r="J39" s="29" t="s">
        <v>51</v>
      </c>
      <c r="K39" s="29">
        <v>800</v>
      </c>
      <c r="L39" s="29" t="s">
        <v>602</v>
      </c>
      <c r="M39" s="32">
        <f t="shared" si="14"/>
        <v>0</v>
      </c>
      <c r="N39" s="33">
        <f t="shared" si="15"/>
        <v>1</v>
      </c>
      <c r="O39" s="33">
        <f t="shared" si="16"/>
        <v>0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0"/>
        <v>8000</v>
      </c>
      <c r="T39" s="34">
        <f t="shared" si="21"/>
        <v>0</v>
      </c>
      <c r="U39" s="34">
        <f t="shared" si="22"/>
        <v>0</v>
      </c>
      <c r="V39" s="34">
        <f t="shared" si="23"/>
        <v>0</v>
      </c>
      <c r="W39" s="34" t="str">
        <f t="shared" si="24"/>
        <v>BKN</v>
      </c>
      <c r="X39" s="34">
        <f t="shared" si="25"/>
        <v>0</v>
      </c>
      <c r="Y39" s="34">
        <f t="shared" si="26"/>
        <v>800</v>
      </c>
      <c r="Z39" s="34">
        <f t="shared" si="27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30"/>
      <c r="E40" s="29">
        <v>230</v>
      </c>
      <c r="F40" s="29">
        <v>2</v>
      </c>
      <c r="G40" s="29">
        <v>0</v>
      </c>
      <c r="H40" s="29">
        <v>4000</v>
      </c>
      <c r="I40" s="29" t="s">
        <v>52</v>
      </c>
      <c r="J40" s="29" t="s">
        <v>51</v>
      </c>
      <c r="K40" s="29">
        <v>800</v>
      </c>
      <c r="L40" s="29" t="s">
        <v>603</v>
      </c>
      <c r="M40" s="32">
        <f t="shared" si="14"/>
        <v>0</v>
      </c>
      <c r="N40" s="33">
        <f t="shared" si="15"/>
        <v>1</v>
      </c>
      <c r="O40" s="33">
        <f t="shared" si="16"/>
        <v>0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0"/>
        <v>8000</v>
      </c>
      <c r="T40" s="34">
        <f t="shared" si="21"/>
        <v>0</v>
      </c>
      <c r="U40" s="34">
        <f t="shared" si="22"/>
        <v>0</v>
      </c>
      <c r="V40" s="34">
        <f t="shared" si="23"/>
        <v>0</v>
      </c>
      <c r="W40" s="34" t="str">
        <f t="shared" si="24"/>
        <v>BKN</v>
      </c>
      <c r="X40" s="34">
        <f t="shared" si="25"/>
        <v>0</v>
      </c>
      <c r="Y40" s="34">
        <f t="shared" si="26"/>
        <v>900</v>
      </c>
      <c r="Z40" s="34">
        <f t="shared" si="27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30"/>
      <c r="E41" s="29">
        <v>230</v>
      </c>
      <c r="F41" s="29">
        <v>2</v>
      </c>
      <c r="G41" s="29">
        <v>0</v>
      </c>
      <c r="H41" s="29">
        <v>4000</v>
      </c>
      <c r="I41" s="29" t="s">
        <v>52</v>
      </c>
      <c r="J41" s="29" t="s">
        <v>51</v>
      </c>
      <c r="K41" s="29">
        <v>800</v>
      </c>
      <c r="L41" s="29" t="s">
        <v>604</v>
      </c>
      <c r="M41" s="32">
        <f t="shared" si="14"/>
        <v>140</v>
      </c>
      <c r="N41" s="33">
        <f t="shared" si="15"/>
        <v>1</v>
      </c>
      <c r="O41" s="33">
        <f t="shared" si="16"/>
        <v>2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0"/>
        <v>8000</v>
      </c>
      <c r="T41" s="34">
        <f t="shared" si="21"/>
        <v>0</v>
      </c>
      <c r="U41" s="34">
        <f t="shared" si="22"/>
        <v>0</v>
      </c>
      <c r="V41" s="34">
        <f t="shared" si="23"/>
        <v>0</v>
      </c>
      <c r="W41" s="34" t="str">
        <f t="shared" si="24"/>
        <v>BKN</v>
      </c>
      <c r="X41" s="34">
        <f t="shared" si="25"/>
        <v>0</v>
      </c>
      <c r="Y41" s="34">
        <f t="shared" si="26"/>
        <v>900</v>
      </c>
      <c r="Z41" s="34">
        <f t="shared" si="27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180</v>
      </c>
      <c r="F42" s="29">
        <v>3</v>
      </c>
      <c r="G42" s="29">
        <v>0</v>
      </c>
      <c r="H42" s="29">
        <v>8000</v>
      </c>
      <c r="I42" s="29">
        <v>0</v>
      </c>
      <c r="J42" s="29" t="s">
        <v>58</v>
      </c>
      <c r="K42" s="29">
        <v>900</v>
      </c>
      <c r="L42" s="29" t="s">
        <v>605</v>
      </c>
      <c r="M42" s="32">
        <f t="shared" si="14"/>
        <v>140</v>
      </c>
      <c r="N42" s="33">
        <f t="shared" si="15"/>
        <v>1</v>
      </c>
      <c r="O42" s="33">
        <f t="shared" si="16"/>
        <v>2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0"/>
        <v>8000</v>
      </c>
      <c r="T42" s="34">
        <f t="shared" si="21"/>
        <v>1</v>
      </c>
      <c r="U42" s="34">
        <f t="shared" si="22"/>
        <v>0</v>
      </c>
      <c r="V42" s="34">
        <f t="shared" si="23"/>
        <v>1</v>
      </c>
      <c r="W42" s="34" t="str">
        <f t="shared" si="24"/>
        <v>BKN</v>
      </c>
      <c r="X42" s="34">
        <f t="shared" si="25"/>
        <v>1</v>
      </c>
      <c r="Y42" s="34">
        <f t="shared" si="26"/>
        <v>900</v>
      </c>
      <c r="Z42" s="34">
        <f t="shared" si="27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180</v>
      </c>
      <c r="F43" s="29">
        <v>3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s="29" t="s">
        <v>904</v>
      </c>
      <c r="M43" s="32">
        <f t="shared" si="14"/>
        <v>140</v>
      </c>
      <c r="N43" s="33">
        <f t="shared" si="15"/>
        <v>1</v>
      </c>
      <c r="O43" s="33">
        <f t="shared" si="16"/>
        <v>2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0"/>
        <v>8000</v>
      </c>
      <c r="T43" s="34">
        <f t="shared" si="21"/>
        <v>1</v>
      </c>
      <c r="U43" s="34">
        <f t="shared" si="22"/>
        <v>0</v>
      </c>
      <c r="V43" s="34">
        <f t="shared" si="23"/>
        <v>1</v>
      </c>
      <c r="W43" s="34" t="str">
        <f t="shared" si="24"/>
        <v>BKN</v>
      </c>
      <c r="X43" s="34">
        <f t="shared" si="25"/>
        <v>1</v>
      </c>
      <c r="Y43" s="34">
        <f t="shared" si="26"/>
        <v>900</v>
      </c>
      <c r="Z43" s="34">
        <f t="shared" si="27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180</v>
      </c>
      <c r="F44" s="29">
        <v>3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s="29" t="s">
        <v>905</v>
      </c>
      <c r="M44" s="32">
        <f t="shared" si="14"/>
        <v>0</v>
      </c>
      <c r="N44" s="33">
        <f t="shared" si="15"/>
        <v>1</v>
      </c>
      <c r="O44" s="33">
        <f t="shared" si="16"/>
        <v>0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0"/>
        <v>8000</v>
      </c>
      <c r="T44" s="34">
        <f t="shared" si="21"/>
        <v>1</v>
      </c>
      <c r="U44" s="34">
        <f t="shared" si="22"/>
        <v>0</v>
      </c>
      <c r="V44" s="34">
        <f t="shared" si="23"/>
        <v>1</v>
      </c>
      <c r="W44" s="34" t="str">
        <f t="shared" si="24"/>
        <v>BKN</v>
      </c>
      <c r="X44" s="34">
        <f t="shared" si="25"/>
        <v>1</v>
      </c>
      <c r="Y44" s="34">
        <f t="shared" si="26"/>
        <v>900</v>
      </c>
      <c r="Z44" s="34">
        <f t="shared" si="27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180</v>
      </c>
      <c r="F45" s="29">
        <v>3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s="29" t="s">
        <v>606</v>
      </c>
      <c r="M45" s="32">
        <f t="shared" si="14"/>
        <v>0</v>
      </c>
      <c r="N45" s="33">
        <f t="shared" si="15"/>
        <v>1</v>
      </c>
      <c r="O45" s="33">
        <f t="shared" si="16"/>
        <v>0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0"/>
        <v>8000</v>
      </c>
      <c r="T45" s="34">
        <f t="shared" si="21"/>
        <v>1</v>
      </c>
      <c r="U45" s="34">
        <f t="shared" si="22"/>
        <v>0</v>
      </c>
      <c r="V45" s="34">
        <f t="shared" si="23"/>
        <v>1</v>
      </c>
      <c r="W45" s="34" t="str">
        <f t="shared" si="24"/>
        <v>BKN</v>
      </c>
      <c r="X45" s="34">
        <f t="shared" si="25"/>
        <v>1</v>
      </c>
      <c r="Y45" s="34">
        <f t="shared" si="26"/>
        <v>900</v>
      </c>
      <c r="Z45" s="34">
        <f t="shared" si="27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180</v>
      </c>
      <c r="F46" s="29">
        <v>3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29" t="s">
        <v>607</v>
      </c>
      <c r="M46" s="32">
        <f t="shared" si="14"/>
        <v>0</v>
      </c>
      <c r="N46" s="33">
        <f t="shared" si="15"/>
        <v>1</v>
      </c>
      <c r="O46" s="33">
        <f t="shared" si="16"/>
        <v>0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0"/>
        <v>8000</v>
      </c>
      <c r="T46" s="34">
        <f t="shared" si="21"/>
        <v>1</v>
      </c>
      <c r="U46" s="34">
        <f t="shared" si="22"/>
        <v>0</v>
      </c>
      <c r="V46" s="34">
        <f t="shared" si="23"/>
        <v>1</v>
      </c>
      <c r="W46" s="34" t="str">
        <f t="shared" si="24"/>
        <v>BKN</v>
      </c>
      <c r="X46" s="34">
        <f t="shared" si="25"/>
        <v>1</v>
      </c>
      <c r="Y46" s="34">
        <f t="shared" si="26"/>
        <v>900</v>
      </c>
      <c r="Z46" s="34">
        <f t="shared" si="27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180</v>
      </c>
      <c r="F47" s="29">
        <v>3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29" t="s">
        <v>608</v>
      </c>
      <c r="M47" s="32">
        <f t="shared" si="14"/>
        <v>0</v>
      </c>
      <c r="N47" s="33">
        <f t="shared" si="15"/>
        <v>1</v>
      </c>
      <c r="O47" s="33">
        <f t="shared" si="16"/>
        <v>0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0"/>
        <v>8000</v>
      </c>
      <c r="T47" s="34">
        <f t="shared" si="21"/>
        <v>1</v>
      </c>
      <c r="U47" s="34">
        <f t="shared" si="22"/>
        <v>0</v>
      </c>
      <c r="V47" s="34">
        <f t="shared" si="23"/>
        <v>1</v>
      </c>
      <c r="W47" s="34" t="str">
        <f t="shared" si="24"/>
        <v>BKN</v>
      </c>
      <c r="X47" s="34">
        <f t="shared" si="25"/>
        <v>1</v>
      </c>
      <c r="Y47" s="34">
        <f t="shared" si="26"/>
        <v>900</v>
      </c>
      <c r="Z47" s="34">
        <f t="shared" si="27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9</v>
      </c>
      <c r="W52" s="25"/>
      <c r="X52" s="25">
        <f>SUM(X36:X47)</f>
        <v>9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9</v>
      </c>
      <c r="U53" s="25"/>
      <c r="V53" s="25">
        <f>SUMIF($C36:$C47,"GENERAL",V36:V47)</f>
        <v>9</v>
      </c>
      <c r="W53" s="25"/>
      <c r="X53" s="25">
        <f>SUMIF($C36:$C47,"GENERAL",X36:X47)</f>
        <v>9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75</v>
      </c>
      <c r="W57" s="38"/>
      <c r="X57" s="38">
        <f>(SUM(X53:X56)/COUNTA(X36:X47))*100</f>
        <v>75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621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20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58</v>
      </c>
      <c r="K65" s="51">
        <v>900</v>
      </c>
      <c r="L65" s="51" t="s">
        <v>605</v>
      </c>
      <c r="M65" s="32">
        <f t="shared" ref="M65:M76" si="28">IF(ISNUMBER(VALUE(FIND("VRB",L65))),999,VALUE(MID(L65,20,3)))</f>
        <v>140</v>
      </c>
      <c r="N65" s="33">
        <f t="shared" ref="N65:N76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2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 t="shared" ref="S65:S76" si="34"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35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6">IF(AND(IFERROR(FIND("RA",L65),0)&gt;0, IFERROR(FIND("RA",L65),0)&lt;38),"RA",0)</f>
        <v>0</v>
      </c>
      <c r="V65" s="34">
        <f t="shared" ref="V65:V76" si="37">IF(U65=I65,1,0)</f>
        <v>1</v>
      </c>
      <c r="W65" s="34" t="str">
        <f t="shared" ref="W65:W76" si="38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6" si="39">IF(OR(AND(OR(J65="SKC",J65="FEW",J65="SCT"),OR(W65="SKC",W65="FEW",W65="SCT")),(AND(OR(J65="BKN",J65="OVC"),OR(W65="BKN",W65="OVC")))),1,0)</f>
        <v>1</v>
      </c>
      <c r="Y65" s="34">
        <f t="shared" ref="Y65:Y76" si="40">IF(ISNUMBER(VALUE(FIND("CAVOK",L65))),9999,IF(ISNUMBER(VALUE(FIND("NSC",L65))),9999,(MID(L65,(FIND(W65,L65)+4),2))*100))</f>
        <v>900</v>
      </c>
      <c r="Z65" s="34">
        <f t="shared" ref="Z65:Z76" si="41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58</v>
      </c>
      <c r="K66" s="51">
        <v>900</v>
      </c>
      <c r="L66" s="29" t="s">
        <v>904</v>
      </c>
      <c r="M66" s="32">
        <f t="shared" si="28"/>
        <v>140</v>
      </c>
      <c r="N66" s="33">
        <f t="shared" si="29"/>
        <v>1</v>
      </c>
      <c r="O66" s="33">
        <f t="shared" si="30"/>
        <v>2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si="34"/>
        <v>8000</v>
      </c>
      <c r="T66" s="34">
        <f t="shared" si="35"/>
        <v>1</v>
      </c>
      <c r="U66" s="34">
        <f t="shared" si="36"/>
        <v>0</v>
      </c>
      <c r="V66" s="34">
        <f t="shared" si="37"/>
        <v>1</v>
      </c>
      <c r="W66" s="34" t="str">
        <f t="shared" si="38"/>
        <v>BKN</v>
      </c>
      <c r="X66" s="34">
        <f t="shared" si="39"/>
        <v>1</v>
      </c>
      <c r="Y66" s="34">
        <f t="shared" si="40"/>
        <v>900</v>
      </c>
      <c r="Z66" s="34">
        <f t="shared" si="41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1" t="s">
        <v>58</v>
      </c>
      <c r="K67" s="51">
        <v>900</v>
      </c>
      <c r="L67" s="29" t="s">
        <v>905</v>
      </c>
      <c r="M67" s="32">
        <f t="shared" si="28"/>
        <v>0</v>
      </c>
      <c r="N67" s="33">
        <f t="shared" si="29"/>
        <v>1</v>
      </c>
      <c r="O67" s="33">
        <f t="shared" si="30"/>
        <v>0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34"/>
        <v>8000</v>
      </c>
      <c r="T67" s="34">
        <f t="shared" si="35"/>
        <v>1</v>
      </c>
      <c r="U67" s="34">
        <f t="shared" si="36"/>
        <v>0</v>
      </c>
      <c r="V67" s="34">
        <f t="shared" si="37"/>
        <v>1</v>
      </c>
      <c r="W67" s="34" t="str">
        <f t="shared" si="38"/>
        <v>BKN</v>
      </c>
      <c r="X67" s="34">
        <f t="shared" si="39"/>
        <v>1</v>
      </c>
      <c r="Y67" s="34">
        <f t="shared" si="40"/>
        <v>900</v>
      </c>
      <c r="Z67" s="34">
        <f t="shared" si="41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1" t="s">
        <v>58</v>
      </c>
      <c r="K68" s="51">
        <v>900</v>
      </c>
      <c r="L68" s="51" t="s">
        <v>606</v>
      </c>
      <c r="M68" s="32">
        <f t="shared" si="28"/>
        <v>0</v>
      </c>
      <c r="N68" s="33">
        <f t="shared" si="29"/>
        <v>1</v>
      </c>
      <c r="O68" s="33">
        <f t="shared" si="30"/>
        <v>0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34"/>
        <v>8000</v>
      </c>
      <c r="T68" s="34">
        <f t="shared" si="35"/>
        <v>1</v>
      </c>
      <c r="U68" s="34">
        <f t="shared" si="36"/>
        <v>0</v>
      </c>
      <c r="V68" s="34">
        <f t="shared" si="37"/>
        <v>1</v>
      </c>
      <c r="W68" s="34" t="str">
        <f t="shared" si="38"/>
        <v>BKN</v>
      </c>
      <c r="X68" s="34">
        <f t="shared" si="39"/>
        <v>1</v>
      </c>
      <c r="Y68" s="34">
        <f t="shared" si="40"/>
        <v>900</v>
      </c>
      <c r="Z68" s="34">
        <f t="shared" si="41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1" t="s">
        <v>58</v>
      </c>
      <c r="K69" s="51">
        <v>900</v>
      </c>
      <c r="L69" s="51" t="s">
        <v>607</v>
      </c>
      <c r="M69" s="32">
        <f t="shared" si="28"/>
        <v>0</v>
      </c>
      <c r="N69" s="33">
        <f t="shared" si="29"/>
        <v>1</v>
      </c>
      <c r="O69" s="33">
        <f t="shared" si="30"/>
        <v>0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34"/>
        <v>8000</v>
      </c>
      <c r="T69" s="34">
        <f t="shared" si="35"/>
        <v>1</v>
      </c>
      <c r="U69" s="34">
        <f t="shared" si="36"/>
        <v>0</v>
      </c>
      <c r="V69" s="34">
        <f t="shared" si="37"/>
        <v>1</v>
      </c>
      <c r="W69" s="34" t="str">
        <f t="shared" si="38"/>
        <v>BKN</v>
      </c>
      <c r="X69" s="34">
        <f t="shared" si="39"/>
        <v>1</v>
      </c>
      <c r="Y69" s="34">
        <f t="shared" si="40"/>
        <v>900</v>
      </c>
      <c r="Z69" s="34">
        <f t="shared" si="41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1" t="s">
        <v>58</v>
      </c>
      <c r="K70" s="51">
        <v>900</v>
      </c>
      <c r="L70" s="51" t="s">
        <v>608</v>
      </c>
      <c r="M70" s="32">
        <f t="shared" si="28"/>
        <v>0</v>
      </c>
      <c r="N70" s="33">
        <f t="shared" si="29"/>
        <v>1</v>
      </c>
      <c r="O70" s="33">
        <f t="shared" si="30"/>
        <v>0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34"/>
        <v>8000</v>
      </c>
      <c r="T70" s="34">
        <f t="shared" si="35"/>
        <v>1</v>
      </c>
      <c r="U70" s="34">
        <f t="shared" si="36"/>
        <v>0</v>
      </c>
      <c r="V70" s="34">
        <f t="shared" si="37"/>
        <v>1</v>
      </c>
      <c r="W70" s="34" t="str">
        <f t="shared" si="38"/>
        <v>BKN</v>
      </c>
      <c r="X70" s="34">
        <f t="shared" si="39"/>
        <v>1</v>
      </c>
      <c r="Y70" s="34">
        <f t="shared" si="40"/>
        <v>900</v>
      </c>
      <c r="Z70" s="34">
        <f t="shared" si="41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s="51" t="s">
        <v>609</v>
      </c>
      <c r="M71" s="32">
        <f t="shared" si="28"/>
        <v>0</v>
      </c>
      <c r="N71" s="33">
        <f t="shared" si="29"/>
        <v>1</v>
      </c>
      <c r="O71" s="33">
        <f t="shared" si="30"/>
        <v>0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34"/>
        <v>8000</v>
      </c>
      <c r="T71" s="34">
        <f t="shared" si="35"/>
        <v>1</v>
      </c>
      <c r="U71" s="34">
        <f t="shared" si="36"/>
        <v>0</v>
      </c>
      <c r="V71" s="34">
        <f t="shared" si="37"/>
        <v>1</v>
      </c>
      <c r="W71" s="34" t="str">
        <f t="shared" si="38"/>
        <v>BKN</v>
      </c>
      <c r="X71" s="34">
        <f t="shared" si="39"/>
        <v>1</v>
      </c>
      <c r="Y71" s="34">
        <f t="shared" si="40"/>
        <v>900</v>
      </c>
      <c r="Z71" s="34">
        <f t="shared" si="41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s="51" t="s">
        <v>610</v>
      </c>
      <c r="M72" s="32">
        <f t="shared" si="28"/>
        <v>0</v>
      </c>
      <c r="N72" s="33">
        <f t="shared" si="29"/>
        <v>1</v>
      </c>
      <c r="O72" s="33">
        <f t="shared" si="30"/>
        <v>0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34"/>
        <v>8000</v>
      </c>
      <c r="T72" s="34">
        <f t="shared" si="35"/>
        <v>1</v>
      </c>
      <c r="U72" s="34">
        <f t="shared" si="36"/>
        <v>0</v>
      </c>
      <c r="V72" s="34">
        <f t="shared" si="37"/>
        <v>1</v>
      </c>
      <c r="W72" s="34" t="str">
        <f t="shared" si="38"/>
        <v>SCT</v>
      </c>
      <c r="X72" s="34">
        <f t="shared" si="39"/>
        <v>0</v>
      </c>
      <c r="Y72" s="34">
        <f t="shared" si="40"/>
        <v>900</v>
      </c>
      <c r="Z72" s="34">
        <f t="shared" si="41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s="51" t="s">
        <v>611</v>
      </c>
      <c r="M73" s="32">
        <f t="shared" si="28"/>
        <v>0</v>
      </c>
      <c r="N73" s="33">
        <f t="shared" si="29"/>
        <v>1</v>
      </c>
      <c r="O73" s="33">
        <f t="shared" si="30"/>
        <v>0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34"/>
        <v>5000</v>
      </c>
      <c r="T73" s="34">
        <f t="shared" si="35"/>
        <v>1</v>
      </c>
      <c r="U73" s="34">
        <f t="shared" si="36"/>
        <v>0</v>
      </c>
      <c r="V73" s="34">
        <f t="shared" si="37"/>
        <v>1</v>
      </c>
      <c r="W73" s="34" t="str">
        <f t="shared" si="38"/>
        <v>BKN</v>
      </c>
      <c r="X73" s="34">
        <f t="shared" si="39"/>
        <v>1</v>
      </c>
      <c r="Y73" s="34">
        <f t="shared" si="40"/>
        <v>800</v>
      </c>
      <c r="Z73" s="34">
        <f t="shared" si="41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s="51" t="s">
        <v>612</v>
      </c>
      <c r="M74" s="32">
        <f t="shared" si="28"/>
        <v>0</v>
      </c>
      <c r="N74" s="33">
        <f t="shared" si="29"/>
        <v>1</v>
      </c>
      <c r="O74" s="33">
        <f t="shared" si="30"/>
        <v>0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34"/>
        <v>5000</v>
      </c>
      <c r="T74" s="34">
        <f t="shared" si="35"/>
        <v>1</v>
      </c>
      <c r="U74" s="34">
        <f t="shared" si="36"/>
        <v>0</v>
      </c>
      <c r="V74" s="34">
        <f t="shared" si="37"/>
        <v>1</v>
      </c>
      <c r="W74" s="34" t="str">
        <f t="shared" si="38"/>
        <v>BKN</v>
      </c>
      <c r="X74" s="34">
        <f t="shared" si="39"/>
        <v>1</v>
      </c>
      <c r="Y74" s="34">
        <f t="shared" si="40"/>
        <v>800</v>
      </c>
      <c r="Z74" s="34">
        <f t="shared" si="41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s="51" t="s">
        <v>613</v>
      </c>
      <c r="M75" s="32">
        <f t="shared" si="28"/>
        <v>0</v>
      </c>
      <c r="N75" s="33">
        <f t="shared" si="29"/>
        <v>1</v>
      </c>
      <c r="O75" s="33">
        <f t="shared" si="30"/>
        <v>0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34"/>
        <v>5000</v>
      </c>
      <c r="T75" s="34">
        <f t="shared" si="35"/>
        <v>1</v>
      </c>
      <c r="U75" s="34">
        <f t="shared" si="36"/>
        <v>0</v>
      </c>
      <c r="V75" s="34">
        <f t="shared" si="37"/>
        <v>1</v>
      </c>
      <c r="W75" s="34" t="str">
        <f t="shared" si="38"/>
        <v>BKN</v>
      </c>
      <c r="X75" s="34">
        <f t="shared" si="39"/>
        <v>1</v>
      </c>
      <c r="Y75" s="34">
        <f t="shared" si="40"/>
        <v>800</v>
      </c>
      <c r="Z75" s="34">
        <f t="shared" si="41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s="51" t="s">
        <v>614</v>
      </c>
      <c r="M76" s="32">
        <f t="shared" si="28"/>
        <v>310</v>
      </c>
      <c r="N76" s="33">
        <f t="shared" si="29"/>
        <v>1</v>
      </c>
      <c r="O76" s="33">
        <f t="shared" si="30"/>
        <v>4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34"/>
        <v>7000</v>
      </c>
      <c r="T76" s="34">
        <f t="shared" si="35"/>
        <v>1</v>
      </c>
      <c r="U76" s="34">
        <f t="shared" si="36"/>
        <v>0</v>
      </c>
      <c r="V76" s="34">
        <f t="shared" si="37"/>
        <v>1</v>
      </c>
      <c r="W76" s="34" t="str">
        <f t="shared" si="38"/>
        <v>SCT</v>
      </c>
      <c r="X76" s="34">
        <f t="shared" si="39"/>
        <v>0</v>
      </c>
      <c r="Y76" s="34">
        <f t="shared" si="40"/>
        <v>800</v>
      </c>
      <c r="Z76" s="34">
        <f t="shared" si="41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12</v>
      </c>
      <c r="U80" s="25"/>
      <c r="V80" s="25">
        <f>SUM(V64:V76)</f>
        <v>12</v>
      </c>
      <c r="W80" s="25"/>
      <c r="X80" s="25">
        <f>SUM(X64:X76)</f>
        <v>10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12</v>
      </c>
      <c r="U81" s="25"/>
      <c r="V81" s="25">
        <f>SUMIF($C64:$C76,"GENERAL",V64:V76)</f>
        <v>12</v>
      </c>
      <c r="W81" s="25"/>
      <c r="X81" s="25">
        <f>SUMIF($C64:$C76,"GENERAL",X64:X76)</f>
        <v>10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100</v>
      </c>
      <c r="U85" s="38"/>
      <c r="V85" s="38">
        <f>(SUM(V81:V84)/COUNTA(V64:V76))*100</f>
        <v>100</v>
      </c>
      <c r="W85" s="38"/>
      <c r="X85" s="38">
        <f>(SUM(X81:X84)/COUNTA(X64:X76))*100</f>
        <v>83.333333333333343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622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20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s="51" t="s">
        <v>609</v>
      </c>
      <c r="M93" s="32">
        <f t="shared" ref="M93:M104" si="42">IF(ISNUMBER(VALUE(FIND("VRB",L93))),999,VALUE(MID(L93,20,3)))</f>
        <v>0</v>
      </c>
      <c r="N93" s="33">
        <f t="shared" ref="N93:N104" si="4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4">VALUE(MID(L93,23,2))</f>
        <v>0</v>
      </c>
      <c r="P93" s="33">
        <f t="shared" ref="P93:P104" si="45">IF(ABS(O93-F93)&lt;11,1,0)</f>
        <v>1</v>
      </c>
      <c r="Q93" s="34">
        <f t="shared" ref="Q93:Q104" si="46">IF(MID(L93,25,1)="G","GUST",0)</f>
        <v>0</v>
      </c>
      <c r="R93" s="33">
        <f t="shared" ref="R93:R104" si="47">IF(G93=Q93,1,0)</f>
        <v>1</v>
      </c>
      <c r="S93" s="34">
        <f t="shared" ref="S93:S104" si="48"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104" si="49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50">IF(AND(IFERROR(FIND("RA",L93),0)&gt;0, IFERROR(FIND("RA",L93),0)&lt;38),"RA",0)</f>
        <v>0</v>
      </c>
      <c r="V93" s="34">
        <f t="shared" ref="V93:V104" si="51">IF(U93=I93,1,0)</f>
        <v>1</v>
      </c>
      <c r="W93" s="34" t="str">
        <f t="shared" ref="W93:W104" si="52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104" si="53">IF(OR(AND(OR(J93="SKC",J93="FEW",J93="SCT"),OR(W93="SKC",W93="FEW",W93="SCT")),(AND(OR(J93="BKN",J93="OVC"),OR(W93="BKN",W93="OVC")))),1,0)</f>
        <v>1</v>
      </c>
      <c r="Y93" s="34">
        <f t="shared" ref="Y93:Y104" si="54">IF(ISNUMBER(VALUE(FIND("CAVOK",L93))),9999,IF(ISNUMBER(VALUE(FIND("NSC",L93))),9999,(MID(L93,(FIND(W93,L93)+4),2))*100))</f>
        <v>900</v>
      </c>
      <c r="Z93" s="34">
        <f t="shared" ref="Z93:Z104" si="55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s="51" t="s">
        <v>610</v>
      </c>
      <c r="M94" s="32">
        <f t="shared" si="42"/>
        <v>0</v>
      </c>
      <c r="N94" s="33">
        <f t="shared" si="43"/>
        <v>1</v>
      </c>
      <c r="O94" s="33">
        <f t="shared" si="44"/>
        <v>0</v>
      </c>
      <c r="P94" s="33">
        <f t="shared" si="45"/>
        <v>1</v>
      </c>
      <c r="Q94" s="34">
        <f t="shared" si="46"/>
        <v>0</v>
      </c>
      <c r="R94" s="33">
        <f t="shared" si="47"/>
        <v>1</v>
      </c>
      <c r="S94" s="34">
        <f t="shared" si="48"/>
        <v>8000</v>
      </c>
      <c r="T94" s="34">
        <f t="shared" si="49"/>
        <v>1</v>
      </c>
      <c r="U94" s="34">
        <f t="shared" si="50"/>
        <v>0</v>
      </c>
      <c r="V94" s="34">
        <f t="shared" si="51"/>
        <v>1</v>
      </c>
      <c r="W94" s="34" t="str">
        <f t="shared" si="52"/>
        <v>SCT</v>
      </c>
      <c r="X94" s="34">
        <f t="shared" si="53"/>
        <v>0</v>
      </c>
      <c r="Y94" s="34">
        <f t="shared" si="54"/>
        <v>900</v>
      </c>
      <c r="Z94" s="34">
        <f t="shared" si="55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s="51" t="s">
        <v>611</v>
      </c>
      <c r="M95" s="32">
        <f t="shared" si="42"/>
        <v>0</v>
      </c>
      <c r="N95" s="33">
        <f t="shared" si="43"/>
        <v>1</v>
      </c>
      <c r="O95" s="33">
        <f t="shared" si="44"/>
        <v>0</v>
      </c>
      <c r="P95" s="33">
        <f t="shared" si="45"/>
        <v>1</v>
      </c>
      <c r="Q95" s="34">
        <f t="shared" si="46"/>
        <v>0</v>
      </c>
      <c r="R95" s="33">
        <f t="shared" si="47"/>
        <v>1</v>
      </c>
      <c r="S95" s="34">
        <f t="shared" si="48"/>
        <v>5000</v>
      </c>
      <c r="T95" s="34">
        <f t="shared" si="49"/>
        <v>1</v>
      </c>
      <c r="U95" s="34">
        <f t="shared" si="50"/>
        <v>0</v>
      </c>
      <c r="V95" s="34">
        <f t="shared" si="51"/>
        <v>1</v>
      </c>
      <c r="W95" s="34" t="str">
        <f t="shared" si="52"/>
        <v>BKN</v>
      </c>
      <c r="X95" s="34">
        <f t="shared" si="53"/>
        <v>1</v>
      </c>
      <c r="Y95" s="34">
        <f t="shared" si="54"/>
        <v>800</v>
      </c>
      <c r="Z95" s="34">
        <f t="shared" si="55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s="51" t="s">
        <v>612</v>
      </c>
      <c r="M96" s="32">
        <f t="shared" si="42"/>
        <v>0</v>
      </c>
      <c r="N96" s="33">
        <f t="shared" si="43"/>
        <v>1</v>
      </c>
      <c r="O96" s="33">
        <f t="shared" si="44"/>
        <v>0</v>
      </c>
      <c r="P96" s="33">
        <f t="shared" si="45"/>
        <v>1</v>
      </c>
      <c r="Q96" s="34">
        <f t="shared" si="46"/>
        <v>0</v>
      </c>
      <c r="R96" s="33">
        <f t="shared" si="47"/>
        <v>1</v>
      </c>
      <c r="S96" s="34">
        <f t="shared" si="48"/>
        <v>5000</v>
      </c>
      <c r="T96" s="34">
        <f t="shared" si="49"/>
        <v>1</v>
      </c>
      <c r="U96" s="34">
        <f t="shared" si="50"/>
        <v>0</v>
      </c>
      <c r="V96" s="34">
        <f t="shared" si="51"/>
        <v>1</v>
      </c>
      <c r="W96" s="34" t="str">
        <f t="shared" si="52"/>
        <v>BKN</v>
      </c>
      <c r="X96" s="34">
        <f t="shared" si="53"/>
        <v>1</v>
      </c>
      <c r="Y96" s="34">
        <f t="shared" si="54"/>
        <v>800</v>
      </c>
      <c r="Z96" s="34">
        <f t="shared" si="55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s="51" t="s">
        <v>613</v>
      </c>
      <c r="M97" s="32">
        <f t="shared" si="42"/>
        <v>0</v>
      </c>
      <c r="N97" s="33">
        <f t="shared" si="43"/>
        <v>1</v>
      </c>
      <c r="O97" s="33">
        <f t="shared" si="44"/>
        <v>0</v>
      </c>
      <c r="P97" s="33">
        <f t="shared" si="45"/>
        <v>1</v>
      </c>
      <c r="Q97" s="34">
        <f t="shared" si="46"/>
        <v>0</v>
      </c>
      <c r="R97" s="33">
        <f t="shared" si="47"/>
        <v>1</v>
      </c>
      <c r="S97" s="34">
        <f t="shared" si="48"/>
        <v>5000</v>
      </c>
      <c r="T97" s="34">
        <f t="shared" si="49"/>
        <v>1</v>
      </c>
      <c r="U97" s="34">
        <f t="shared" si="50"/>
        <v>0</v>
      </c>
      <c r="V97" s="34">
        <f t="shared" si="51"/>
        <v>1</v>
      </c>
      <c r="W97" s="34" t="str">
        <f t="shared" si="52"/>
        <v>BKN</v>
      </c>
      <c r="X97" s="34">
        <f t="shared" si="53"/>
        <v>1</v>
      </c>
      <c r="Y97" s="34">
        <f t="shared" si="54"/>
        <v>800</v>
      </c>
      <c r="Z97" s="34">
        <f t="shared" si="55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s="51" t="s">
        <v>614</v>
      </c>
      <c r="M98" s="32">
        <f t="shared" si="42"/>
        <v>310</v>
      </c>
      <c r="N98" s="33">
        <f t="shared" si="43"/>
        <v>1</v>
      </c>
      <c r="O98" s="33">
        <f t="shared" si="44"/>
        <v>4</v>
      </c>
      <c r="P98" s="33">
        <f t="shared" si="45"/>
        <v>1</v>
      </c>
      <c r="Q98" s="34">
        <f t="shared" si="46"/>
        <v>0</v>
      </c>
      <c r="R98" s="33">
        <f t="shared" si="47"/>
        <v>1</v>
      </c>
      <c r="S98" s="34">
        <f t="shared" si="48"/>
        <v>7000</v>
      </c>
      <c r="T98" s="34">
        <f t="shared" si="49"/>
        <v>1</v>
      </c>
      <c r="U98" s="34">
        <f t="shared" si="50"/>
        <v>0</v>
      </c>
      <c r="V98" s="34">
        <f t="shared" si="51"/>
        <v>1</v>
      </c>
      <c r="W98" s="34" t="str">
        <f t="shared" si="52"/>
        <v>SCT</v>
      </c>
      <c r="X98" s="34">
        <f t="shared" si="53"/>
        <v>0</v>
      </c>
      <c r="Y98" s="34">
        <f t="shared" si="54"/>
        <v>800</v>
      </c>
      <c r="Z98" s="34">
        <f t="shared" si="55"/>
        <v>1</v>
      </c>
      <c r="AA98" s="25"/>
      <c r="AB98" s="25"/>
      <c r="AC98" s="25"/>
      <c r="AD98" s="25"/>
      <c r="AE98" s="25"/>
    </row>
    <row r="99" spans="1:31" ht="16.5">
      <c r="A99" s="55">
        <v>21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s="51" t="s">
        <v>615</v>
      </c>
      <c r="M99" s="32">
        <f t="shared" si="42"/>
        <v>260</v>
      </c>
      <c r="N99" s="33">
        <f t="shared" si="43"/>
        <v>1</v>
      </c>
      <c r="O99" s="33">
        <f t="shared" si="44"/>
        <v>2</v>
      </c>
      <c r="P99" s="33">
        <f t="shared" si="45"/>
        <v>1</v>
      </c>
      <c r="Q99" s="34">
        <f t="shared" si="46"/>
        <v>0</v>
      </c>
      <c r="R99" s="33">
        <f t="shared" si="47"/>
        <v>1</v>
      </c>
      <c r="S99" s="34">
        <f t="shared" si="48"/>
        <v>7000</v>
      </c>
      <c r="T99" s="34">
        <f t="shared" si="49"/>
        <v>1</v>
      </c>
      <c r="U99" s="34">
        <f t="shared" si="50"/>
        <v>0</v>
      </c>
      <c r="V99" s="34">
        <f t="shared" si="51"/>
        <v>1</v>
      </c>
      <c r="W99" s="34" t="str">
        <f t="shared" si="52"/>
        <v>BKN</v>
      </c>
      <c r="X99" s="34">
        <f t="shared" si="53"/>
        <v>1</v>
      </c>
      <c r="Y99" s="34">
        <f t="shared" si="54"/>
        <v>900</v>
      </c>
      <c r="Z99" s="34">
        <f t="shared" si="55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s="51" t="s">
        <v>616</v>
      </c>
      <c r="M100" s="32">
        <f t="shared" si="42"/>
        <v>250</v>
      </c>
      <c r="N100" s="33">
        <f t="shared" si="43"/>
        <v>1</v>
      </c>
      <c r="O100" s="33">
        <f t="shared" si="44"/>
        <v>2</v>
      </c>
      <c r="P100" s="33">
        <f t="shared" si="45"/>
        <v>1</v>
      </c>
      <c r="Q100" s="34">
        <f t="shared" si="46"/>
        <v>0</v>
      </c>
      <c r="R100" s="33">
        <f t="shared" si="47"/>
        <v>1</v>
      </c>
      <c r="S100" s="34">
        <f t="shared" si="48"/>
        <v>8000</v>
      </c>
      <c r="T100" s="34">
        <f t="shared" si="49"/>
        <v>1</v>
      </c>
      <c r="U100" s="34">
        <f t="shared" si="50"/>
        <v>0</v>
      </c>
      <c r="V100" s="34">
        <f t="shared" si="51"/>
        <v>1</v>
      </c>
      <c r="W100" s="34" t="str">
        <f t="shared" si="52"/>
        <v>BKN</v>
      </c>
      <c r="X100" s="34">
        <f t="shared" si="53"/>
        <v>1</v>
      </c>
      <c r="Y100" s="34">
        <f t="shared" si="54"/>
        <v>900</v>
      </c>
      <c r="Z100" s="34">
        <f t="shared" si="55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s="51" t="s">
        <v>617</v>
      </c>
      <c r="M101" s="32">
        <f t="shared" si="42"/>
        <v>310</v>
      </c>
      <c r="N101" s="33">
        <f t="shared" si="43"/>
        <v>1</v>
      </c>
      <c r="O101" s="33">
        <f t="shared" si="44"/>
        <v>3</v>
      </c>
      <c r="P101" s="33">
        <f t="shared" si="45"/>
        <v>1</v>
      </c>
      <c r="Q101" s="34">
        <f t="shared" si="46"/>
        <v>0</v>
      </c>
      <c r="R101" s="33">
        <f t="shared" si="47"/>
        <v>1</v>
      </c>
      <c r="S101" s="34">
        <f t="shared" si="48"/>
        <v>9000</v>
      </c>
      <c r="T101" s="34">
        <f t="shared" si="49"/>
        <v>1</v>
      </c>
      <c r="U101" s="34">
        <f t="shared" si="50"/>
        <v>0</v>
      </c>
      <c r="V101" s="34">
        <f t="shared" si="51"/>
        <v>1</v>
      </c>
      <c r="W101" s="34" t="str">
        <f t="shared" si="52"/>
        <v>SCT</v>
      </c>
      <c r="X101" s="34">
        <f t="shared" si="53"/>
        <v>0</v>
      </c>
      <c r="Y101" s="34">
        <f t="shared" si="54"/>
        <v>900</v>
      </c>
      <c r="Z101" s="34">
        <f t="shared" si="55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s="51" t="s">
        <v>618</v>
      </c>
      <c r="M102" s="32">
        <f t="shared" si="42"/>
        <v>330</v>
      </c>
      <c r="N102" s="33">
        <f t="shared" si="43"/>
        <v>1</v>
      </c>
      <c r="O102" s="33">
        <f t="shared" si="44"/>
        <v>2</v>
      </c>
      <c r="P102" s="33">
        <f t="shared" si="45"/>
        <v>1</v>
      </c>
      <c r="Q102" s="34">
        <f t="shared" si="46"/>
        <v>0</v>
      </c>
      <c r="R102" s="33">
        <f t="shared" si="47"/>
        <v>1</v>
      </c>
      <c r="S102" s="34">
        <f t="shared" si="48"/>
        <v>9999</v>
      </c>
      <c r="T102" s="34">
        <f t="shared" si="49"/>
        <v>1</v>
      </c>
      <c r="U102" s="34">
        <f t="shared" si="50"/>
        <v>0</v>
      </c>
      <c r="V102" s="34">
        <f t="shared" si="51"/>
        <v>1</v>
      </c>
      <c r="W102" s="34" t="str">
        <f t="shared" si="52"/>
        <v>SCT</v>
      </c>
      <c r="X102" s="34">
        <f t="shared" si="53"/>
        <v>0</v>
      </c>
      <c r="Y102" s="34">
        <f t="shared" si="54"/>
        <v>900</v>
      </c>
      <c r="Z102" s="34">
        <f t="shared" si="55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s="51" t="s">
        <v>619</v>
      </c>
      <c r="M103" s="32">
        <f t="shared" si="42"/>
        <v>270</v>
      </c>
      <c r="N103" s="33">
        <f t="shared" si="43"/>
        <v>1</v>
      </c>
      <c r="O103" s="33">
        <f t="shared" si="44"/>
        <v>4</v>
      </c>
      <c r="P103" s="33">
        <f t="shared" si="45"/>
        <v>1</v>
      </c>
      <c r="Q103" s="34">
        <f t="shared" si="46"/>
        <v>0</v>
      </c>
      <c r="R103" s="33">
        <f t="shared" si="47"/>
        <v>1</v>
      </c>
      <c r="S103" s="34">
        <f t="shared" si="48"/>
        <v>9999</v>
      </c>
      <c r="T103" s="34">
        <f t="shared" si="49"/>
        <v>1</v>
      </c>
      <c r="U103" s="34">
        <f t="shared" si="50"/>
        <v>0</v>
      </c>
      <c r="V103" s="34">
        <f t="shared" si="51"/>
        <v>1</v>
      </c>
      <c r="W103" s="34" t="str">
        <f t="shared" si="52"/>
        <v>SCT</v>
      </c>
      <c r="X103" s="34">
        <f t="shared" si="53"/>
        <v>0</v>
      </c>
      <c r="Y103" s="34">
        <f t="shared" si="54"/>
        <v>900</v>
      </c>
      <c r="Z103" s="34">
        <f t="shared" si="55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s="51" t="s">
        <v>620</v>
      </c>
      <c r="M104" s="32">
        <f t="shared" si="42"/>
        <v>240</v>
      </c>
      <c r="N104" s="33">
        <f t="shared" si="43"/>
        <v>1</v>
      </c>
      <c r="O104" s="33">
        <f t="shared" si="44"/>
        <v>3</v>
      </c>
      <c r="P104" s="33">
        <f t="shared" si="45"/>
        <v>1</v>
      </c>
      <c r="Q104" s="34">
        <f t="shared" si="46"/>
        <v>0</v>
      </c>
      <c r="R104" s="33">
        <f t="shared" si="47"/>
        <v>1</v>
      </c>
      <c r="S104" s="34">
        <f t="shared" si="48"/>
        <v>9999</v>
      </c>
      <c r="T104" s="34">
        <f t="shared" si="49"/>
        <v>1</v>
      </c>
      <c r="U104" s="34">
        <f t="shared" si="50"/>
        <v>0</v>
      </c>
      <c r="V104" s="34">
        <f t="shared" si="51"/>
        <v>1</v>
      </c>
      <c r="W104" s="34" t="str">
        <f t="shared" si="52"/>
        <v>SCT</v>
      </c>
      <c r="X104" s="34">
        <f t="shared" si="53"/>
        <v>0</v>
      </c>
      <c r="Y104" s="34">
        <f t="shared" si="54"/>
        <v>900</v>
      </c>
      <c r="Z104" s="34">
        <f t="shared" si="55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6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6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50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32DE1-7C1D-2345-B88F-6C06D4DEE89F}">
  <sheetPr>
    <tabColor theme="0"/>
  </sheetPr>
  <dimension ref="A1:AE115"/>
  <sheetViews>
    <sheetView topLeftCell="A94" zoomScale="90" zoomScaleNormal="90" workbookViewId="0">
      <selection activeCell="C71" sqref="C71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623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21</v>
      </c>
      <c r="B7" s="28">
        <v>0</v>
      </c>
      <c r="C7" s="29" t="s">
        <v>39</v>
      </c>
      <c r="D7" s="29"/>
      <c r="E7" s="29">
        <v>310</v>
      </c>
      <c r="F7" s="29">
        <v>4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29" t="s">
        <v>615</v>
      </c>
      <c r="M7" s="32">
        <f t="shared" ref="M7:M18" si="0">IF(ISNUMBER(VALUE(FIND("VRB",L7))),999,VALUE(MID(L7,20,3)))</f>
        <v>260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2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7000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8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0">IF(OR(AND(OR(J7="SKC",J7="FEW",J7="SCT"),OR(W7="SKC",W7="FEW",W7="SCT")),(AND(OR(J7="BKN",J7="OVC"),OR(W7="BKN",W7="OVC")))),1,0)</f>
        <v>1</v>
      </c>
      <c r="Y7" s="34">
        <f t="shared" ref="Y7:Y18" si="11">IF(ISNUMBER(VALUE(FIND("CAVOK",L7))),9999,IF(ISNUMBER(VALUE(FIND("NSC",L7))),9999,(MID(L7,(FIND(W7,L7)+4),2))*100))</f>
        <v>900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310</v>
      </c>
      <c r="F8" s="29">
        <v>4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66" t="s">
        <v>616</v>
      </c>
      <c r="M8" s="32">
        <f t="shared" si="0"/>
        <v>250</v>
      </c>
      <c r="N8" s="33">
        <f t="shared" si="1"/>
        <v>1</v>
      </c>
      <c r="O8" s="33">
        <f t="shared" si="2"/>
        <v>2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310</v>
      </c>
      <c r="F9" s="29">
        <v>4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66" t="s">
        <v>617</v>
      </c>
      <c r="M9" s="32">
        <f t="shared" si="0"/>
        <v>310</v>
      </c>
      <c r="N9" s="33">
        <f t="shared" si="1"/>
        <v>1</v>
      </c>
      <c r="O9" s="33">
        <f t="shared" si="2"/>
        <v>3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9000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SCT</v>
      </c>
      <c r="X9" s="34">
        <f t="shared" si="10"/>
        <v>0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310</v>
      </c>
      <c r="F10" s="29">
        <v>4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66" t="s">
        <v>618</v>
      </c>
      <c r="M10" s="32">
        <f t="shared" si="0"/>
        <v>330</v>
      </c>
      <c r="N10" s="33">
        <f t="shared" si="1"/>
        <v>1</v>
      </c>
      <c r="O10" s="33">
        <f t="shared" si="2"/>
        <v>2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9999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SCT</v>
      </c>
      <c r="X10" s="34">
        <f t="shared" si="10"/>
        <v>0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310</v>
      </c>
      <c r="F11" s="29">
        <v>4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66" t="s">
        <v>619</v>
      </c>
      <c r="M11" s="32">
        <f t="shared" si="0"/>
        <v>270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9999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SCT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310</v>
      </c>
      <c r="F12" s="29">
        <v>4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66" t="s">
        <v>620</v>
      </c>
      <c r="M12" s="32">
        <f t="shared" si="0"/>
        <v>240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9999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SCT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310</v>
      </c>
      <c r="F13" s="29">
        <v>4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66" t="s">
        <v>625</v>
      </c>
      <c r="M13" s="32">
        <f t="shared" si="0"/>
        <v>220</v>
      </c>
      <c r="N13" s="33">
        <f t="shared" si="1"/>
        <v>1</v>
      </c>
      <c r="O13" s="33">
        <f t="shared" si="2"/>
        <v>5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9999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SCT</v>
      </c>
      <c r="X13" s="34">
        <f t="shared" si="10"/>
        <v>0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310</v>
      </c>
      <c r="F14" s="29">
        <v>4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66" t="s">
        <v>626</v>
      </c>
      <c r="M14" s="32">
        <f t="shared" si="0"/>
        <v>160</v>
      </c>
      <c r="N14" s="33">
        <f t="shared" si="1"/>
        <v>1</v>
      </c>
      <c r="O14" s="33">
        <f t="shared" si="2"/>
        <v>4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9999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SCT</v>
      </c>
      <c r="X14" s="34">
        <f t="shared" si="10"/>
        <v>0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310</v>
      </c>
      <c r="F15" s="29">
        <v>4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s="67" t="s">
        <v>631</v>
      </c>
      <c r="M15" s="32">
        <f t="shared" si="0"/>
        <v>220</v>
      </c>
      <c r="N15" s="33">
        <f t="shared" si="1"/>
        <v>1</v>
      </c>
      <c r="O15" s="33">
        <f t="shared" si="2"/>
        <v>3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3"/>
        <v>9999</v>
      </c>
      <c r="T15" s="34">
        <f t="shared" si="6"/>
        <v>1</v>
      </c>
      <c r="U15" s="34">
        <f t="shared" si="7"/>
        <v>0</v>
      </c>
      <c r="V15" s="34">
        <f t="shared" si="8"/>
        <v>1</v>
      </c>
      <c r="W15" s="34" t="str">
        <f t="shared" si="9"/>
        <v>SCT</v>
      </c>
      <c r="X15" s="34">
        <f t="shared" si="10"/>
        <v>0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310</v>
      </c>
      <c r="F16" s="29">
        <v>4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67" t="s">
        <v>632</v>
      </c>
      <c r="M16" s="32">
        <f t="shared" si="0"/>
        <v>0</v>
      </c>
      <c r="N16" s="33">
        <f t="shared" si="1"/>
        <v>1</v>
      </c>
      <c r="O16" s="33">
        <f t="shared" si="2"/>
        <v>0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3"/>
        <v>9999</v>
      </c>
      <c r="T16" s="34">
        <f t="shared" si="6"/>
        <v>1</v>
      </c>
      <c r="U16" s="34">
        <f t="shared" si="7"/>
        <v>0</v>
      </c>
      <c r="V16" s="34">
        <f t="shared" si="8"/>
        <v>1</v>
      </c>
      <c r="W16" s="34" t="str">
        <f t="shared" si="9"/>
        <v>SCT</v>
      </c>
      <c r="X16" s="34">
        <f t="shared" si="10"/>
        <v>0</v>
      </c>
      <c r="Y16" s="34">
        <f t="shared" si="11"/>
        <v>900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310</v>
      </c>
      <c r="F17" s="29">
        <v>4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67" t="s">
        <v>633</v>
      </c>
      <c r="M17" s="32">
        <f t="shared" si="0"/>
        <v>150</v>
      </c>
      <c r="N17" s="33">
        <f t="shared" si="1"/>
        <v>1</v>
      </c>
      <c r="O17" s="33">
        <f t="shared" si="2"/>
        <v>2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3"/>
        <v>9999</v>
      </c>
      <c r="T17" s="34">
        <f t="shared" si="6"/>
        <v>1</v>
      </c>
      <c r="U17" s="34">
        <f t="shared" si="7"/>
        <v>0</v>
      </c>
      <c r="V17" s="34">
        <f t="shared" si="8"/>
        <v>1</v>
      </c>
      <c r="W17" s="34" t="str">
        <f t="shared" si="9"/>
        <v>SCT</v>
      </c>
      <c r="X17" s="34">
        <f t="shared" si="10"/>
        <v>0</v>
      </c>
      <c r="Y17" s="34">
        <f t="shared" si="11"/>
        <v>900</v>
      </c>
      <c r="Z17" s="34">
        <f t="shared" si="12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310</v>
      </c>
      <c r="F18" s="29">
        <v>4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67" t="s">
        <v>634</v>
      </c>
      <c r="M18" s="32">
        <f t="shared" si="0"/>
        <v>150</v>
      </c>
      <c r="N18" s="33">
        <f t="shared" si="1"/>
        <v>1</v>
      </c>
      <c r="O18" s="33">
        <f t="shared" si="2"/>
        <v>2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3"/>
        <v>8000</v>
      </c>
      <c r="T18" s="34">
        <f t="shared" si="6"/>
        <v>1</v>
      </c>
      <c r="U18" s="34">
        <f t="shared" si="7"/>
        <v>0</v>
      </c>
      <c r="V18" s="34">
        <f t="shared" si="8"/>
        <v>1</v>
      </c>
      <c r="W18" s="34" t="str">
        <f t="shared" si="9"/>
        <v>SCT</v>
      </c>
      <c r="X18" s="34">
        <f t="shared" si="10"/>
        <v>0</v>
      </c>
      <c r="Y18" s="34">
        <f t="shared" si="11"/>
        <v>1000</v>
      </c>
      <c r="Z18" s="34">
        <f t="shared" si="12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12</v>
      </c>
      <c r="W23" s="25"/>
      <c r="X23" s="25">
        <f>SUM(X7:X18)</f>
        <v>2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12</v>
      </c>
      <c r="U24" s="25"/>
      <c r="V24" s="25">
        <f>SUMIF($C7:$C18,"GENERAL",V7:V18)</f>
        <v>12</v>
      </c>
      <c r="W24" s="25"/>
      <c r="X24" s="25">
        <f>SUMIF($C7:$C18,"GENERAL",X7:X18)</f>
        <v>2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100</v>
      </c>
      <c r="W28" s="38"/>
      <c r="X28" s="38">
        <f>(SUM(X24:X27)/COUNTA(X7:X18))*100</f>
        <v>16.666666666666664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624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21</v>
      </c>
      <c r="B36" s="28">
        <v>0.25</v>
      </c>
      <c r="C36" s="29" t="s">
        <v>39</v>
      </c>
      <c r="D36" s="30"/>
      <c r="E36" s="29">
        <v>240</v>
      </c>
      <c r="F36" s="29">
        <v>3</v>
      </c>
      <c r="G36" s="29">
        <v>0</v>
      </c>
      <c r="H36" s="29">
        <v>9999</v>
      </c>
      <c r="I36" s="29">
        <v>0</v>
      </c>
      <c r="J36" s="29" t="s">
        <v>53</v>
      </c>
      <c r="K36" s="29">
        <v>900</v>
      </c>
      <c r="L36" s="69" t="s">
        <v>625</v>
      </c>
      <c r="M36" s="32">
        <f t="shared" ref="M36:M47" si="14">IF(ISNUMBER(VALUE(FIND("VRB",L36))),999,VALUE(MID(L36,20,3)))</f>
        <v>220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5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9999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1">IF(AND(IFERROR(FIND("RA",L36),0)&gt;0, IFERROR(FIND("RA",L36),0)&lt;38),"RA",0)</f>
        <v>0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SCT</v>
      </c>
      <c r="X36" s="34">
        <f t="shared" ref="X36:X47" si="24">IF(OR(AND(OR(J36="SKC",J36="FEW",J36="SCT"),OR(W36="SKC",W36="FEW",W36="SCT")),(AND(OR(J36="BKN",J36="OVC"),OR(W36="BKN",W36="OVC")))),1,0)</f>
        <v>1</v>
      </c>
      <c r="Y36" s="34">
        <f t="shared" ref="Y36:Y47" si="25">IF(ISNUMBER(VALUE(FIND("CAVOK",L36))),9999,IF(ISNUMBER(VALUE(FIND("NSC",L36))),9999,(MID(L36,(FIND(W36,L36)+4),2))*100))</f>
        <v>900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240</v>
      </c>
      <c r="F37" s="29">
        <v>3</v>
      </c>
      <c r="G37" s="29">
        <v>0</v>
      </c>
      <c r="H37" s="29">
        <v>9999</v>
      </c>
      <c r="I37" s="29">
        <v>0</v>
      </c>
      <c r="J37" s="29" t="s">
        <v>53</v>
      </c>
      <c r="K37" s="29">
        <v>900</v>
      </c>
      <c r="L37" s="69" t="s">
        <v>626</v>
      </c>
      <c r="M37" s="32">
        <f t="shared" si="14"/>
        <v>160</v>
      </c>
      <c r="N37" s="33">
        <f t="shared" si="15"/>
        <v>1</v>
      </c>
      <c r="O37" s="33">
        <f t="shared" si="16"/>
        <v>4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9999</v>
      </c>
      <c r="T37" s="34">
        <f t="shared" si="20"/>
        <v>1</v>
      </c>
      <c r="U37" s="34">
        <f t="shared" si="21"/>
        <v>0</v>
      </c>
      <c r="V37" s="34">
        <f t="shared" si="22"/>
        <v>1</v>
      </c>
      <c r="W37" s="34" t="str">
        <f t="shared" si="23"/>
        <v>SCT</v>
      </c>
      <c r="X37" s="34">
        <f t="shared" si="24"/>
        <v>1</v>
      </c>
      <c r="Y37" s="34">
        <f t="shared" si="25"/>
        <v>900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240</v>
      </c>
      <c r="F38" s="29">
        <v>3</v>
      </c>
      <c r="G38" s="29">
        <v>0</v>
      </c>
      <c r="H38" s="29">
        <v>9999</v>
      </c>
      <c r="I38" s="29">
        <v>0</v>
      </c>
      <c r="J38" s="29" t="s">
        <v>53</v>
      </c>
      <c r="K38" s="29">
        <v>900</v>
      </c>
      <c r="L38" s="68" t="s">
        <v>631</v>
      </c>
      <c r="M38" s="32">
        <f t="shared" si="14"/>
        <v>220</v>
      </c>
      <c r="N38" s="33">
        <f t="shared" si="15"/>
        <v>1</v>
      </c>
      <c r="O38" s="33">
        <f t="shared" si="16"/>
        <v>3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9999</v>
      </c>
      <c r="T38" s="34">
        <f t="shared" si="20"/>
        <v>1</v>
      </c>
      <c r="U38" s="34">
        <f t="shared" si="21"/>
        <v>0</v>
      </c>
      <c r="V38" s="34">
        <f t="shared" si="22"/>
        <v>1</v>
      </c>
      <c r="W38" s="34" t="str">
        <f t="shared" si="23"/>
        <v>SCT</v>
      </c>
      <c r="X38" s="34">
        <f t="shared" si="24"/>
        <v>1</v>
      </c>
      <c r="Y38" s="34">
        <f t="shared" si="25"/>
        <v>900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240</v>
      </c>
      <c r="F39" s="29">
        <v>3</v>
      </c>
      <c r="G39" s="29">
        <v>0</v>
      </c>
      <c r="H39" s="29">
        <v>9999</v>
      </c>
      <c r="I39" s="29">
        <v>0</v>
      </c>
      <c r="J39" s="29" t="s">
        <v>53</v>
      </c>
      <c r="K39" s="29">
        <v>900</v>
      </c>
      <c r="L39" s="68" t="s">
        <v>632</v>
      </c>
      <c r="M39" s="32">
        <f t="shared" si="14"/>
        <v>0</v>
      </c>
      <c r="N39" s="33">
        <f t="shared" si="15"/>
        <v>1</v>
      </c>
      <c r="O39" s="33">
        <f t="shared" si="16"/>
        <v>0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9999</v>
      </c>
      <c r="T39" s="34">
        <f t="shared" si="20"/>
        <v>1</v>
      </c>
      <c r="U39" s="34">
        <f t="shared" si="21"/>
        <v>0</v>
      </c>
      <c r="V39" s="34">
        <f t="shared" si="22"/>
        <v>1</v>
      </c>
      <c r="W39" s="34" t="str">
        <f t="shared" si="23"/>
        <v>SCT</v>
      </c>
      <c r="X39" s="34">
        <f t="shared" si="24"/>
        <v>1</v>
      </c>
      <c r="Y39" s="34">
        <f t="shared" si="25"/>
        <v>900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240</v>
      </c>
      <c r="F40" s="29">
        <v>3</v>
      </c>
      <c r="G40" s="29">
        <v>0</v>
      </c>
      <c r="H40" s="29">
        <v>9999</v>
      </c>
      <c r="I40" s="29">
        <v>0</v>
      </c>
      <c r="J40" s="29" t="s">
        <v>53</v>
      </c>
      <c r="K40" s="29">
        <v>900</v>
      </c>
      <c r="L40" s="68" t="s">
        <v>633</v>
      </c>
      <c r="M40" s="32">
        <f t="shared" si="14"/>
        <v>150</v>
      </c>
      <c r="N40" s="33">
        <f t="shared" si="15"/>
        <v>1</v>
      </c>
      <c r="O40" s="33">
        <f t="shared" si="16"/>
        <v>2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9999</v>
      </c>
      <c r="T40" s="34">
        <f t="shared" si="20"/>
        <v>1</v>
      </c>
      <c r="U40" s="34">
        <f t="shared" si="21"/>
        <v>0</v>
      </c>
      <c r="V40" s="34">
        <f t="shared" si="22"/>
        <v>1</v>
      </c>
      <c r="W40" s="34" t="str">
        <f t="shared" si="23"/>
        <v>SCT</v>
      </c>
      <c r="X40" s="34">
        <f t="shared" si="24"/>
        <v>1</v>
      </c>
      <c r="Y40" s="34">
        <f t="shared" si="25"/>
        <v>900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240</v>
      </c>
      <c r="F41" s="29">
        <v>3</v>
      </c>
      <c r="G41" s="29">
        <v>0</v>
      </c>
      <c r="H41" s="29">
        <v>9999</v>
      </c>
      <c r="I41" s="29">
        <v>0</v>
      </c>
      <c r="J41" s="29" t="s">
        <v>53</v>
      </c>
      <c r="K41" s="29">
        <v>900</v>
      </c>
      <c r="L41" s="68" t="s">
        <v>634</v>
      </c>
      <c r="M41" s="32">
        <f t="shared" si="14"/>
        <v>150</v>
      </c>
      <c r="N41" s="33">
        <f t="shared" si="15"/>
        <v>1</v>
      </c>
      <c r="O41" s="33">
        <f t="shared" si="16"/>
        <v>2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8000</v>
      </c>
      <c r="T41" s="34">
        <f t="shared" si="20"/>
        <v>1</v>
      </c>
      <c r="U41" s="34">
        <f t="shared" si="21"/>
        <v>0</v>
      </c>
      <c r="V41" s="34">
        <f t="shared" si="22"/>
        <v>1</v>
      </c>
      <c r="W41" s="34" t="str">
        <f t="shared" si="23"/>
        <v>SCT</v>
      </c>
      <c r="X41" s="34">
        <f t="shared" si="24"/>
        <v>1</v>
      </c>
      <c r="Y41" s="34">
        <f t="shared" si="25"/>
        <v>1000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240</v>
      </c>
      <c r="F42" s="29">
        <v>3</v>
      </c>
      <c r="G42" s="29">
        <v>0</v>
      </c>
      <c r="H42" s="29">
        <v>9999</v>
      </c>
      <c r="I42" s="29">
        <v>0</v>
      </c>
      <c r="J42" s="29" t="s">
        <v>53</v>
      </c>
      <c r="K42" s="29">
        <v>900</v>
      </c>
      <c r="L42" s="68" t="s">
        <v>635</v>
      </c>
      <c r="M42" s="32">
        <f t="shared" si="14"/>
        <v>0</v>
      </c>
      <c r="N42" s="33">
        <f t="shared" si="15"/>
        <v>1</v>
      </c>
      <c r="O42" s="33">
        <f t="shared" si="16"/>
        <v>0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7"/>
        <v>8000</v>
      </c>
      <c r="T42" s="34">
        <f t="shared" si="20"/>
        <v>1</v>
      </c>
      <c r="U42" s="34">
        <f t="shared" si="21"/>
        <v>0</v>
      </c>
      <c r="V42" s="34">
        <f t="shared" si="22"/>
        <v>1</v>
      </c>
      <c r="W42" s="34" t="str">
        <f t="shared" si="23"/>
        <v>BKN</v>
      </c>
      <c r="X42" s="34">
        <f t="shared" si="24"/>
        <v>0</v>
      </c>
      <c r="Y42" s="34">
        <f t="shared" si="25"/>
        <v>900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240</v>
      </c>
      <c r="F43" s="29">
        <v>3</v>
      </c>
      <c r="G43" s="29">
        <v>0</v>
      </c>
      <c r="H43" s="29">
        <v>9999</v>
      </c>
      <c r="I43" s="29">
        <v>0</v>
      </c>
      <c r="J43" s="29" t="s">
        <v>53</v>
      </c>
      <c r="K43" s="29">
        <v>900</v>
      </c>
      <c r="L43" s="68" t="s">
        <v>636</v>
      </c>
      <c r="M43" s="32">
        <f t="shared" si="14"/>
        <v>0</v>
      </c>
      <c r="N43" s="33">
        <f t="shared" si="15"/>
        <v>1</v>
      </c>
      <c r="O43" s="33">
        <f t="shared" si="16"/>
        <v>0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7"/>
        <v>8000</v>
      </c>
      <c r="T43" s="34">
        <f t="shared" si="20"/>
        <v>1</v>
      </c>
      <c r="U43" s="34">
        <f t="shared" si="21"/>
        <v>0</v>
      </c>
      <c r="V43" s="34">
        <f t="shared" si="22"/>
        <v>1</v>
      </c>
      <c r="W43" s="34" t="str">
        <f t="shared" si="23"/>
        <v>SCT</v>
      </c>
      <c r="X43" s="34">
        <f t="shared" si="24"/>
        <v>1</v>
      </c>
      <c r="Y43" s="34">
        <f t="shared" si="25"/>
        <v>900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240</v>
      </c>
      <c r="F44" s="29">
        <v>3</v>
      </c>
      <c r="G44" s="29">
        <v>0</v>
      </c>
      <c r="H44" s="29">
        <v>9999</v>
      </c>
      <c r="I44" s="29">
        <v>0</v>
      </c>
      <c r="J44" s="29" t="s">
        <v>53</v>
      </c>
      <c r="K44" s="29">
        <v>900</v>
      </c>
      <c r="L44" s="68" t="s">
        <v>637</v>
      </c>
      <c r="M44" s="32">
        <f t="shared" si="14"/>
        <v>0</v>
      </c>
      <c r="N44" s="33">
        <f t="shared" si="15"/>
        <v>1</v>
      </c>
      <c r="O44" s="33">
        <f t="shared" si="16"/>
        <v>0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7"/>
        <v>8000</v>
      </c>
      <c r="T44" s="34">
        <f t="shared" si="20"/>
        <v>1</v>
      </c>
      <c r="U44" s="34">
        <f t="shared" si="21"/>
        <v>0</v>
      </c>
      <c r="V44" s="34">
        <f t="shared" si="22"/>
        <v>1</v>
      </c>
      <c r="W44" s="34" t="str">
        <f t="shared" si="23"/>
        <v>SCT</v>
      </c>
      <c r="X44" s="34">
        <f t="shared" si="24"/>
        <v>1</v>
      </c>
      <c r="Y44" s="34">
        <f t="shared" si="25"/>
        <v>900</v>
      </c>
      <c r="Z44" s="34">
        <f t="shared" si="2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240</v>
      </c>
      <c r="F45" s="29">
        <v>3</v>
      </c>
      <c r="G45" s="29">
        <v>0</v>
      </c>
      <c r="H45" s="29">
        <v>9999</v>
      </c>
      <c r="I45" s="29">
        <v>0</v>
      </c>
      <c r="J45" s="29" t="s">
        <v>53</v>
      </c>
      <c r="K45" s="29">
        <v>900</v>
      </c>
      <c r="L45" s="68" t="s">
        <v>654</v>
      </c>
      <c r="M45" s="32">
        <f t="shared" si="14"/>
        <v>0</v>
      </c>
      <c r="N45" s="33">
        <f t="shared" si="15"/>
        <v>1</v>
      </c>
      <c r="O45" s="33">
        <f t="shared" si="16"/>
        <v>0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7"/>
        <v>8000</v>
      </c>
      <c r="T45" s="34">
        <f t="shared" si="20"/>
        <v>1</v>
      </c>
      <c r="U45" s="34">
        <f t="shared" si="21"/>
        <v>0</v>
      </c>
      <c r="V45" s="34">
        <f t="shared" si="22"/>
        <v>1</v>
      </c>
      <c r="W45" s="34" t="str">
        <f t="shared" si="23"/>
        <v>SCT</v>
      </c>
      <c r="X45" s="34">
        <f t="shared" si="24"/>
        <v>1</v>
      </c>
      <c r="Y45" s="34">
        <f t="shared" si="25"/>
        <v>900</v>
      </c>
      <c r="Z45" s="34">
        <f t="shared" si="2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240</v>
      </c>
      <c r="F46" s="29">
        <v>3</v>
      </c>
      <c r="G46" s="29">
        <v>0</v>
      </c>
      <c r="H46" s="29">
        <v>9999</v>
      </c>
      <c r="I46" s="29">
        <v>0</v>
      </c>
      <c r="J46" s="29" t="s">
        <v>53</v>
      </c>
      <c r="K46" s="29">
        <v>900</v>
      </c>
      <c r="L46" s="68" t="s">
        <v>638</v>
      </c>
      <c r="M46" s="32">
        <f t="shared" si="14"/>
        <v>0</v>
      </c>
      <c r="N46" s="33">
        <f t="shared" si="15"/>
        <v>1</v>
      </c>
      <c r="O46" s="33">
        <f t="shared" si="16"/>
        <v>0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7"/>
        <v>8000</v>
      </c>
      <c r="T46" s="34">
        <f t="shared" si="20"/>
        <v>1</v>
      </c>
      <c r="U46" s="34">
        <f t="shared" si="21"/>
        <v>0</v>
      </c>
      <c r="V46" s="34">
        <f t="shared" si="22"/>
        <v>1</v>
      </c>
      <c r="W46" s="34" t="str">
        <f t="shared" si="23"/>
        <v>BKN</v>
      </c>
      <c r="X46" s="34">
        <f t="shared" si="24"/>
        <v>0</v>
      </c>
      <c r="Y46" s="34">
        <f t="shared" si="25"/>
        <v>900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240</v>
      </c>
      <c r="F47" s="29">
        <v>3</v>
      </c>
      <c r="G47" s="29">
        <v>0</v>
      </c>
      <c r="H47" s="29">
        <v>9999</v>
      </c>
      <c r="I47" s="29">
        <v>0</v>
      </c>
      <c r="J47" s="29" t="s">
        <v>53</v>
      </c>
      <c r="K47" s="29">
        <v>900</v>
      </c>
      <c r="L47" s="68" t="s">
        <v>639</v>
      </c>
      <c r="M47" s="32">
        <f t="shared" si="14"/>
        <v>0</v>
      </c>
      <c r="N47" s="33">
        <f t="shared" si="15"/>
        <v>1</v>
      </c>
      <c r="O47" s="33">
        <f t="shared" si="16"/>
        <v>0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8000</v>
      </c>
      <c r="T47" s="34">
        <f t="shared" si="20"/>
        <v>1</v>
      </c>
      <c r="U47" s="34">
        <f t="shared" si="21"/>
        <v>0</v>
      </c>
      <c r="V47" s="34">
        <f t="shared" si="22"/>
        <v>1</v>
      </c>
      <c r="W47" s="34" t="str">
        <f t="shared" si="23"/>
        <v>BKN</v>
      </c>
      <c r="X47" s="34">
        <f t="shared" si="24"/>
        <v>0</v>
      </c>
      <c r="Y47" s="34">
        <f t="shared" si="25"/>
        <v>800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12</v>
      </c>
      <c r="W52" s="25"/>
      <c r="X52" s="25">
        <f>SUM(X36:X47)</f>
        <v>9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12</v>
      </c>
      <c r="W53" s="25"/>
      <c r="X53" s="25">
        <f>SUMIF($C36:$C47,"GENERAL",X36:X47)</f>
        <v>9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100</v>
      </c>
      <c r="W57" s="38"/>
      <c r="X57" s="38">
        <f>(SUM(X53:X56)/COUNTA(X36:X47))*100</f>
        <v>75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627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21</v>
      </c>
      <c r="B65" s="50">
        <v>0.5</v>
      </c>
      <c r="C65" s="51" t="s">
        <v>39</v>
      </c>
      <c r="D65" s="52"/>
      <c r="E65" s="51">
        <v>150</v>
      </c>
      <c r="F65" s="51">
        <v>2</v>
      </c>
      <c r="G65" s="51">
        <v>0</v>
      </c>
      <c r="H65" s="51">
        <v>8000</v>
      </c>
      <c r="I65" s="51">
        <v>0</v>
      </c>
      <c r="J65" s="51" t="s">
        <v>53</v>
      </c>
      <c r="K65" s="51">
        <v>1000</v>
      </c>
      <c r="L65" s="68" t="s">
        <v>635</v>
      </c>
      <c r="M65" s="32">
        <f t="shared" ref="M65:M76" si="28">IF(ISNUMBER(VALUE(FIND("VRB",L65))),999,VALUE(MID(L65,20,3)))</f>
        <v>0</v>
      </c>
      <c r="N65" s="33">
        <f t="shared" ref="N65:N76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0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3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5">IF(AND(IFERROR(FIND("RA",L65),0)&gt;0, IFERROR(FIND("RA",L65),0)&lt;38),"RA",0)</f>
        <v>0</v>
      </c>
      <c r="V65" s="34">
        <f t="shared" ref="V65:V76" si="36">IF(U65=I65,1,0)</f>
        <v>1</v>
      </c>
      <c r="W65" s="34" t="str">
        <f t="shared" ref="W65:W76" si="3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6" si="38">IF(OR(AND(OR(J65="SKC",J65="FEW",J65="SCT"),OR(W65="SKC",W65="FEW",W65="SCT")),(AND(OR(J65="BKN",J65="OVC"),OR(W65="BKN",W65="OVC")))),1,0)</f>
        <v>0</v>
      </c>
      <c r="Y65" s="34">
        <f t="shared" ref="Y65:Y76" si="39">IF(ISNUMBER(VALUE(FIND("CAVOK",L65))),9999,IF(ISNUMBER(VALUE(FIND("NSC",L65))),9999,(MID(L65,(FIND(W65,L65)+4),2))*100))</f>
        <v>900</v>
      </c>
      <c r="Z65" s="34">
        <f t="shared" ref="Z65:Z76" si="4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150</v>
      </c>
      <c r="F66" s="51">
        <v>2</v>
      </c>
      <c r="G66" s="51">
        <v>0</v>
      </c>
      <c r="H66" s="51">
        <v>8000</v>
      </c>
      <c r="I66" s="51">
        <v>0</v>
      </c>
      <c r="J66" s="51" t="s">
        <v>53</v>
      </c>
      <c r="K66" s="51">
        <v>1000</v>
      </c>
      <c r="L66" s="68" t="s">
        <v>636</v>
      </c>
      <c r="M66" s="32">
        <f t="shared" si="28"/>
        <v>0</v>
      </c>
      <c r="N66" s="33">
        <f t="shared" si="29"/>
        <v>1</v>
      </c>
      <c r="O66" s="33">
        <f t="shared" si="30"/>
        <v>0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ref="S66:S76" si="41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34"/>
        <v>1</v>
      </c>
      <c r="U66" s="34">
        <f t="shared" si="35"/>
        <v>0</v>
      </c>
      <c r="V66" s="34">
        <f t="shared" si="36"/>
        <v>1</v>
      </c>
      <c r="W66" s="34" t="str">
        <f t="shared" si="37"/>
        <v>SCT</v>
      </c>
      <c r="X66" s="34">
        <f t="shared" si="38"/>
        <v>1</v>
      </c>
      <c r="Y66" s="34">
        <f t="shared" si="39"/>
        <v>900</v>
      </c>
      <c r="Z66" s="34">
        <f t="shared" si="4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150</v>
      </c>
      <c r="F67" s="51">
        <v>2</v>
      </c>
      <c r="G67" s="51">
        <v>0</v>
      </c>
      <c r="H67" s="51">
        <v>8000</v>
      </c>
      <c r="I67" s="51">
        <v>0</v>
      </c>
      <c r="J67" s="51" t="s">
        <v>53</v>
      </c>
      <c r="K67" s="51">
        <v>1000</v>
      </c>
      <c r="L67" s="68" t="s">
        <v>637</v>
      </c>
      <c r="M67" s="32">
        <f t="shared" si="28"/>
        <v>0</v>
      </c>
      <c r="N67" s="33">
        <f t="shared" si="29"/>
        <v>1</v>
      </c>
      <c r="O67" s="33">
        <f t="shared" si="30"/>
        <v>0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41"/>
        <v>8000</v>
      </c>
      <c r="T67" s="34">
        <f t="shared" si="34"/>
        <v>1</v>
      </c>
      <c r="U67" s="34">
        <f t="shared" si="35"/>
        <v>0</v>
      </c>
      <c r="V67" s="34">
        <f t="shared" si="36"/>
        <v>1</v>
      </c>
      <c r="W67" s="34" t="str">
        <f t="shared" si="37"/>
        <v>SCT</v>
      </c>
      <c r="X67" s="34">
        <f t="shared" si="38"/>
        <v>1</v>
      </c>
      <c r="Y67" s="34">
        <f t="shared" si="39"/>
        <v>900</v>
      </c>
      <c r="Z67" s="34">
        <f t="shared" si="4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150</v>
      </c>
      <c r="F68" s="51">
        <v>2</v>
      </c>
      <c r="G68" s="51">
        <v>0</v>
      </c>
      <c r="H68" s="51">
        <v>8000</v>
      </c>
      <c r="I68" s="51">
        <v>0</v>
      </c>
      <c r="J68" s="51" t="s">
        <v>53</v>
      </c>
      <c r="K68" s="51">
        <v>1000</v>
      </c>
      <c r="L68" s="68" t="s">
        <v>654</v>
      </c>
      <c r="M68" s="32">
        <f t="shared" si="28"/>
        <v>0</v>
      </c>
      <c r="N68" s="33">
        <f t="shared" si="29"/>
        <v>1</v>
      </c>
      <c r="O68" s="33">
        <f t="shared" si="30"/>
        <v>0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41"/>
        <v>8000</v>
      </c>
      <c r="T68" s="34">
        <f t="shared" si="34"/>
        <v>1</v>
      </c>
      <c r="U68" s="34">
        <f t="shared" si="35"/>
        <v>0</v>
      </c>
      <c r="V68" s="34">
        <f t="shared" si="36"/>
        <v>1</v>
      </c>
      <c r="W68" s="34" t="str">
        <f t="shared" si="37"/>
        <v>SCT</v>
      </c>
      <c r="X68" s="34">
        <f t="shared" si="38"/>
        <v>1</v>
      </c>
      <c r="Y68" s="34">
        <f t="shared" si="39"/>
        <v>900</v>
      </c>
      <c r="Z68" s="34">
        <f t="shared" si="4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150</v>
      </c>
      <c r="F69" s="51">
        <v>2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800</v>
      </c>
      <c r="L69" s="68" t="s">
        <v>638</v>
      </c>
      <c r="M69" s="32">
        <f t="shared" si="28"/>
        <v>0</v>
      </c>
      <c r="N69" s="33">
        <f t="shared" si="29"/>
        <v>1</v>
      </c>
      <c r="O69" s="33">
        <f t="shared" si="30"/>
        <v>0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41"/>
        <v>8000</v>
      </c>
      <c r="T69" s="34">
        <f t="shared" si="34"/>
        <v>0</v>
      </c>
      <c r="U69" s="34">
        <f t="shared" si="35"/>
        <v>0</v>
      </c>
      <c r="V69" s="34">
        <f t="shared" si="36"/>
        <v>0</v>
      </c>
      <c r="W69" s="34" t="str">
        <f t="shared" si="37"/>
        <v>BKN</v>
      </c>
      <c r="X69" s="34">
        <f t="shared" si="38"/>
        <v>0</v>
      </c>
      <c r="Y69" s="34">
        <f t="shared" si="39"/>
        <v>900</v>
      </c>
      <c r="Z69" s="34">
        <f t="shared" si="4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150</v>
      </c>
      <c r="F70" s="51">
        <v>2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800</v>
      </c>
      <c r="L70" s="68" t="s">
        <v>639</v>
      </c>
      <c r="M70" s="32">
        <f t="shared" si="28"/>
        <v>0</v>
      </c>
      <c r="N70" s="33">
        <f t="shared" si="29"/>
        <v>1</v>
      </c>
      <c r="O70" s="33">
        <f t="shared" si="30"/>
        <v>0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41"/>
        <v>8000</v>
      </c>
      <c r="T70" s="34">
        <f t="shared" si="34"/>
        <v>0</v>
      </c>
      <c r="U70" s="34">
        <f t="shared" si="35"/>
        <v>0</v>
      </c>
      <c r="V70" s="34">
        <f t="shared" si="36"/>
        <v>0</v>
      </c>
      <c r="W70" s="34" t="str">
        <f t="shared" si="37"/>
        <v>BKN</v>
      </c>
      <c r="X70" s="34">
        <f t="shared" si="38"/>
        <v>0</v>
      </c>
      <c r="Y70" s="34">
        <f t="shared" si="39"/>
        <v>800</v>
      </c>
      <c r="Z70" s="34">
        <f t="shared" si="4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40</v>
      </c>
      <c r="D71" s="52"/>
      <c r="E71" s="51">
        <v>150</v>
      </c>
      <c r="F71" s="51">
        <v>2</v>
      </c>
      <c r="G71" s="51">
        <v>0</v>
      </c>
      <c r="H71" s="51">
        <v>4000</v>
      </c>
      <c r="I71" s="51" t="s">
        <v>52</v>
      </c>
      <c r="J71" s="51" t="s">
        <v>51</v>
      </c>
      <c r="K71" s="51">
        <v>800</v>
      </c>
      <c r="L71" s="68" t="s">
        <v>640</v>
      </c>
      <c r="M71" s="32">
        <f t="shared" si="28"/>
        <v>0</v>
      </c>
      <c r="N71" s="33">
        <f t="shared" si="29"/>
        <v>1</v>
      </c>
      <c r="O71" s="33">
        <f t="shared" si="30"/>
        <v>0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41"/>
        <v>8000</v>
      </c>
      <c r="T71" s="34">
        <f t="shared" si="34"/>
        <v>0</v>
      </c>
      <c r="U71" s="34">
        <f t="shared" si="35"/>
        <v>0</v>
      </c>
      <c r="V71" s="34">
        <f t="shared" si="36"/>
        <v>0</v>
      </c>
      <c r="W71" s="34" t="str">
        <f t="shared" si="37"/>
        <v>BKN</v>
      </c>
      <c r="X71" s="34">
        <f t="shared" si="38"/>
        <v>0</v>
      </c>
      <c r="Y71" s="34">
        <f t="shared" si="39"/>
        <v>900</v>
      </c>
      <c r="Z71" s="34">
        <f t="shared" si="40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150</v>
      </c>
      <c r="F72" s="51">
        <v>2</v>
      </c>
      <c r="G72" s="51">
        <v>0</v>
      </c>
      <c r="H72" s="51">
        <v>8000</v>
      </c>
      <c r="I72" s="51">
        <v>0</v>
      </c>
      <c r="J72" s="51" t="s">
        <v>53</v>
      </c>
      <c r="K72" s="51">
        <v>1000</v>
      </c>
      <c r="L72" s="65" t="s">
        <v>641</v>
      </c>
      <c r="M72" s="32">
        <f t="shared" si="28"/>
        <v>0</v>
      </c>
      <c r="N72" s="33">
        <f t="shared" si="29"/>
        <v>1</v>
      </c>
      <c r="O72" s="33">
        <f t="shared" si="30"/>
        <v>0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41"/>
        <v>8000</v>
      </c>
      <c r="T72" s="34">
        <f t="shared" si="34"/>
        <v>1</v>
      </c>
      <c r="U72" s="34">
        <f t="shared" si="35"/>
        <v>0</v>
      </c>
      <c r="V72" s="34">
        <f t="shared" si="36"/>
        <v>1</v>
      </c>
      <c r="W72" s="34" t="str">
        <f t="shared" si="37"/>
        <v>BKN</v>
      </c>
      <c r="X72" s="34">
        <f t="shared" si="38"/>
        <v>0</v>
      </c>
      <c r="Y72" s="34">
        <f t="shared" si="39"/>
        <v>800</v>
      </c>
      <c r="Z72" s="34">
        <f t="shared" si="40"/>
        <v>0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150</v>
      </c>
      <c r="F73" s="51">
        <v>2</v>
      </c>
      <c r="G73" s="51">
        <v>0</v>
      </c>
      <c r="H73" s="51">
        <v>8000</v>
      </c>
      <c r="I73" s="51">
        <v>0</v>
      </c>
      <c r="J73" s="51" t="s">
        <v>53</v>
      </c>
      <c r="K73" s="51">
        <v>1000</v>
      </c>
      <c r="L73" s="65" t="s">
        <v>642</v>
      </c>
      <c r="M73" s="32">
        <f t="shared" si="28"/>
        <v>0</v>
      </c>
      <c r="N73" s="33">
        <f t="shared" si="29"/>
        <v>1</v>
      </c>
      <c r="O73" s="33">
        <f t="shared" si="30"/>
        <v>0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41"/>
        <v>8000</v>
      </c>
      <c r="T73" s="34">
        <f t="shared" si="34"/>
        <v>1</v>
      </c>
      <c r="U73" s="34">
        <f t="shared" si="35"/>
        <v>0</v>
      </c>
      <c r="V73" s="34">
        <f t="shared" si="36"/>
        <v>1</v>
      </c>
      <c r="W73" s="34" t="str">
        <f t="shared" si="37"/>
        <v>BKN</v>
      </c>
      <c r="X73" s="34">
        <f t="shared" si="38"/>
        <v>0</v>
      </c>
      <c r="Y73" s="34">
        <f t="shared" si="39"/>
        <v>800</v>
      </c>
      <c r="Z73" s="34">
        <f t="shared" si="40"/>
        <v>0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150</v>
      </c>
      <c r="F74" s="51">
        <v>2</v>
      </c>
      <c r="G74" s="51">
        <v>0</v>
      </c>
      <c r="H74" s="51">
        <v>8000</v>
      </c>
      <c r="I74" s="51">
        <v>0</v>
      </c>
      <c r="J74" s="51" t="s">
        <v>53</v>
      </c>
      <c r="K74" s="51">
        <v>1000</v>
      </c>
      <c r="L74" s="65" t="s">
        <v>643</v>
      </c>
      <c r="M74" s="32">
        <f t="shared" si="28"/>
        <v>0</v>
      </c>
      <c r="N74" s="33">
        <f t="shared" si="29"/>
        <v>1</v>
      </c>
      <c r="O74" s="33">
        <f t="shared" si="30"/>
        <v>0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41"/>
        <v>8000</v>
      </c>
      <c r="T74" s="34">
        <f t="shared" si="34"/>
        <v>1</v>
      </c>
      <c r="U74" s="34">
        <f t="shared" si="35"/>
        <v>0</v>
      </c>
      <c r="V74" s="34">
        <f t="shared" si="36"/>
        <v>1</v>
      </c>
      <c r="W74" s="34" t="str">
        <f t="shared" si="37"/>
        <v>BKN</v>
      </c>
      <c r="X74" s="34">
        <f t="shared" si="38"/>
        <v>0</v>
      </c>
      <c r="Y74" s="34">
        <f t="shared" si="39"/>
        <v>800</v>
      </c>
      <c r="Z74" s="34">
        <f t="shared" si="40"/>
        <v>0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150</v>
      </c>
      <c r="F75" s="51">
        <v>2</v>
      </c>
      <c r="G75" s="51">
        <v>0</v>
      </c>
      <c r="H75" s="51">
        <v>8000</v>
      </c>
      <c r="I75" s="51">
        <v>0</v>
      </c>
      <c r="J75" s="51" t="s">
        <v>53</v>
      </c>
      <c r="K75" s="51">
        <v>1000</v>
      </c>
      <c r="L75" s="65" t="s">
        <v>644</v>
      </c>
      <c r="M75" s="32">
        <f t="shared" si="28"/>
        <v>0</v>
      </c>
      <c r="N75" s="33">
        <f t="shared" si="29"/>
        <v>1</v>
      </c>
      <c r="O75" s="33">
        <f t="shared" si="30"/>
        <v>0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41"/>
        <v>8000</v>
      </c>
      <c r="T75" s="34">
        <f t="shared" si="34"/>
        <v>1</v>
      </c>
      <c r="U75" s="34">
        <f t="shared" si="35"/>
        <v>0</v>
      </c>
      <c r="V75" s="34">
        <f t="shared" si="36"/>
        <v>1</v>
      </c>
      <c r="W75" s="34" t="str">
        <f t="shared" si="37"/>
        <v>BKN</v>
      </c>
      <c r="X75" s="34">
        <f t="shared" si="38"/>
        <v>0</v>
      </c>
      <c r="Y75" s="34">
        <f t="shared" si="39"/>
        <v>800</v>
      </c>
      <c r="Z75" s="34">
        <f t="shared" si="40"/>
        <v>0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150</v>
      </c>
      <c r="F76" s="51">
        <v>2</v>
      </c>
      <c r="G76" s="51">
        <v>0</v>
      </c>
      <c r="H76" s="51">
        <v>8000</v>
      </c>
      <c r="I76" s="51">
        <v>0</v>
      </c>
      <c r="J76" s="51" t="s">
        <v>53</v>
      </c>
      <c r="K76" s="51">
        <v>1000</v>
      </c>
      <c r="L76" s="65" t="s">
        <v>645</v>
      </c>
      <c r="M76" s="32">
        <f t="shared" si="28"/>
        <v>100</v>
      </c>
      <c r="N76" s="33">
        <f t="shared" si="29"/>
        <v>1</v>
      </c>
      <c r="O76" s="33">
        <f t="shared" si="30"/>
        <v>4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41"/>
        <v>8000</v>
      </c>
      <c r="T76" s="34">
        <f t="shared" si="34"/>
        <v>1</v>
      </c>
      <c r="U76" s="34">
        <f t="shared" si="35"/>
        <v>0</v>
      </c>
      <c r="V76" s="34">
        <f t="shared" si="36"/>
        <v>1</v>
      </c>
      <c r="W76" s="34" t="str">
        <f t="shared" si="37"/>
        <v>SCT</v>
      </c>
      <c r="X76" s="34">
        <f t="shared" si="38"/>
        <v>1</v>
      </c>
      <c r="Y76" s="34">
        <f t="shared" si="39"/>
        <v>800</v>
      </c>
      <c r="Z76" s="34">
        <f t="shared" si="40"/>
        <v>0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9</v>
      </c>
      <c r="U80" s="25"/>
      <c r="V80" s="25">
        <f>SUM(V64:V76)</f>
        <v>9</v>
      </c>
      <c r="W80" s="25"/>
      <c r="X80" s="25">
        <f>SUM(X64:X76)</f>
        <v>4</v>
      </c>
      <c r="Y80" s="25"/>
      <c r="Z80" s="25">
        <f>SUM(Z64:Z76)</f>
        <v>7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9</v>
      </c>
      <c r="O81" s="25"/>
      <c r="P81" s="25">
        <f>SUMIF($C64:$C76,"GENERAL",P64:P76)</f>
        <v>9</v>
      </c>
      <c r="Q81" s="25"/>
      <c r="R81" s="25">
        <f>SUMIF($C64:$C76,"GENERAL",R64:R76)</f>
        <v>9</v>
      </c>
      <c r="S81" s="25"/>
      <c r="T81" s="25">
        <f>SUMIF($C64:$C76,"GENERAL",T64:T76)</f>
        <v>9</v>
      </c>
      <c r="U81" s="25"/>
      <c r="V81" s="25">
        <f>SUMIF($C64:$C76,"GENERAL",V64:V76)</f>
        <v>9</v>
      </c>
      <c r="W81" s="25"/>
      <c r="X81" s="25">
        <f>SUMIF($C64:$C76,"GENERAL",X64:X76)</f>
        <v>4</v>
      </c>
      <c r="Y81" s="25"/>
      <c r="Z81" s="25">
        <f>SUMIF($C64:$C76,"GENERAL",Z64:Z76)</f>
        <v>4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3</v>
      </c>
      <c r="M84" s="42">
        <f>SUMIF($C64:$C76,"TEMPO",N64:N76)</f>
        <v>3</v>
      </c>
      <c r="N84" s="42">
        <f>M84</f>
        <v>3</v>
      </c>
      <c r="O84" s="42">
        <f>SUMIF($C64:$C76,"TEMPO",P64:P76)</f>
        <v>3</v>
      </c>
      <c r="P84" s="42">
        <f>O84</f>
        <v>3</v>
      </c>
      <c r="Q84" s="42">
        <f>SUMIF($C64:$C76,"TEMPO",R64:R76)</f>
        <v>3</v>
      </c>
      <c r="R84" s="42">
        <f>Q84</f>
        <v>3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3</v>
      </c>
      <c r="Z84" s="42">
        <f>Y84</f>
        <v>3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75</v>
      </c>
      <c r="U85" s="38"/>
      <c r="V85" s="38">
        <f>(SUM(V81:V84)/COUNTA(V64:V76))*100</f>
        <v>75</v>
      </c>
      <c r="W85" s="38"/>
      <c r="X85" s="38">
        <f>(SUM(X81:X84)/COUNTA(X64:X76))*100</f>
        <v>33.333333333333329</v>
      </c>
      <c r="Y85" s="38"/>
      <c r="Z85" s="38">
        <f>(SUM(Z81:Z84)/COUNTA(Z64:Z76))*100</f>
        <v>58.333333333333336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628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21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s="68" t="s">
        <v>640</v>
      </c>
      <c r="M93" s="32">
        <f t="shared" ref="M93:M104" si="42">IF(ISNUMBER(VALUE(FIND("VRB",L93))),999,VALUE(MID(L93,20,3)))</f>
        <v>0</v>
      </c>
      <c r="N93" s="33">
        <f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3">VALUE(MID(L93,23,2))</f>
        <v>0</v>
      </c>
      <c r="P93" s="33">
        <f>IF(ABS(O93-F93)&lt;11,1,0)</f>
        <v>1</v>
      </c>
      <c r="Q93" s="34">
        <f t="shared" ref="Q93:Q104" si="44">IF(MID(L93,25,1)="G","GUST",0)</f>
        <v>0</v>
      </c>
      <c r="R93" s="33">
        <f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45">IF(AND(IFERROR(FIND("RA",L93),0)&gt;0, IFERROR(FIND("RA",L93),0)&lt;38),"RA",0)</f>
        <v>0</v>
      </c>
      <c r="V93" s="34">
        <f>IF(U93=I93,1,0)</f>
        <v>1</v>
      </c>
      <c r="W93" s="34" t="str">
        <f t="shared" ref="W93:W104" si="46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>IF(OR(AND(OR(J93="SKC",J93="FEW",J93="SCT"),OR(W93="SKC",W93="FEW",W93="SCT")),(AND(OR(J93="BKN",J93="OVC"),OR(W93="BKN",W93="OVC")))),1,0)</f>
        <v>1</v>
      </c>
      <c r="Y93" s="34">
        <f t="shared" ref="Y93:Y104" si="47">IF(ISNUMBER(VALUE(FIND("CAVOK",L93))),9999,IF(ISNUMBER(VALUE(FIND("NSC",L93))),9999,(MID(L93,(FIND(W93,L93)+4),2))*100))</f>
        <v>900</v>
      </c>
      <c r="Z93" s="34">
        <f t="shared" ref="Z93:Z104" si="48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s="65" t="s">
        <v>641</v>
      </c>
      <c r="M94" s="32">
        <f t="shared" si="42"/>
        <v>0</v>
      </c>
      <c r="N94" s="33">
        <f t="shared" ref="N94:N104" si="49">IF(OR(ABS(E94-M94)&lt;61,AND(ABS(E94-M94)&gt;60,O94&lt;10),E94=M94,AND(E94=999,ISNUMBER(VALUE(FIND("TS",L94)))),AND(E94=999,ISNUMBER(VALUE(FIND("CB",L94)))),AND(E94=999,O94&lt;10),AND(F94&lt;10,M94=999,O94&lt;10)),1,0)</f>
        <v>1</v>
      </c>
      <c r="O94" s="33">
        <f t="shared" si="43"/>
        <v>0</v>
      </c>
      <c r="P94" s="33">
        <f t="shared" ref="P94:P104" si="50">IF(ABS(O94-F94)&lt;11,1,0)</f>
        <v>1</v>
      </c>
      <c r="Q94" s="34">
        <f t="shared" si="44"/>
        <v>0</v>
      </c>
      <c r="R94" s="33">
        <f t="shared" ref="R94:R104" si="51">IF(G94=Q94,1,0)</f>
        <v>1</v>
      </c>
      <c r="S94" s="34">
        <f t="shared" ref="S94:S104" si="52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ref="T94:T104" si="53">IF(OR(AND(H94&lt;801,S94&lt;801),AND(H94&gt;799,H94&lt;1501,S94&gt;799,S94&lt;1502),AND(H94&gt;1499,H94&lt;3001,S94&gt;1499,S94&lt;3001),AND(H94&gt;2999,H94&lt;5001,S94&gt;2999,S94&lt;5001),AND(H94&gt;4999,S94&gt;4999)),1,0)</f>
        <v>1</v>
      </c>
      <c r="U94" s="34">
        <f t="shared" si="45"/>
        <v>0</v>
      </c>
      <c r="V94" s="34">
        <f t="shared" ref="V94:V104" si="54">IF(U94=I94,1,0)</f>
        <v>1</v>
      </c>
      <c r="W94" s="34" t="str">
        <f t="shared" si="46"/>
        <v>BKN</v>
      </c>
      <c r="X94" s="34">
        <f t="shared" ref="X94:X104" si="55">IF(OR(AND(OR(J94="SKC",J94="FEW",J94="SCT"),OR(W94="SKC",W94="FEW",W94="SCT")),(AND(OR(J94="BKN",J94="OVC"),OR(W94="BKN",W94="OVC")))),1,0)</f>
        <v>1</v>
      </c>
      <c r="Y94" s="34">
        <f t="shared" si="47"/>
        <v>800</v>
      </c>
      <c r="Z94" s="34">
        <f t="shared" si="48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s="65" t="s">
        <v>642</v>
      </c>
      <c r="M95" s="32">
        <f t="shared" si="42"/>
        <v>0</v>
      </c>
      <c r="N95" s="33">
        <f t="shared" si="49"/>
        <v>1</v>
      </c>
      <c r="O95" s="33">
        <f t="shared" si="43"/>
        <v>0</v>
      </c>
      <c r="P95" s="33">
        <f t="shared" si="50"/>
        <v>1</v>
      </c>
      <c r="Q95" s="34">
        <f t="shared" si="44"/>
        <v>0</v>
      </c>
      <c r="R95" s="33">
        <f t="shared" si="51"/>
        <v>1</v>
      </c>
      <c r="S95" s="34">
        <f t="shared" si="52"/>
        <v>8000</v>
      </c>
      <c r="T95" s="34">
        <f t="shared" si="53"/>
        <v>1</v>
      </c>
      <c r="U95" s="34">
        <f t="shared" si="45"/>
        <v>0</v>
      </c>
      <c r="V95" s="34">
        <f t="shared" si="54"/>
        <v>1</v>
      </c>
      <c r="W95" s="34" t="str">
        <f t="shared" si="46"/>
        <v>BKN</v>
      </c>
      <c r="X95" s="34">
        <f t="shared" si="55"/>
        <v>1</v>
      </c>
      <c r="Y95" s="34">
        <f t="shared" si="47"/>
        <v>800</v>
      </c>
      <c r="Z95" s="34">
        <f t="shared" si="48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s="65" t="s">
        <v>643</v>
      </c>
      <c r="M96" s="32">
        <f t="shared" si="42"/>
        <v>0</v>
      </c>
      <c r="N96" s="33">
        <f t="shared" si="49"/>
        <v>1</v>
      </c>
      <c r="O96" s="33">
        <f t="shared" si="43"/>
        <v>0</v>
      </c>
      <c r="P96" s="33">
        <f t="shared" si="50"/>
        <v>1</v>
      </c>
      <c r="Q96" s="34">
        <f t="shared" si="44"/>
        <v>0</v>
      </c>
      <c r="R96" s="33">
        <f t="shared" si="51"/>
        <v>1</v>
      </c>
      <c r="S96" s="34">
        <f t="shared" si="52"/>
        <v>8000</v>
      </c>
      <c r="T96" s="34">
        <f t="shared" si="53"/>
        <v>1</v>
      </c>
      <c r="U96" s="34">
        <f t="shared" si="45"/>
        <v>0</v>
      </c>
      <c r="V96" s="34">
        <f t="shared" si="54"/>
        <v>1</v>
      </c>
      <c r="W96" s="34" t="str">
        <f t="shared" si="46"/>
        <v>BKN</v>
      </c>
      <c r="X96" s="34">
        <f t="shared" si="55"/>
        <v>1</v>
      </c>
      <c r="Y96" s="34">
        <f t="shared" si="47"/>
        <v>800</v>
      </c>
      <c r="Z96" s="34">
        <f t="shared" si="48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s="65" t="s">
        <v>644</v>
      </c>
      <c r="M97" s="32">
        <f t="shared" si="42"/>
        <v>0</v>
      </c>
      <c r="N97" s="33">
        <f t="shared" si="49"/>
        <v>1</v>
      </c>
      <c r="O97" s="33">
        <f t="shared" si="43"/>
        <v>0</v>
      </c>
      <c r="P97" s="33">
        <f t="shared" si="50"/>
        <v>1</v>
      </c>
      <c r="Q97" s="34">
        <f t="shared" si="44"/>
        <v>0</v>
      </c>
      <c r="R97" s="33">
        <f t="shared" si="51"/>
        <v>1</v>
      </c>
      <c r="S97" s="34">
        <f t="shared" si="52"/>
        <v>8000</v>
      </c>
      <c r="T97" s="34">
        <f t="shared" si="53"/>
        <v>1</v>
      </c>
      <c r="U97" s="34">
        <f t="shared" si="45"/>
        <v>0</v>
      </c>
      <c r="V97" s="34">
        <f t="shared" si="54"/>
        <v>1</v>
      </c>
      <c r="W97" s="34" t="str">
        <f t="shared" si="46"/>
        <v>BKN</v>
      </c>
      <c r="X97" s="34">
        <f t="shared" si="55"/>
        <v>1</v>
      </c>
      <c r="Y97" s="34">
        <f t="shared" si="47"/>
        <v>800</v>
      </c>
      <c r="Z97" s="34">
        <f t="shared" si="48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s="65" t="s">
        <v>645</v>
      </c>
      <c r="M98" s="32">
        <f t="shared" si="42"/>
        <v>100</v>
      </c>
      <c r="N98" s="33">
        <f t="shared" si="49"/>
        <v>1</v>
      </c>
      <c r="O98" s="33">
        <f t="shared" si="43"/>
        <v>4</v>
      </c>
      <c r="P98" s="33">
        <f t="shared" si="50"/>
        <v>1</v>
      </c>
      <c r="Q98" s="34">
        <f t="shared" si="44"/>
        <v>0</v>
      </c>
      <c r="R98" s="33">
        <f t="shared" si="51"/>
        <v>1</v>
      </c>
      <c r="S98" s="34">
        <f t="shared" si="52"/>
        <v>8000</v>
      </c>
      <c r="T98" s="34">
        <f t="shared" si="53"/>
        <v>1</v>
      </c>
      <c r="U98" s="34">
        <f t="shared" si="45"/>
        <v>0</v>
      </c>
      <c r="V98" s="34">
        <f t="shared" si="54"/>
        <v>1</v>
      </c>
      <c r="W98" s="34" t="str">
        <f t="shared" si="46"/>
        <v>SCT</v>
      </c>
      <c r="X98" s="34">
        <f t="shared" si="55"/>
        <v>0</v>
      </c>
      <c r="Y98" s="34">
        <f t="shared" si="47"/>
        <v>800</v>
      </c>
      <c r="Z98" s="34">
        <f t="shared" si="48"/>
        <v>1</v>
      </c>
      <c r="AA98" s="25"/>
      <c r="AB98" s="25"/>
      <c r="AC98" s="25"/>
      <c r="AD98" s="25"/>
      <c r="AE98" s="25"/>
    </row>
    <row r="99" spans="1:31" ht="16.5">
      <c r="A99" s="55">
        <v>22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s="65" t="s">
        <v>646</v>
      </c>
      <c r="M99" s="32">
        <f t="shared" si="42"/>
        <v>110</v>
      </c>
      <c r="N99" s="33">
        <f t="shared" si="49"/>
        <v>1</v>
      </c>
      <c r="O99" s="33">
        <f t="shared" si="43"/>
        <v>4</v>
      </c>
      <c r="P99" s="33">
        <f t="shared" si="50"/>
        <v>1</v>
      </c>
      <c r="Q99" s="34">
        <f t="shared" si="44"/>
        <v>0</v>
      </c>
      <c r="R99" s="33">
        <f t="shared" si="51"/>
        <v>1</v>
      </c>
      <c r="S99" s="34">
        <f t="shared" si="52"/>
        <v>8000</v>
      </c>
      <c r="T99" s="34">
        <f t="shared" si="53"/>
        <v>1</v>
      </c>
      <c r="U99" s="34">
        <f t="shared" si="45"/>
        <v>0</v>
      </c>
      <c r="V99" s="34">
        <f t="shared" si="54"/>
        <v>1</v>
      </c>
      <c r="W99" s="34" t="str">
        <f t="shared" si="46"/>
        <v>BKN</v>
      </c>
      <c r="X99" s="34">
        <f t="shared" si="55"/>
        <v>1</v>
      </c>
      <c r="Y99" s="34">
        <f t="shared" si="47"/>
        <v>800</v>
      </c>
      <c r="Z99" s="34">
        <f t="shared" si="48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34</v>
      </c>
      <c r="D100" s="52"/>
      <c r="E100" s="51">
        <v>240</v>
      </c>
      <c r="F100" s="51">
        <v>3</v>
      </c>
      <c r="G100" s="51">
        <v>0</v>
      </c>
      <c r="H100" s="51">
        <v>9999</v>
      </c>
      <c r="I100" s="51">
        <v>0</v>
      </c>
      <c r="J100" s="51" t="s">
        <v>53</v>
      </c>
      <c r="K100" s="51">
        <v>900</v>
      </c>
      <c r="L100" s="65" t="s">
        <v>647</v>
      </c>
      <c r="M100" s="32">
        <f t="shared" si="42"/>
        <v>100</v>
      </c>
      <c r="N100" s="33">
        <f>IF(OR(ABS(E100-M100)&lt;61,AND(ABS(E100-M100)&gt;60,O100&lt;10),E100=M100,AND(E100=999,ISNUMBER(VALUE(FIND("TS",L100)))),AND(E100=999,ISNUMBER(VALUE(FIND("CB",L100)))),AND(E100=999,O100&lt;10),AND(F100&lt;10,M100=999,O100&lt;10)),1,0)</f>
        <v>1</v>
      </c>
      <c r="O100" s="33">
        <f t="shared" si="43"/>
        <v>4</v>
      </c>
      <c r="P100" s="33">
        <f>IF(ABS(O100-F100)&lt;11,1,0)</f>
        <v>1</v>
      </c>
      <c r="Q100" s="34">
        <f t="shared" si="44"/>
        <v>0</v>
      </c>
      <c r="R100" s="33">
        <f>IF(G100=Q100,1,0)</f>
        <v>1</v>
      </c>
      <c r="S100" s="34">
        <f t="shared" si="52"/>
        <v>8000</v>
      </c>
      <c r="T100" s="34">
        <f>IF(OR(AND(H100&lt;801,S100&lt;801),AND(H100&gt;799,H100&lt;1501,S100&gt;799,S100&lt;1502),AND(H100&gt;1499,H100&lt;3001,S100&gt;1499,S100&lt;3001),AND(H100&gt;2999,H100&lt;5001,S100&gt;2999,S100&lt;5001),AND(H100&gt;4999,S100&gt;4999)),1,0)</f>
        <v>1</v>
      </c>
      <c r="U100" s="34">
        <f t="shared" si="45"/>
        <v>0</v>
      </c>
      <c r="V100" s="34">
        <f>IF(U100=I100,1,0)</f>
        <v>1</v>
      </c>
      <c r="W100" s="34" t="str">
        <f t="shared" si="46"/>
        <v>BKN</v>
      </c>
      <c r="X100" s="34">
        <f>IF(OR(AND(OR(J100="SKC",J100="FEW",J100="SCT"),OR(W100="SKC",W100="FEW",W100="SCT")),(AND(OR(J100="BKN",J100="OVC"),OR(W100="BKN",W100="OVC")))),1,0)</f>
        <v>0</v>
      </c>
      <c r="Y100" s="34">
        <f t="shared" si="47"/>
        <v>800</v>
      </c>
      <c r="Z100" s="34">
        <f t="shared" si="48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34</v>
      </c>
      <c r="D101" s="52"/>
      <c r="E101" s="51">
        <v>240</v>
      </c>
      <c r="F101" s="51">
        <v>3</v>
      </c>
      <c r="G101" s="51">
        <v>0</v>
      </c>
      <c r="H101" s="51">
        <v>9999</v>
      </c>
      <c r="I101" s="51">
        <v>0</v>
      </c>
      <c r="J101" s="51" t="s">
        <v>53</v>
      </c>
      <c r="K101" s="51">
        <v>900</v>
      </c>
      <c r="L101" s="65" t="s">
        <v>648</v>
      </c>
      <c r="M101" s="32">
        <f t="shared" si="42"/>
        <v>80</v>
      </c>
      <c r="N101" s="33">
        <f t="shared" si="49"/>
        <v>1</v>
      </c>
      <c r="O101" s="33">
        <f t="shared" si="43"/>
        <v>4</v>
      </c>
      <c r="P101" s="33">
        <f t="shared" si="50"/>
        <v>1</v>
      </c>
      <c r="Q101" s="34">
        <f t="shared" si="44"/>
        <v>0</v>
      </c>
      <c r="R101" s="33">
        <f t="shared" si="51"/>
        <v>1</v>
      </c>
      <c r="S101" s="34">
        <f t="shared" si="52"/>
        <v>8000</v>
      </c>
      <c r="T101" s="34">
        <f t="shared" si="53"/>
        <v>1</v>
      </c>
      <c r="U101" s="34">
        <f t="shared" si="45"/>
        <v>0</v>
      </c>
      <c r="V101" s="34">
        <f t="shared" si="54"/>
        <v>1</v>
      </c>
      <c r="W101" s="34" t="str">
        <f t="shared" si="46"/>
        <v>BKN</v>
      </c>
      <c r="X101" s="34">
        <f t="shared" si="55"/>
        <v>0</v>
      </c>
      <c r="Y101" s="34">
        <f t="shared" si="47"/>
        <v>800</v>
      </c>
      <c r="Z101" s="34">
        <f t="shared" si="48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34</v>
      </c>
      <c r="D102" s="52"/>
      <c r="E102" s="51">
        <v>240</v>
      </c>
      <c r="F102" s="51">
        <v>3</v>
      </c>
      <c r="G102" s="51">
        <v>0</v>
      </c>
      <c r="H102" s="51">
        <v>9999</v>
      </c>
      <c r="I102" s="51">
        <v>0</v>
      </c>
      <c r="J102" s="51" t="s">
        <v>53</v>
      </c>
      <c r="K102" s="51">
        <v>900</v>
      </c>
      <c r="L102" s="65" t="s">
        <v>649</v>
      </c>
      <c r="M102" s="32">
        <f t="shared" si="42"/>
        <v>130</v>
      </c>
      <c r="N102" s="33">
        <f t="shared" si="49"/>
        <v>1</v>
      </c>
      <c r="O102" s="33">
        <f t="shared" si="43"/>
        <v>4</v>
      </c>
      <c r="P102" s="33">
        <f t="shared" si="50"/>
        <v>1</v>
      </c>
      <c r="Q102" s="34">
        <f t="shared" si="44"/>
        <v>0</v>
      </c>
      <c r="R102" s="33">
        <f t="shared" si="51"/>
        <v>1</v>
      </c>
      <c r="S102" s="34">
        <f t="shared" si="52"/>
        <v>8000</v>
      </c>
      <c r="T102" s="34">
        <f t="shared" si="53"/>
        <v>1</v>
      </c>
      <c r="U102" s="34">
        <f t="shared" si="45"/>
        <v>0</v>
      </c>
      <c r="V102" s="34">
        <f t="shared" si="54"/>
        <v>1</v>
      </c>
      <c r="W102" s="34" t="str">
        <f t="shared" si="46"/>
        <v>BKN</v>
      </c>
      <c r="X102" s="34">
        <f t="shared" si="55"/>
        <v>0</v>
      </c>
      <c r="Y102" s="34">
        <f t="shared" si="47"/>
        <v>800</v>
      </c>
      <c r="Z102" s="34">
        <f t="shared" si="48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34</v>
      </c>
      <c r="D103" s="52"/>
      <c r="E103" s="51">
        <v>240</v>
      </c>
      <c r="F103" s="51">
        <v>3</v>
      </c>
      <c r="G103" s="51">
        <v>0</v>
      </c>
      <c r="H103" s="51">
        <v>9999</v>
      </c>
      <c r="I103" s="51">
        <v>0</v>
      </c>
      <c r="J103" s="51" t="s">
        <v>53</v>
      </c>
      <c r="K103" s="51">
        <v>900</v>
      </c>
      <c r="L103" s="65" t="s">
        <v>650</v>
      </c>
      <c r="M103" s="32">
        <f t="shared" si="42"/>
        <v>130</v>
      </c>
      <c r="N103" s="33">
        <f t="shared" si="49"/>
        <v>1</v>
      </c>
      <c r="O103" s="33">
        <f t="shared" si="43"/>
        <v>4</v>
      </c>
      <c r="P103" s="33">
        <f t="shared" si="50"/>
        <v>1</v>
      </c>
      <c r="Q103" s="34">
        <f t="shared" si="44"/>
        <v>0</v>
      </c>
      <c r="R103" s="33">
        <f t="shared" si="51"/>
        <v>1</v>
      </c>
      <c r="S103" s="34">
        <f t="shared" si="52"/>
        <v>8000</v>
      </c>
      <c r="T103" s="34">
        <f t="shared" si="53"/>
        <v>1</v>
      </c>
      <c r="U103" s="34">
        <f t="shared" si="45"/>
        <v>0</v>
      </c>
      <c r="V103" s="34">
        <f t="shared" si="54"/>
        <v>1</v>
      </c>
      <c r="W103" s="34" t="str">
        <f t="shared" si="46"/>
        <v>BKN</v>
      </c>
      <c r="X103" s="34">
        <f t="shared" si="55"/>
        <v>0</v>
      </c>
      <c r="Y103" s="34">
        <f t="shared" si="47"/>
        <v>800</v>
      </c>
      <c r="Z103" s="34">
        <f t="shared" si="48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34</v>
      </c>
      <c r="D104" s="52"/>
      <c r="E104" s="51">
        <v>240</v>
      </c>
      <c r="F104" s="51">
        <v>3</v>
      </c>
      <c r="G104" s="51">
        <v>0</v>
      </c>
      <c r="H104" s="51">
        <v>9999</v>
      </c>
      <c r="I104" s="51">
        <v>0</v>
      </c>
      <c r="J104" s="51" t="s">
        <v>53</v>
      </c>
      <c r="K104" s="51">
        <v>900</v>
      </c>
      <c r="L104" s="65" t="s">
        <v>651</v>
      </c>
      <c r="M104" s="32">
        <f t="shared" si="42"/>
        <v>160</v>
      </c>
      <c r="N104" s="33">
        <f t="shared" si="49"/>
        <v>1</v>
      </c>
      <c r="O104" s="33">
        <f t="shared" si="43"/>
        <v>8</v>
      </c>
      <c r="P104" s="33">
        <f t="shared" si="50"/>
        <v>1</v>
      </c>
      <c r="Q104" s="34">
        <f t="shared" si="44"/>
        <v>0</v>
      </c>
      <c r="R104" s="33">
        <f t="shared" si="51"/>
        <v>1</v>
      </c>
      <c r="S104" s="34">
        <f t="shared" si="52"/>
        <v>8000</v>
      </c>
      <c r="T104" s="34">
        <f t="shared" si="53"/>
        <v>1</v>
      </c>
      <c r="U104" s="34">
        <f t="shared" si="45"/>
        <v>0</v>
      </c>
      <c r="V104" s="34">
        <f t="shared" si="54"/>
        <v>1</v>
      </c>
      <c r="W104" s="34" t="str">
        <f t="shared" si="46"/>
        <v>BKN</v>
      </c>
      <c r="X104" s="34">
        <f t="shared" si="55"/>
        <v>0</v>
      </c>
      <c r="Y104" s="34">
        <f t="shared" si="47"/>
        <v>800</v>
      </c>
      <c r="Z104" s="34">
        <f t="shared" si="48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6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7</v>
      </c>
      <c r="O110" s="25"/>
      <c r="P110" s="25">
        <f>SUMIF($C93:$C104,"GENERAL",P93:P104)</f>
        <v>7</v>
      </c>
      <c r="Q110" s="25"/>
      <c r="R110" s="25">
        <f>SUMIF($C93:$C104,"GENERAL",R93:R104)</f>
        <v>7</v>
      </c>
      <c r="S110" s="25"/>
      <c r="T110" s="25">
        <f>SUMIF($C93:$C104,"GENERAL",T93:T104)</f>
        <v>7</v>
      </c>
      <c r="U110" s="25"/>
      <c r="V110" s="25">
        <f>SUMIF($C93:$C104,"GENERAL",V93:V104)</f>
        <v>7</v>
      </c>
      <c r="W110" s="25"/>
      <c r="X110" s="25">
        <f>SUMIF($C93:$C104,"GENERAL",X93:X104)</f>
        <v>6</v>
      </c>
      <c r="Y110" s="25"/>
      <c r="Z110" s="25">
        <f>SUMIF($C93:$C104,"GENERAL",Z93:Z104)</f>
        <v>7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5</v>
      </c>
      <c r="O111" s="25"/>
      <c r="P111" s="25">
        <f>SUMIF($C93:$C104,"BECMG",P93:P104)</f>
        <v>5</v>
      </c>
      <c r="Q111" s="25"/>
      <c r="R111" s="25">
        <f>SUMIF($C93:$C104,"BECMG",R93:R104)</f>
        <v>5</v>
      </c>
      <c r="S111" s="25"/>
      <c r="T111" s="25">
        <f>SUMIF($C93:$C104,"BECMG",T93:T104)</f>
        <v>5</v>
      </c>
      <c r="U111" s="25"/>
      <c r="V111" s="25">
        <f>SUMIF($C93:$C104,"BECMG",V93:V104)</f>
        <v>5</v>
      </c>
      <c r="W111" s="25"/>
      <c r="X111" s="25">
        <f>SUMIF($C93:$C104,"BECMG",X93:X104)</f>
        <v>0</v>
      </c>
      <c r="Y111" s="25"/>
      <c r="Z111" s="25">
        <f>SUMIF($C93:$C104,"BECMG",Z93:Z104)</f>
        <v>5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50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49C3C-7A58-4140-81B6-4BF570C0770C}">
  <sheetPr>
    <tabColor theme="0"/>
  </sheetPr>
  <dimension ref="A1:AE115"/>
  <sheetViews>
    <sheetView topLeftCell="A52" workbookViewId="0">
      <selection activeCell="D79" sqref="D79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629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22</v>
      </c>
      <c r="B7" s="28">
        <v>0</v>
      </c>
      <c r="C7" s="51" t="s">
        <v>39</v>
      </c>
      <c r="D7" s="52"/>
      <c r="E7" s="51">
        <v>0</v>
      </c>
      <c r="F7" s="51">
        <v>0</v>
      </c>
      <c r="G7" s="51">
        <v>0</v>
      </c>
      <c r="H7" s="51">
        <v>8000</v>
      </c>
      <c r="I7" s="51">
        <v>0</v>
      </c>
      <c r="J7" s="51" t="s">
        <v>58</v>
      </c>
      <c r="K7" s="51">
        <v>800</v>
      </c>
      <c r="L7" s="65" t="s">
        <v>646</v>
      </c>
      <c r="M7" s="32">
        <f t="shared" ref="M7:M14" si="0">IF(ISNUMBER(VALUE(FIND("VRB",L7))),999,VALUE(MID(L7,20,3)))</f>
        <v>110</v>
      </c>
      <c r="N7" s="33">
        <f t="shared" ref="N7:N14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4" si="2">VALUE(MID(L7,23,2))</f>
        <v>4</v>
      </c>
      <c r="P7" s="33">
        <f t="shared" ref="P7:P14" si="3">IF(ABS(O7-F7)&lt;11,1,0)</f>
        <v>1</v>
      </c>
      <c r="Q7" s="34">
        <f t="shared" ref="Q7:Q14" si="4">IF(MID(L7,25,1)="G","GUST",0)</f>
        <v>0</v>
      </c>
      <c r="R7" s="33">
        <f t="shared" ref="R7:R14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4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4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4" si="10">IF(OR(AND(OR(J7="SKC",J7="FEW",J7="SCT"),OR(W7="SKC",W7="FEW",W7="SCT")),(AND(OR(J7="BKN",J7="OVC"),OR(W7="BKN",W7="OVC")))),1,0)</f>
        <v>1</v>
      </c>
      <c r="Y7" s="34">
        <f t="shared" ref="Y7:Y14" si="11">IF(ISNUMBER(VALUE(FIND("CAVOK",L7))),9999,IF(ISNUMBER(VALUE(FIND("NSC",L7))),9999,(MID(L7,(FIND(W7,L7)+4),2))*100))</f>
        <v>800</v>
      </c>
      <c r="Z7" s="34">
        <f t="shared" ref="Z7:Z14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51" t="s">
        <v>39</v>
      </c>
      <c r="D8" s="52"/>
      <c r="E8" s="51">
        <v>0</v>
      </c>
      <c r="F8" s="51">
        <v>0</v>
      </c>
      <c r="G8" s="51">
        <v>0</v>
      </c>
      <c r="H8" s="51">
        <v>8000</v>
      </c>
      <c r="I8" s="51">
        <v>0</v>
      </c>
      <c r="J8" s="51" t="s">
        <v>58</v>
      </c>
      <c r="K8" s="51">
        <v>800</v>
      </c>
      <c r="L8" s="65" t="s">
        <v>647</v>
      </c>
      <c r="M8" s="32">
        <f t="shared" si="0"/>
        <v>100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51" t="s">
        <v>39</v>
      </c>
      <c r="D9" s="52"/>
      <c r="E9" s="51">
        <v>0</v>
      </c>
      <c r="F9" s="51">
        <v>0</v>
      </c>
      <c r="G9" s="51">
        <v>0</v>
      </c>
      <c r="H9" s="51">
        <v>8000</v>
      </c>
      <c r="I9" s="51">
        <v>0</v>
      </c>
      <c r="J9" s="51" t="s">
        <v>58</v>
      </c>
      <c r="K9" s="51">
        <v>800</v>
      </c>
      <c r="L9" s="65" t="s">
        <v>648</v>
      </c>
      <c r="M9" s="32">
        <f t="shared" si="0"/>
        <v>80</v>
      </c>
      <c r="N9" s="33">
        <f t="shared" si="1"/>
        <v>1</v>
      </c>
      <c r="O9" s="33">
        <f t="shared" si="2"/>
        <v>4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800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51" t="s">
        <v>39</v>
      </c>
      <c r="D10" s="52"/>
      <c r="E10" s="51">
        <v>0</v>
      </c>
      <c r="F10" s="51">
        <v>0</v>
      </c>
      <c r="G10" s="51">
        <v>0</v>
      </c>
      <c r="H10" s="51">
        <v>8000</v>
      </c>
      <c r="I10" s="51">
        <v>0</v>
      </c>
      <c r="J10" s="51" t="s">
        <v>58</v>
      </c>
      <c r="K10" s="51">
        <v>800</v>
      </c>
      <c r="L10" s="65" t="s">
        <v>649</v>
      </c>
      <c r="M10" s="32">
        <f t="shared" si="0"/>
        <v>130</v>
      </c>
      <c r="N10" s="33">
        <f t="shared" si="1"/>
        <v>1</v>
      </c>
      <c r="O10" s="33">
        <f t="shared" si="2"/>
        <v>4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800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51" t="s">
        <v>39</v>
      </c>
      <c r="D11" s="52"/>
      <c r="E11" s="51">
        <v>0</v>
      </c>
      <c r="F11" s="51">
        <v>0</v>
      </c>
      <c r="G11" s="51">
        <v>0</v>
      </c>
      <c r="H11" s="51">
        <v>8000</v>
      </c>
      <c r="I11" s="51">
        <v>0</v>
      </c>
      <c r="J11" s="51" t="s">
        <v>58</v>
      </c>
      <c r="K11" s="51">
        <v>800</v>
      </c>
      <c r="L11" s="65" t="s">
        <v>650</v>
      </c>
      <c r="M11" s="32">
        <f t="shared" si="0"/>
        <v>130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800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51" t="s">
        <v>39</v>
      </c>
      <c r="D12" s="52"/>
      <c r="E12" s="51">
        <v>0</v>
      </c>
      <c r="F12" s="51">
        <v>0</v>
      </c>
      <c r="G12" s="51">
        <v>0</v>
      </c>
      <c r="H12" s="51">
        <v>8000</v>
      </c>
      <c r="I12" s="51">
        <v>0</v>
      </c>
      <c r="J12" s="51" t="s">
        <v>58</v>
      </c>
      <c r="K12" s="51">
        <v>800</v>
      </c>
      <c r="L12" s="65" t="s">
        <v>651</v>
      </c>
      <c r="M12" s="32">
        <f t="shared" si="0"/>
        <v>160</v>
      </c>
      <c r="N12" s="33">
        <f t="shared" si="1"/>
        <v>1</v>
      </c>
      <c r="O12" s="33">
        <f t="shared" si="2"/>
        <v>8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800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51" t="s">
        <v>39</v>
      </c>
      <c r="D13" s="52"/>
      <c r="E13" s="51">
        <v>0</v>
      </c>
      <c r="F13" s="51">
        <v>0</v>
      </c>
      <c r="G13" s="51">
        <v>0</v>
      </c>
      <c r="H13" s="51">
        <v>8000</v>
      </c>
      <c r="I13" s="51">
        <v>0</v>
      </c>
      <c r="J13" s="51" t="s">
        <v>58</v>
      </c>
      <c r="K13" s="51">
        <v>800</v>
      </c>
      <c r="L13" s="65" t="s">
        <v>652</v>
      </c>
      <c r="M13" s="32">
        <f t="shared" si="0"/>
        <v>130</v>
      </c>
      <c r="N13" s="33">
        <f t="shared" si="1"/>
        <v>1</v>
      </c>
      <c r="O13" s="33">
        <f t="shared" si="2"/>
        <v>6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FEW</v>
      </c>
      <c r="X13" s="34">
        <f t="shared" si="10"/>
        <v>0</v>
      </c>
      <c r="Y13" s="34">
        <f t="shared" si="11"/>
        <v>800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51" t="s">
        <v>39</v>
      </c>
      <c r="D14" s="52"/>
      <c r="E14" s="51">
        <v>0</v>
      </c>
      <c r="F14" s="51">
        <v>0</v>
      </c>
      <c r="G14" s="51">
        <v>0</v>
      </c>
      <c r="H14" s="51">
        <v>8000</v>
      </c>
      <c r="I14" s="51">
        <v>0</v>
      </c>
      <c r="J14" s="51" t="s">
        <v>58</v>
      </c>
      <c r="K14" s="51">
        <v>800</v>
      </c>
      <c r="L14" s="1" t="s">
        <v>653</v>
      </c>
      <c r="M14" s="32">
        <f t="shared" si="0"/>
        <v>140</v>
      </c>
      <c r="N14" s="33">
        <f t="shared" si="1"/>
        <v>1</v>
      </c>
      <c r="O14" s="33">
        <f t="shared" si="2"/>
        <v>4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FEW</v>
      </c>
      <c r="X14" s="34">
        <f t="shared" si="10"/>
        <v>0</v>
      </c>
      <c r="Y14" s="34">
        <f t="shared" si="11"/>
        <v>800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51" t="s">
        <v>39</v>
      </c>
      <c r="D15" s="52"/>
      <c r="E15" s="51">
        <v>0</v>
      </c>
      <c r="F15" s="51">
        <v>0</v>
      </c>
      <c r="G15" s="51">
        <v>0</v>
      </c>
      <c r="H15" s="51">
        <v>8000</v>
      </c>
      <c r="I15" s="51">
        <v>0</v>
      </c>
      <c r="J15" s="51" t="s">
        <v>58</v>
      </c>
      <c r="K15" s="51">
        <v>800</v>
      </c>
      <c r="L15" t="s">
        <v>655</v>
      </c>
      <c r="M15" s="32">
        <f t="shared" ref="M15:M18" si="14">IF(ISNUMBER(VALUE(FIND("VRB",L15))),999,VALUE(MID(L15,20,3)))</f>
        <v>140</v>
      </c>
      <c r="N15" s="33">
        <f t="shared" ref="N15:N18" si="15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8" si="16">VALUE(MID(L15,23,2))</f>
        <v>4</v>
      </c>
      <c r="P15" s="33">
        <f t="shared" ref="P15:P18" si="17">IF(ABS(O15-F15)&lt;11,1,0)</f>
        <v>1</v>
      </c>
      <c r="Q15" s="34">
        <f t="shared" ref="Q15:Q18" si="18">IF(MID(L15,25,1)="G","GUST",0)</f>
        <v>0</v>
      </c>
      <c r="R15" s="33">
        <f t="shared" ref="R15:R18" si="19">IF(G15=Q15,1,0)</f>
        <v>1</v>
      </c>
      <c r="S15" s="34">
        <f t="shared" si="13"/>
        <v>8000</v>
      </c>
      <c r="T15" s="34">
        <f t="shared" si="6"/>
        <v>1</v>
      </c>
      <c r="U15" s="34">
        <f>IF(AND(IFERROR(FIND("RA",#REF!),0)&gt;0, IFERROR(FIND("RA",#REF!),0)&lt;38),"RA",0)</f>
        <v>0</v>
      </c>
      <c r="V15" s="34">
        <f t="shared" si="8"/>
        <v>1</v>
      </c>
      <c r="W15" s="34" t="str">
        <f t="shared" ref="W15:W18" si="20"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FEW</v>
      </c>
      <c r="X15" s="34">
        <f t="shared" ref="X15:X18" si="21">IF(OR(AND(OR(J15="SKC",J15="FEW",J15="SCT"),OR(W15="SKC",W15="FEW",W15="SCT")),(AND(OR(J15="BKN",J15="OVC"),OR(W15="BKN",W15="OVC")))),1,0)</f>
        <v>0</v>
      </c>
      <c r="Y15" s="34">
        <f t="shared" ref="Y15:Y18" si="22">IF(ISNUMBER(VALUE(FIND("CAVOK",L15))),9999,IF(ISNUMBER(VALUE(FIND("NSC",L15))),9999,(MID(L15,(FIND(W15,L15)+4),2))*100))</f>
        <v>800</v>
      </c>
      <c r="Z15" s="34">
        <f t="shared" ref="Z15:Z18" si="23">IF(AND(Y15&lt;1001,ABS(K15-Y15)&lt;101),1,IF(AND(Y15&gt;1000,ABS(Y15-K15)/K15&lt;0.30005),1,0))</f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51" t="s">
        <v>40</v>
      </c>
      <c r="D16" s="52"/>
      <c r="E16" s="51">
        <v>140</v>
      </c>
      <c r="F16" s="51">
        <v>2</v>
      </c>
      <c r="G16" s="51">
        <v>0</v>
      </c>
      <c r="H16" s="51">
        <v>4000</v>
      </c>
      <c r="I16" s="51" t="s">
        <v>52</v>
      </c>
      <c r="J16" s="51" t="s">
        <v>51</v>
      </c>
      <c r="K16" s="51">
        <v>800</v>
      </c>
      <c r="L16" t="s">
        <v>656</v>
      </c>
      <c r="M16" s="32">
        <f t="shared" si="14"/>
        <v>140</v>
      </c>
      <c r="N16" s="33">
        <f t="shared" si="15"/>
        <v>1</v>
      </c>
      <c r="O16" s="33">
        <f t="shared" si="16"/>
        <v>5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6"/>
        <v>0</v>
      </c>
      <c r="U16" s="34">
        <f>IF(AND(IFERROR(FIND("RA",#REF!),0)&gt;0, IFERROR(FIND("RA",#REF!),0)&lt;38),"RA",0)</f>
        <v>0</v>
      </c>
      <c r="V16" s="34">
        <f t="shared" si="8"/>
        <v>0</v>
      </c>
      <c r="W16" s="34" t="str">
        <f t="shared" si="20"/>
        <v>FEW</v>
      </c>
      <c r="X16" s="34">
        <f t="shared" si="21"/>
        <v>1</v>
      </c>
      <c r="Y16" s="34">
        <f t="shared" si="22"/>
        <v>800</v>
      </c>
      <c r="Z16" s="34">
        <f t="shared" si="23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51" t="s">
        <v>40</v>
      </c>
      <c r="D17" s="52"/>
      <c r="E17" s="51">
        <v>140</v>
      </c>
      <c r="F17" s="51">
        <v>2</v>
      </c>
      <c r="G17" s="51">
        <v>0</v>
      </c>
      <c r="H17" s="51">
        <v>4000</v>
      </c>
      <c r="I17" s="51" t="s">
        <v>52</v>
      </c>
      <c r="J17" s="51" t="s">
        <v>51</v>
      </c>
      <c r="K17" s="51">
        <v>800</v>
      </c>
      <c r="L17" t="s">
        <v>657</v>
      </c>
      <c r="M17" s="32">
        <f t="shared" si="14"/>
        <v>150</v>
      </c>
      <c r="N17" s="33">
        <f t="shared" si="15"/>
        <v>1</v>
      </c>
      <c r="O17" s="33">
        <f t="shared" si="16"/>
        <v>3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8000</v>
      </c>
      <c r="T17" s="34">
        <f t="shared" si="6"/>
        <v>0</v>
      </c>
      <c r="U17" s="34">
        <f>IF(AND(IFERROR(FIND("RA",#REF!),0)&gt;0, IFERROR(FIND("RA",#REF!),0)&lt;38),"RA",0)</f>
        <v>0</v>
      </c>
      <c r="V17" s="34">
        <f t="shared" si="8"/>
        <v>0</v>
      </c>
      <c r="W17" s="34" t="str">
        <f t="shared" si="20"/>
        <v>FEW</v>
      </c>
      <c r="X17" s="34">
        <f t="shared" si="21"/>
        <v>1</v>
      </c>
      <c r="Y17" s="34">
        <f t="shared" si="22"/>
        <v>800</v>
      </c>
      <c r="Z17" s="34">
        <f t="shared" si="23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51" t="s">
        <v>40</v>
      </c>
      <c r="D18" s="52"/>
      <c r="E18" s="51">
        <v>140</v>
      </c>
      <c r="F18" s="51">
        <v>2</v>
      </c>
      <c r="G18" s="51">
        <v>0</v>
      </c>
      <c r="H18" s="51">
        <v>4000</v>
      </c>
      <c r="I18" s="51" t="s">
        <v>52</v>
      </c>
      <c r="J18" s="51" t="s">
        <v>51</v>
      </c>
      <c r="K18" s="51">
        <v>800</v>
      </c>
      <c r="L18" t="s">
        <v>658</v>
      </c>
      <c r="M18" s="32">
        <f t="shared" si="14"/>
        <v>150</v>
      </c>
      <c r="N18" s="33">
        <f t="shared" si="15"/>
        <v>1</v>
      </c>
      <c r="O18" s="33">
        <f t="shared" si="16"/>
        <v>2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8000</v>
      </c>
      <c r="T18" s="34">
        <f t="shared" si="6"/>
        <v>0</v>
      </c>
      <c r="U18" s="34">
        <f>IF(AND(IFERROR(FIND("RA",#REF!),0)&gt;0, IFERROR(FIND("RA",#REF!),0)&lt;38),"RA",0)</f>
        <v>0</v>
      </c>
      <c r="V18" s="34">
        <f t="shared" si="8"/>
        <v>0</v>
      </c>
      <c r="W18" s="34" t="str">
        <f t="shared" si="20"/>
        <v>FEW</v>
      </c>
      <c r="X18" s="34">
        <f t="shared" si="21"/>
        <v>1</v>
      </c>
      <c r="Y18" s="34">
        <f t="shared" si="22"/>
        <v>800</v>
      </c>
      <c r="Z18" s="34">
        <f t="shared" si="23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9</v>
      </c>
      <c r="U23" s="25"/>
      <c r="V23" s="25">
        <f>SUM(V7:V18)</f>
        <v>9</v>
      </c>
      <c r="W23" s="25"/>
      <c r="X23" s="25">
        <f>SUM(X7:X18)</f>
        <v>9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9</v>
      </c>
      <c r="O24" s="25"/>
      <c r="P24" s="25">
        <f>SUMIF($C7:$C18,"GENERAL",P7:P18)</f>
        <v>9</v>
      </c>
      <c r="Q24" s="25"/>
      <c r="R24" s="25">
        <f>SUMIF($C7:$C18,"GENERAL",R7:R18)</f>
        <v>9</v>
      </c>
      <c r="S24" s="25"/>
      <c r="T24" s="25">
        <f>SUMIF($C7:$C18,"GENERAL",T7:T18)</f>
        <v>9</v>
      </c>
      <c r="U24" s="25"/>
      <c r="V24" s="25">
        <f>SUMIF($C7:$C18,"GENERAL",V7:V18)</f>
        <v>9</v>
      </c>
      <c r="W24" s="25"/>
      <c r="X24" s="25">
        <f>SUMIF($C7:$C18,"GENERAL",X7:X18)</f>
        <v>6</v>
      </c>
      <c r="Y24" s="25"/>
      <c r="Z24" s="25">
        <f>SUMIF($C7:$C18,"GENERAL",Z7:Z18)</f>
        <v>9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3</v>
      </c>
      <c r="M27" s="42">
        <f>SUMIF($C7:$C18,"TEMPO",N7:N18)</f>
        <v>3</v>
      </c>
      <c r="N27" s="42">
        <f>M27</f>
        <v>3</v>
      </c>
      <c r="O27" s="42">
        <f>SUMIF($C7:$C18,"TEMPO",P7:P18)</f>
        <v>3</v>
      </c>
      <c r="P27" s="42">
        <f>O27</f>
        <v>3</v>
      </c>
      <c r="Q27" s="42">
        <f>SUMIF($C7:$C18,"TEMPO",R7:R18)</f>
        <v>3</v>
      </c>
      <c r="R27" s="42">
        <f>Q27</f>
        <v>3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3</v>
      </c>
      <c r="X27" s="42">
        <f>W27</f>
        <v>3</v>
      </c>
      <c r="Y27" s="42">
        <f>SUMIF($C7:$C18,"TEMPO",Z7:Z18)</f>
        <v>3</v>
      </c>
      <c r="Z27" s="42">
        <f>Y27</f>
        <v>3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75</v>
      </c>
      <c r="U28" s="38"/>
      <c r="V28" s="38">
        <f>(SUM(V24:V27)/COUNTA(V7:V18))*100</f>
        <v>75</v>
      </c>
      <c r="W28" s="38"/>
      <c r="X28" s="38">
        <f>(SUM(X24:X27)/COUNTA(X7:X18))*100</f>
        <v>75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630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22</v>
      </c>
      <c r="B36" s="28">
        <v>0.25</v>
      </c>
      <c r="C36" s="51" t="s">
        <v>39</v>
      </c>
      <c r="D36" s="30"/>
      <c r="E36" s="29">
        <v>120</v>
      </c>
      <c r="F36" s="29">
        <v>3</v>
      </c>
      <c r="G36" s="29">
        <v>0</v>
      </c>
      <c r="H36" s="29">
        <v>8000</v>
      </c>
      <c r="I36" s="29">
        <v>0</v>
      </c>
      <c r="J36" s="29" t="s">
        <v>58</v>
      </c>
      <c r="K36" s="29">
        <v>800</v>
      </c>
      <c r="L36" s="65" t="s">
        <v>652</v>
      </c>
      <c r="M36" s="32">
        <f t="shared" ref="M36:M41" si="24">IF(ISNUMBER(VALUE(FIND("VRB",L36))),999,VALUE(MID(L36,20,3)))</f>
        <v>130</v>
      </c>
      <c r="N36" s="33">
        <f t="shared" ref="N36:N41" si="2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6">VALUE(MID(L36,23,2))</f>
        <v>6</v>
      </c>
      <c r="P36" s="33">
        <f t="shared" ref="P36:P41" si="27">IF(ABS(O36-F36)&lt;11,1,0)</f>
        <v>1</v>
      </c>
      <c r="Q36" s="34">
        <f t="shared" ref="Q36:Q41" si="28">IF(MID(L36,25,1)="G","GUST",0)</f>
        <v>0</v>
      </c>
      <c r="R36" s="33">
        <f t="shared" ref="R36:R41" si="2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3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1">IF(AND(IFERROR(FIND("RA",L36),0)&gt;0, IFERROR(FIND("RA",L36),0)&lt;38),"RA",0)</f>
        <v>0</v>
      </c>
      <c r="V36" s="34">
        <f t="shared" ref="V36:V41" si="32">IF(U36=I36,1,0)</f>
        <v>1</v>
      </c>
      <c r="W36" s="34" t="str">
        <f t="shared" ref="W36:W41" si="3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FEW</v>
      </c>
      <c r="X36" s="34">
        <f t="shared" ref="X36:X41" si="34">IF(OR(AND(OR(J36="SKC",J36="FEW",J36="SCT"),OR(W36="SKC",W36="FEW",W36="SCT")),(AND(OR(J36="BKN",J36="OVC"),OR(W36="BKN",W36="OVC")))),1,0)</f>
        <v>0</v>
      </c>
      <c r="Y36" s="34">
        <f t="shared" ref="Y36:Y41" si="35">IF(ISNUMBER(VALUE(FIND("CAVOK",L36))),9999,IF(ISNUMBER(VALUE(FIND("NSC",L36))),9999,(MID(L36,(FIND(W36,L36)+4),2))*100))</f>
        <v>800</v>
      </c>
      <c r="Z36" s="34">
        <f t="shared" ref="Z36:Z41" si="3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51" t="s">
        <v>39</v>
      </c>
      <c r="D37" s="30"/>
      <c r="E37" s="29">
        <v>120</v>
      </c>
      <c r="F37" s="29">
        <v>3</v>
      </c>
      <c r="G37" s="29">
        <v>0</v>
      </c>
      <c r="H37" s="29">
        <v>8000</v>
      </c>
      <c r="I37" s="29">
        <v>0</v>
      </c>
      <c r="J37" s="29" t="s">
        <v>58</v>
      </c>
      <c r="K37" s="29">
        <v>800</v>
      </c>
      <c r="L37" s="1" t="s">
        <v>653</v>
      </c>
      <c r="M37" s="32">
        <f t="shared" si="24"/>
        <v>140</v>
      </c>
      <c r="N37" s="33">
        <f t="shared" si="25"/>
        <v>1</v>
      </c>
      <c r="O37" s="33">
        <f t="shared" si="26"/>
        <v>4</v>
      </c>
      <c r="P37" s="33">
        <f t="shared" si="27"/>
        <v>1</v>
      </c>
      <c r="Q37" s="34">
        <f t="shared" si="28"/>
        <v>0</v>
      </c>
      <c r="R37" s="33">
        <f t="shared" si="29"/>
        <v>1</v>
      </c>
      <c r="S37" s="34">
        <f t="shared" ref="S37:S41" si="3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0"/>
        <v>1</v>
      </c>
      <c r="U37" s="34">
        <f t="shared" si="31"/>
        <v>0</v>
      </c>
      <c r="V37" s="34">
        <f t="shared" si="32"/>
        <v>1</v>
      </c>
      <c r="W37" s="34" t="str">
        <f t="shared" si="33"/>
        <v>FEW</v>
      </c>
      <c r="X37" s="34">
        <f t="shared" si="34"/>
        <v>0</v>
      </c>
      <c r="Y37" s="34">
        <f t="shared" si="35"/>
        <v>800</v>
      </c>
      <c r="Z37" s="34">
        <f t="shared" si="3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51" t="s">
        <v>39</v>
      </c>
      <c r="D38" s="30"/>
      <c r="E38" s="29">
        <v>120</v>
      </c>
      <c r="F38" s="29">
        <v>3</v>
      </c>
      <c r="G38" s="29">
        <v>0</v>
      </c>
      <c r="H38" s="29">
        <v>8000</v>
      </c>
      <c r="I38" s="29">
        <v>0</v>
      </c>
      <c r="J38" s="29" t="s">
        <v>58</v>
      </c>
      <c r="K38" s="29">
        <v>800</v>
      </c>
      <c r="L38" t="s">
        <v>655</v>
      </c>
      <c r="M38" s="32">
        <f t="shared" si="24"/>
        <v>140</v>
      </c>
      <c r="N38" s="33">
        <f t="shared" si="25"/>
        <v>1</v>
      </c>
      <c r="O38" s="33">
        <f t="shared" si="26"/>
        <v>4</v>
      </c>
      <c r="P38" s="33">
        <f t="shared" si="27"/>
        <v>1</v>
      </c>
      <c r="Q38" s="34">
        <f t="shared" si="28"/>
        <v>0</v>
      </c>
      <c r="R38" s="33">
        <f t="shared" si="29"/>
        <v>1</v>
      </c>
      <c r="S38" s="34">
        <f t="shared" si="37"/>
        <v>8000</v>
      </c>
      <c r="T38" s="34">
        <f t="shared" si="30"/>
        <v>1</v>
      </c>
      <c r="U38" s="34">
        <f t="shared" si="31"/>
        <v>0</v>
      </c>
      <c r="V38" s="34">
        <f t="shared" si="32"/>
        <v>1</v>
      </c>
      <c r="W38" s="34" t="str">
        <f t="shared" si="33"/>
        <v>FEW</v>
      </c>
      <c r="X38" s="34">
        <f t="shared" si="34"/>
        <v>0</v>
      </c>
      <c r="Y38" s="34">
        <f t="shared" si="35"/>
        <v>800</v>
      </c>
      <c r="Z38" s="34">
        <f t="shared" si="3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51" t="s">
        <v>40</v>
      </c>
      <c r="D39" s="30"/>
      <c r="E39" s="29">
        <v>220</v>
      </c>
      <c r="F39" s="29">
        <v>2</v>
      </c>
      <c r="G39" s="29">
        <v>0</v>
      </c>
      <c r="H39" s="29">
        <v>4000</v>
      </c>
      <c r="I39" s="29" t="s">
        <v>52</v>
      </c>
      <c r="J39" s="29" t="s">
        <v>51</v>
      </c>
      <c r="K39" s="29">
        <v>800</v>
      </c>
      <c r="L39" t="s">
        <v>656</v>
      </c>
      <c r="M39" s="32">
        <f t="shared" si="24"/>
        <v>140</v>
      </c>
      <c r="N39" s="33">
        <f t="shared" si="25"/>
        <v>1</v>
      </c>
      <c r="O39" s="33">
        <f t="shared" si="26"/>
        <v>5</v>
      </c>
      <c r="P39" s="33">
        <f t="shared" si="27"/>
        <v>1</v>
      </c>
      <c r="Q39" s="34">
        <f t="shared" si="28"/>
        <v>0</v>
      </c>
      <c r="R39" s="33">
        <f t="shared" si="29"/>
        <v>1</v>
      </c>
      <c r="S39" s="34">
        <f t="shared" si="37"/>
        <v>8000</v>
      </c>
      <c r="T39" s="34">
        <f t="shared" si="30"/>
        <v>0</v>
      </c>
      <c r="U39" s="34">
        <f t="shared" si="31"/>
        <v>0</v>
      </c>
      <c r="V39" s="34">
        <f t="shared" si="32"/>
        <v>0</v>
      </c>
      <c r="W39" s="34" t="str">
        <f t="shared" si="33"/>
        <v>FEW</v>
      </c>
      <c r="X39" s="34">
        <f t="shared" si="34"/>
        <v>1</v>
      </c>
      <c r="Y39" s="34">
        <f t="shared" si="35"/>
        <v>800</v>
      </c>
      <c r="Z39" s="34">
        <f t="shared" si="3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51" t="s">
        <v>40</v>
      </c>
      <c r="D40" s="30"/>
      <c r="E40" s="29">
        <v>220</v>
      </c>
      <c r="F40" s="29">
        <v>2</v>
      </c>
      <c r="G40" s="29">
        <v>0</v>
      </c>
      <c r="H40" s="29">
        <v>4000</v>
      </c>
      <c r="I40" s="29" t="s">
        <v>52</v>
      </c>
      <c r="J40" s="29" t="s">
        <v>51</v>
      </c>
      <c r="K40" s="29">
        <v>800</v>
      </c>
      <c r="L40" t="s">
        <v>657</v>
      </c>
      <c r="M40" s="32">
        <f t="shared" si="24"/>
        <v>150</v>
      </c>
      <c r="N40" s="33">
        <f t="shared" si="25"/>
        <v>1</v>
      </c>
      <c r="O40" s="33">
        <f t="shared" si="26"/>
        <v>3</v>
      </c>
      <c r="P40" s="33">
        <f t="shared" si="27"/>
        <v>1</v>
      </c>
      <c r="Q40" s="34">
        <f t="shared" si="28"/>
        <v>0</v>
      </c>
      <c r="R40" s="33">
        <f t="shared" si="29"/>
        <v>1</v>
      </c>
      <c r="S40" s="34">
        <f t="shared" si="37"/>
        <v>8000</v>
      </c>
      <c r="T40" s="34">
        <f t="shared" si="30"/>
        <v>0</v>
      </c>
      <c r="U40" s="34">
        <f t="shared" si="31"/>
        <v>0</v>
      </c>
      <c r="V40" s="34">
        <f t="shared" si="32"/>
        <v>0</v>
      </c>
      <c r="W40" s="34" t="str">
        <f t="shared" si="33"/>
        <v>FEW</v>
      </c>
      <c r="X40" s="34">
        <f t="shared" si="34"/>
        <v>1</v>
      </c>
      <c r="Y40" s="34">
        <f t="shared" si="35"/>
        <v>800</v>
      </c>
      <c r="Z40" s="34">
        <f t="shared" si="3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51" t="s">
        <v>40</v>
      </c>
      <c r="D41" s="30"/>
      <c r="E41" s="29">
        <v>220</v>
      </c>
      <c r="F41" s="29">
        <v>2</v>
      </c>
      <c r="G41" s="29">
        <v>0</v>
      </c>
      <c r="H41" s="29">
        <v>4000</v>
      </c>
      <c r="I41" s="29" t="s">
        <v>52</v>
      </c>
      <c r="J41" s="29" t="s">
        <v>51</v>
      </c>
      <c r="K41" s="29">
        <v>800</v>
      </c>
      <c r="L41" t="s">
        <v>658</v>
      </c>
      <c r="M41" s="32">
        <f t="shared" si="24"/>
        <v>150</v>
      </c>
      <c r="N41" s="33">
        <f t="shared" si="25"/>
        <v>1</v>
      </c>
      <c r="O41" s="33">
        <f t="shared" si="26"/>
        <v>2</v>
      </c>
      <c r="P41" s="33">
        <f t="shared" si="27"/>
        <v>1</v>
      </c>
      <c r="Q41" s="34">
        <f t="shared" si="28"/>
        <v>0</v>
      </c>
      <c r="R41" s="33">
        <f t="shared" si="29"/>
        <v>1</v>
      </c>
      <c r="S41" s="34">
        <f t="shared" si="37"/>
        <v>8000</v>
      </c>
      <c r="T41" s="34">
        <f t="shared" si="30"/>
        <v>0</v>
      </c>
      <c r="U41" s="34">
        <f t="shared" si="31"/>
        <v>0</v>
      </c>
      <c r="V41" s="34">
        <f t="shared" si="32"/>
        <v>0</v>
      </c>
      <c r="W41" s="34" t="str">
        <f t="shared" si="33"/>
        <v>FEW</v>
      </c>
      <c r="X41" s="34">
        <f t="shared" si="34"/>
        <v>1</v>
      </c>
      <c r="Y41" s="34">
        <f t="shared" si="35"/>
        <v>800</v>
      </c>
      <c r="Z41" s="34">
        <f t="shared" si="3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51" t="s">
        <v>39</v>
      </c>
      <c r="D42" s="30"/>
      <c r="E42" s="29">
        <v>120</v>
      </c>
      <c r="F42" s="29">
        <v>3</v>
      </c>
      <c r="G42" s="29">
        <v>0</v>
      </c>
      <c r="H42" s="29">
        <v>8000</v>
      </c>
      <c r="I42" s="29">
        <v>0</v>
      </c>
      <c r="J42" s="29" t="s">
        <v>58</v>
      </c>
      <c r="K42" s="29">
        <v>800</v>
      </c>
      <c r="L42" t="s">
        <v>664</v>
      </c>
      <c r="M42" s="32">
        <f t="shared" ref="M42:M47" si="38">IF(ISNUMBER(VALUE(FIND("VRB",L42))),999,VALUE(MID(L42,20,3)))</f>
        <v>0</v>
      </c>
      <c r="N42" s="33">
        <f t="shared" ref="N42:N47" si="39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0">VALUE(MID(L42,23,2))</f>
        <v>0</v>
      </c>
      <c r="P42" s="33">
        <f t="shared" ref="P42:P47" si="41">IF(ABS(O42-F42)&lt;11,1,0)</f>
        <v>1</v>
      </c>
      <c r="Q42" s="34">
        <f t="shared" ref="Q42:Q47" si="42">IF(MID(L42,25,1)="G","GUST",0)</f>
        <v>0</v>
      </c>
      <c r="R42" s="33">
        <f t="shared" ref="R42:R47" si="43">IF(G42=Q42,1,0)</f>
        <v>1</v>
      </c>
      <c r="S42" s="34">
        <f t="shared" ref="S42:S47" si="44">IF(ISNUMBER(VALUE(MID(L42,(FIND("KT",L42,FIND("Z",L42))+3),4))),VALUE(MID(L42,(FIND("KT",L42,FIND("Z",L42))+3),4)),IF(ISNUMBER(VALUE(MID(L42,(FIND("0V",L42)+6),4))),VALUE(MID(L42,(FIND("0V",L42)+6),4)),9999))</f>
        <v>8000</v>
      </c>
      <c r="T42" s="34">
        <f t="shared" ref="T42:T47" si="45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>
        <f t="shared" ref="U42:U47" si="46">IF(AND(IFERROR(FIND("RA",L42),0)&gt;0, IFERROR(FIND("RA",L42),0)&lt;38),"RA",0)</f>
        <v>0</v>
      </c>
      <c r="V42" s="34">
        <f t="shared" ref="V42:V47" si="47">IF(U42=I42,1,0)</f>
        <v>1</v>
      </c>
      <c r="W42" s="34" t="str">
        <f t="shared" ref="W42:W47" si="48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FEW</v>
      </c>
      <c r="X42" s="34">
        <f t="shared" ref="X42:X47" si="49">IF(OR(AND(OR(J42="SKC",J42="FEW",J42="SCT"),OR(W42="SKC",W42="FEW",W42="SCT")),(AND(OR(J42="BKN",J42="OVC"),OR(W42="BKN",W42="OVC")))),1,0)</f>
        <v>0</v>
      </c>
      <c r="Y42" s="34">
        <f t="shared" ref="Y42:Y47" si="50">IF(ISNUMBER(VALUE(FIND("CAVOK",L42))),9999,IF(ISNUMBER(VALUE(FIND("NSC",L42))),9999,(MID(L42,(FIND(W42,L42)+4),2))*100))</f>
        <v>800</v>
      </c>
      <c r="Z42" s="34">
        <f t="shared" ref="Z42:Z47" si="51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51" t="s">
        <v>39</v>
      </c>
      <c r="D43" s="30"/>
      <c r="E43" s="29">
        <v>120</v>
      </c>
      <c r="F43" s="29">
        <v>3</v>
      </c>
      <c r="G43" s="29">
        <v>0</v>
      </c>
      <c r="H43" s="29">
        <v>8000</v>
      </c>
      <c r="I43" s="29">
        <v>0</v>
      </c>
      <c r="J43" s="29" t="s">
        <v>58</v>
      </c>
      <c r="K43" s="29">
        <v>800</v>
      </c>
      <c r="L43" t="s">
        <v>663</v>
      </c>
      <c r="M43" s="32">
        <f t="shared" si="38"/>
        <v>0</v>
      </c>
      <c r="N43" s="33">
        <f t="shared" si="39"/>
        <v>1</v>
      </c>
      <c r="O43" s="33">
        <f t="shared" si="40"/>
        <v>0</v>
      </c>
      <c r="P43" s="33">
        <f t="shared" si="41"/>
        <v>1</v>
      </c>
      <c r="Q43" s="34">
        <f t="shared" si="42"/>
        <v>0</v>
      </c>
      <c r="R43" s="33">
        <f t="shared" si="43"/>
        <v>1</v>
      </c>
      <c r="S43" s="34">
        <f t="shared" si="44"/>
        <v>8000</v>
      </c>
      <c r="T43" s="34">
        <f t="shared" si="45"/>
        <v>1</v>
      </c>
      <c r="U43" s="34">
        <f t="shared" si="46"/>
        <v>0</v>
      </c>
      <c r="V43" s="34">
        <f t="shared" si="47"/>
        <v>1</v>
      </c>
      <c r="W43" s="34" t="str">
        <f t="shared" si="48"/>
        <v>FEW</v>
      </c>
      <c r="X43" s="34">
        <f t="shared" si="49"/>
        <v>0</v>
      </c>
      <c r="Y43" s="34">
        <f t="shared" si="50"/>
        <v>800</v>
      </c>
      <c r="Z43" s="34">
        <f t="shared" si="51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51" t="s">
        <v>39</v>
      </c>
      <c r="D44" s="30"/>
      <c r="E44" s="29">
        <v>120</v>
      </c>
      <c r="F44" s="29">
        <v>3</v>
      </c>
      <c r="G44" s="29">
        <v>0</v>
      </c>
      <c r="H44" s="29">
        <v>8000</v>
      </c>
      <c r="I44" s="29">
        <v>0</v>
      </c>
      <c r="J44" s="29" t="s">
        <v>58</v>
      </c>
      <c r="K44" s="29">
        <v>800</v>
      </c>
      <c r="L44" t="s">
        <v>662</v>
      </c>
      <c r="M44" s="32">
        <f t="shared" si="38"/>
        <v>0</v>
      </c>
      <c r="N44" s="33">
        <f t="shared" si="39"/>
        <v>1</v>
      </c>
      <c r="O44" s="33">
        <f t="shared" si="40"/>
        <v>0</v>
      </c>
      <c r="P44" s="33">
        <f t="shared" si="41"/>
        <v>1</v>
      </c>
      <c r="Q44" s="34">
        <f t="shared" si="42"/>
        <v>0</v>
      </c>
      <c r="R44" s="33">
        <f t="shared" si="43"/>
        <v>1</v>
      </c>
      <c r="S44" s="34">
        <f t="shared" si="44"/>
        <v>8000</v>
      </c>
      <c r="T44" s="34">
        <f t="shared" si="45"/>
        <v>1</v>
      </c>
      <c r="U44" s="34">
        <f t="shared" si="46"/>
        <v>0</v>
      </c>
      <c r="V44" s="34">
        <f t="shared" si="47"/>
        <v>1</v>
      </c>
      <c r="W44" s="34" t="str">
        <f t="shared" si="48"/>
        <v>FEW</v>
      </c>
      <c r="X44" s="34">
        <f t="shared" si="49"/>
        <v>0</v>
      </c>
      <c r="Y44" s="34">
        <f t="shared" si="50"/>
        <v>800</v>
      </c>
      <c r="Z44" s="34">
        <f t="shared" si="51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51" t="s">
        <v>39</v>
      </c>
      <c r="D45" s="30"/>
      <c r="E45" s="29">
        <v>120</v>
      </c>
      <c r="F45" s="29">
        <v>3</v>
      </c>
      <c r="G45" s="29">
        <v>0</v>
      </c>
      <c r="H45" s="29">
        <v>8000</v>
      </c>
      <c r="I45" s="29">
        <v>0</v>
      </c>
      <c r="J45" s="29" t="s">
        <v>58</v>
      </c>
      <c r="K45" s="29">
        <v>800</v>
      </c>
      <c r="L45" t="s">
        <v>661</v>
      </c>
      <c r="M45" s="32">
        <f t="shared" si="38"/>
        <v>150</v>
      </c>
      <c r="N45" s="33">
        <f t="shared" si="39"/>
        <v>1</v>
      </c>
      <c r="O45" s="33">
        <f t="shared" si="40"/>
        <v>3</v>
      </c>
      <c r="P45" s="33">
        <f t="shared" si="41"/>
        <v>1</v>
      </c>
      <c r="Q45" s="34">
        <f t="shared" si="42"/>
        <v>0</v>
      </c>
      <c r="R45" s="33">
        <f t="shared" si="43"/>
        <v>1</v>
      </c>
      <c r="S45" s="34">
        <f t="shared" si="44"/>
        <v>8000</v>
      </c>
      <c r="T45" s="34">
        <f t="shared" si="45"/>
        <v>1</v>
      </c>
      <c r="U45" s="34">
        <f t="shared" si="46"/>
        <v>0</v>
      </c>
      <c r="V45" s="34">
        <f t="shared" si="47"/>
        <v>1</v>
      </c>
      <c r="W45" s="34" t="str">
        <f t="shared" si="48"/>
        <v>FEW</v>
      </c>
      <c r="X45" s="34">
        <f t="shared" si="49"/>
        <v>0</v>
      </c>
      <c r="Y45" s="34">
        <f t="shared" si="50"/>
        <v>800</v>
      </c>
      <c r="Z45" s="34">
        <f t="shared" si="51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51" t="s">
        <v>39</v>
      </c>
      <c r="D46" s="30"/>
      <c r="E46" s="29">
        <v>120</v>
      </c>
      <c r="F46" s="29">
        <v>3</v>
      </c>
      <c r="G46" s="29">
        <v>0</v>
      </c>
      <c r="H46" s="29">
        <v>8000</v>
      </c>
      <c r="I46" s="29">
        <v>0</v>
      </c>
      <c r="J46" s="29" t="s">
        <v>58</v>
      </c>
      <c r="K46" s="29">
        <v>800</v>
      </c>
      <c r="L46" t="s">
        <v>660</v>
      </c>
      <c r="M46" s="32">
        <f t="shared" si="38"/>
        <v>130</v>
      </c>
      <c r="N46" s="33">
        <f t="shared" si="39"/>
        <v>1</v>
      </c>
      <c r="O46" s="33">
        <f t="shared" si="40"/>
        <v>3</v>
      </c>
      <c r="P46" s="33">
        <f t="shared" si="41"/>
        <v>1</v>
      </c>
      <c r="Q46" s="34">
        <f t="shared" si="42"/>
        <v>0</v>
      </c>
      <c r="R46" s="33">
        <f t="shared" si="43"/>
        <v>1</v>
      </c>
      <c r="S46" s="34">
        <f t="shared" si="44"/>
        <v>8000</v>
      </c>
      <c r="T46" s="34">
        <f t="shared" si="45"/>
        <v>1</v>
      </c>
      <c r="U46" s="34">
        <f t="shared" si="46"/>
        <v>0</v>
      </c>
      <c r="V46" s="34">
        <f t="shared" si="47"/>
        <v>1</v>
      </c>
      <c r="W46" s="34" t="str">
        <f t="shared" si="48"/>
        <v>FEW</v>
      </c>
      <c r="X46" s="34">
        <f t="shared" si="49"/>
        <v>0</v>
      </c>
      <c r="Y46" s="34">
        <f t="shared" si="50"/>
        <v>800</v>
      </c>
      <c r="Z46" s="34">
        <f t="shared" si="51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51" t="s">
        <v>39</v>
      </c>
      <c r="D47" s="30"/>
      <c r="E47" s="29">
        <v>120</v>
      </c>
      <c r="F47" s="29">
        <v>3</v>
      </c>
      <c r="G47" s="29">
        <v>0</v>
      </c>
      <c r="H47" s="29">
        <v>8000</v>
      </c>
      <c r="I47" s="29">
        <v>0</v>
      </c>
      <c r="J47" s="29" t="s">
        <v>58</v>
      </c>
      <c r="K47" s="29">
        <v>800</v>
      </c>
      <c r="L47" t="s">
        <v>659</v>
      </c>
      <c r="M47" s="32">
        <f t="shared" si="38"/>
        <v>150</v>
      </c>
      <c r="N47" s="33">
        <f t="shared" si="39"/>
        <v>1</v>
      </c>
      <c r="O47" s="33">
        <f t="shared" si="40"/>
        <v>2</v>
      </c>
      <c r="P47" s="33">
        <f t="shared" si="41"/>
        <v>1</v>
      </c>
      <c r="Q47" s="34">
        <f t="shared" si="42"/>
        <v>0</v>
      </c>
      <c r="R47" s="33">
        <f t="shared" si="43"/>
        <v>1</v>
      </c>
      <c r="S47" s="34">
        <f t="shared" si="44"/>
        <v>8000</v>
      </c>
      <c r="T47" s="34">
        <f t="shared" si="45"/>
        <v>1</v>
      </c>
      <c r="U47" s="34">
        <f t="shared" si="46"/>
        <v>0</v>
      </c>
      <c r="V47" s="34">
        <f t="shared" si="47"/>
        <v>1</v>
      </c>
      <c r="W47" s="34" t="str">
        <f t="shared" si="48"/>
        <v>FEW</v>
      </c>
      <c r="X47" s="34">
        <f t="shared" si="49"/>
        <v>0</v>
      </c>
      <c r="Y47" s="34">
        <f t="shared" si="50"/>
        <v>800</v>
      </c>
      <c r="Z47" s="34">
        <f t="shared" si="51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9</v>
      </c>
      <c r="W52" s="25"/>
      <c r="X52" s="25">
        <f>SUM(X36:X47)</f>
        <v>3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9</v>
      </c>
      <c r="U53" s="25"/>
      <c r="V53" s="25">
        <f>SUMIF($C36:$C47,"GENERAL",V36:V47)</f>
        <v>9</v>
      </c>
      <c r="W53" s="25"/>
      <c r="X53" s="25">
        <f>SUMIF($C36:$C47,"GENERAL",X36:X47)</f>
        <v>0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3</v>
      </c>
      <c r="X56" s="42">
        <f>W56</f>
        <v>3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75</v>
      </c>
      <c r="W57" s="38"/>
      <c r="X57" s="38">
        <f>(SUM(X53:X56)/COUNTA(X36:X47))*100</f>
        <v>25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665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22</v>
      </c>
      <c r="B65" s="50">
        <v>0.5</v>
      </c>
      <c r="C65" s="51" t="s">
        <v>39</v>
      </c>
      <c r="D65" s="52"/>
      <c r="E65" s="51">
        <v>140</v>
      </c>
      <c r="F65" s="51">
        <v>3</v>
      </c>
      <c r="G65" s="51">
        <v>0</v>
      </c>
      <c r="H65" s="51">
        <v>8000</v>
      </c>
      <c r="I65" s="51">
        <v>0</v>
      </c>
      <c r="J65" s="51" t="s">
        <v>51</v>
      </c>
      <c r="K65" s="51">
        <v>800</v>
      </c>
      <c r="L65" t="s">
        <v>664</v>
      </c>
      <c r="M65" s="32">
        <f t="shared" ref="M65:M70" si="52">IF(ISNUMBER(VALUE(FIND("VRB",L65))),999,VALUE(MID(L65,20,3)))</f>
        <v>0</v>
      </c>
      <c r="N65" s="33">
        <f t="shared" ref="N65:N70" si="53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4">VALUE(MID(L65,23,2))</f>
        <v>0</v>
      </c>
      <c r="P65" s="33">
        <f t="shared" ref="P65:P70" si="55">IF(ABS(O65-F65)&lt;11,1,0)</f>
        <v>1</v>
      </c>
      <c r="Q65" s="34">
        <f t="shared" ref="Q65:Q70" si="56">IF(MID(L65,25,1)="G","GUST",0)</f>
        <v>0</v>
      </c>
      <c r="R65" s="33">
        <f t="shared" ref="R65:R70" si="57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58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59">IF(AND(IFERROR(FIND("RA",L65),0)&gt;0, IFERROR(FIND("RA",L65),0)&lt;38),"RA",0)</f>
        <v>0</v>
      </c>
      <c r="V65" s="34">
        <f t="shared" ref="V65:V70" si="60">IF(U65=I65,1,0)</f>
        <v>1</v>
      </c>
      <c r="W65" s="34" t="str">
        <f t="shared" ref="W65:W70" si="61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0" si="62">IF(OR(AND(OR(J65="SKC",J65="FEW",J65="SCT"),OR(W65="SKC",W65="FEW",W65="SCT")),(AND(OR(J65="BKN",J65="OVC"),OR(W65="BKN",W65="OVC")))),1,0)</f>
        <v>1</v>
      </c>
      <c r="Y65" s="34">
        <f t="shared" ref="Y65:Y70" si="63">IF(ISNUMBER(VALUE(FIND("CAVOK",L65))),9999,IF(ISNUMBER(VALUE(FIND("NSC",L65))),9999,(MID(L65,(FIND(W65,L65)+4),2))*100))</f>
        <v>800</v>
      </c>
      <c r="Z65" s="34">
        <f t="shared" ref="Z65:Z70" si="64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140</v>
      </c>
      <c r="F66" s="51">
        <v>3</v>
      </c>
      <c r="G66" s="51">
        <v>0</v>
      </c>
      <c r="H66" s="51">
        <v>8000</v>
      </c>
      <c r="I66" s="51">
        <v>0</v>
      </c>
      <c r="J66" s="51" t="s">
        <v>51</v>
      </c>
      <c r="K66" s="51">
        <v>800</v>
      </c>
      <c r="L66" t="s">
        <v>663</v>
      </c>
      <c r="M66" s="32">
        <f t="shared" si="52"/>
        <v>0</v>
      </c>
      <c r="N66" s="33">
        <f t="shared" si="53"/>
        <v>1</v>
      </c>
      <c r="O66" s="33">
        <f t="shared" si="54"/>
        <v>0</v>
      </c>
      <c r="P66" s="33">
        <f t="shared" si="55"/>
        <v>1</v>
      </c>
      <c r="Q66" s="34">
        <f t="shared" si="56"/>
        <v>0</v>
      </c>
      <c r="R66" s="33">
        <f t="shared" si="57"/>
        <v>1</v>
      </c>
      <c r="S66" s="34">
        <f t="shared" ref="S66:S70" si="65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58"/>
        <v>1</v>
      </c>
      <c r="U66" s="34">
        <f t="shared" si="59"/>
        <v>0</v>
      </c>
      <c r="V66" s="34">
        <f t="shared" si="60"/>
        <v>1</v>
      </c>
      <c r="W66" s="34" t="str">
        <f t="shared" si="61"/>
        <v>FEW</v>
      </c>
      <c r="X66" s="34">
        <f t="shared" si="62"/>
        <v>1</v>
      </c>
      <c r="Y66" s="34">
        <f t="shared" si="63"/>
        <v>800</v>
      </c>
      <c r="Z66" s="34">
        <f t="shared" si="64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140</v>
      </c>
      <c r="F67" s="51">
        <v>3</v>
      </c>
      <c r="G67" s="51">
        <v>0</v>
      </c>
      <c r="H67" s="51">
        <v>8000</v>
      </c>
      <c r="I67" s="51">
        <v>0</v>
      </c>
      <c r="J67" s="51" t="s">
        <v>51</v>
      </c>
      <c r="K67" s="51">
        <v>800</v>
      </c>
      <c r="L67" t="s">
        <v>662</v>
      </c>
      <c r="M67" s="32">
        <f t="shared" si="52"/>
        <v>0</v>
      </c>
      <c r="N67" s="33">
        <f t="shared" si="53"/>
        <v>1</v>
      </c>
      <c r="O67" s="33">
        <f t="shared" si="54"/>
        <v>0</v>
      </c>
      <c r="P67" s="33">
        <f t="shared" si="55"/>
        <v>1</v>
      </c>
      <c r="Q67" s="34">
        <f t="shared" si="56"/>
        <v>0</v>
      </c>
      <c r="R67" s="33">
        <f t="shared" si="57"/>
        <v>1</v>
      </c>
      <c r="S67" s="34">
        <f t="shared" si="65"/>
        <v>8000</v>
      </c>
      <c r="T67" s="34">
        <f t="shared" si="58"/>
        <v>1</v>
      </c>
      <c r="U67" s="34">
        <f t="shared" si="59"/>
        <v>0</v>
      </c>
      <c r="V67" s="34">
        <f t="shared" si="60"/>
        <v>1</v>
      </c>
      <c r="W67" s="34" t="str">
        <f t="shared" si="61"/>
        <v>FEW</v>
      </c>
      <c r="X67" s="34">
        <f t="shared" si="62"/>
        <v>1</v>
      </c>
      <c r="Y67" s="34">
        <f t="shared" si="63"/>
        <v>800</v>
      </c>
      <c r="Z67" s="34">
        <f t="shared" si="64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40</v>
      </c>
      <c r="D68" s="52"/>
      <c r="E68" s="51">
        <v>0</v>
      </c>
      <c r="F68" s="51">
        <v>0</v>
      </c>
      <c r="G68" s="51">
        <v>0</v>
      </c>
      <c r="H68" s="51">
        <v>4000</v>
      </c>
      <c r="I68" s="51" t="s">
        <v>52</v>
      </c>
      <c r="J68" s="51" t="s">
        <v>51</v>
      </c>
      <c r="K68" s="51">
        <v>800</v>
      </c>
      <c r="L68" t="s">
        <v>661</v>
      </c>
      <c r="M68" s="32">
        <f t="shared" si="52"/>
        <v>150</v>
      </c>
      <c r="N68" s="33">
        <f t="shared" si="53"/>
        <v>1</v>
      </c>
      <c r="O68" s="33">
        <f t="shared" si="54"/>
        <v>3</v>
      </c>
      <c r="P68" s="33">
        <f t="shared" si="55"/>
        <v>1</v>
      </c>
      <c r="Q68" s="34">
        <f t="shared" si="56"/>
        <v>0</v>
      </c>
      <c r="R68" s="33">
        <f t="shared" si="57"/>
        <v>1</v>
      </c>
      <c r="S68" s="34">
        <f t="shared" si="65"/>
        <v>8000</v>
      </c>
      <c r="T68" s="34">
        <f t="shared" si="58"/>
        <v>0</v>
      </c>
      <c r="U68" s="34">
        <f t="shared" si="59"/>
        <v>0</v>
      </c>
      <c r="V68" s="34">
        <f t="shared" si="60"/>
        <v>0</v>
      </c>
      <c r="W68" s="34" t="str">
        <f t="shared" si="61"/>
        <v>FEW</v>
      </c>
      <c r="X68" s="34">
        <f t="shared" si="62"/>
        <v>1</v>
      </c>
      <c r="Y68" s="34">
        <f t="shared" si="63"/>
        <v>800</v>
      </c>
      <c r="Z68" s="34">
        <f t="shared" si="64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0</v>
      </c>
      <c r="F69" s="51">
        <v>0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800</v>
      </c>
      <c r="L69" t="s">
        <v>660</v>
      </c>
      <c r="M69" s="32">
        <f t="shared" si="52"/>
        <v>130</v>
      </c>
      <c r="N69" s="33">
        <f t="shared" si="53"/>
        <v>1</v>
      </c>
      <c r="O69" s="33">
        <f t="shared" si="54"/>
        <v>3</v>
      </c>
      <c r="P69" s="33">
        <f t="shared" si="55"/>
        <v>1</v>
      </c>
      <c r="Q69" s="34">
        <f t="shared" si="56"/>
        <v>0</v>
      </c>
      <c r="R69" s="33">
        <f t="shared" si="57"/>
        <v>1</v>
      </c>
      <c r="S69" s="34">
        <f t="shared" si="65"/>
        <v>8000</v>
      </c>
      <c r="T69" s="34">
        <f t="shared" si="58"/>
        <v>0</v>
      </c>
      <c r="U69" s="34">
        <f t="shared" si="59"/>
        <v>0</v>
      </c>
      <c r="V69" s="34">
        <f t="shared" si="60"/>
        <v>0</v>
      </c>
      <c r="W69" s="34" t="str">
        <f t="shared" si="61"/>
        <v>FEW</v>
      </c>
      <c r="X69" s="34">
        <f t="shared" si="62"/>
        <v>1</v>
      </c>
      <c r="Y69" s="34">
        <f t="shared" si="63"/>
        <v>800</v>
      </c>
      <c r="Z69" s="34">
        <f t="shared" si="64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0</v>
      </c>
      <c r="F70" s="51">
        <v>0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800</v>
      </c>
      <c r="L70" t="s">
        <v>659</v>
      </c>
      <c r="M70" s="32">
        <f t="shared" si="52"/>
        <v>150</v>
      </c>
      <c r="N70" s="33">
        <f t="shared" si="53"/>
        <v>1</v>
      </c>
      <c r="O70" s="33">
        <f t="shared" si="54"/>
        <v>2</v>
      </c>
      <c r="P70" s="33">
        <f t="shared" si="55"/>
        <v>1</v>
      </c>
      <c r="Q70" s="34">
        <f t="shared" si="56"/>
        <v>0</v>
      </c>
      <c r="R70" s="33">
        <f t="shared" si="57"/>
        <v>1</v>
      </c>
      <c r="S70" s="34">
        <f t="shared" si="65"/>
        <v>8000</v>
      </c>
      <c r="T70" s="34">
        <f t="shared" si="58"/>
        <v>0</v>
      </c>
      <c r="U70" s="34">
        <f t="shared" si="59"/>
        <v>0</v>
      </c>
      <c r="V70" s="34">
        <f t="shared" si="60"/>
        <v>0</v>
      </c>
      <c r="W70" s="34" t="str">
        <f t="shared" si="61"/>
        <v>FEW</v>
      </c>
      <c r="X70" s="34">
        <f t="shared" si="62"/>
        <v>1</v>
      </c>
      <c r="Y70" s="34">
        <f t="shared" si="63"/>
        <v>800</v>
      </c>
      <c r="Z70" s="34">
        <f t="shared" si="64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140</v>
      </c>
      <c r="F71" s="51">
        <v>3</v>
      </c>
      <c r="G71" s="51">
        <v>0</v>
      </c>
      <c r="H71" s="51">
        <v>8000</v>
      </c>
      <c r="I71" s="51">
        <v>0</v>
      </c>
      <c r="J71" s="51" t="s">
        <v>51</v>
      </c>
      <c r="K71" s="51">
        <v>800</v>
      </c>
      <c r="L71" t="s">
        <v>672</v>
      </c>
      <c r="M71" s="32">
        <f t="shared" ref="M71:M76" si="66">IF(ISNUMBER(VALUE(FIND("VRB",L71))),999,VALUE(MID(L71,20,3)))</f>
        <v>0</v>
      </c>
      <c r="N71" s="33">
        <f t="shared" ref="N71:N76" si="67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68">VALUE(MID(L71,23,2))</f>
        <v>0</v>
      </c>
      <c r="P71" s="33">
        <f t="shared" ref="P71:P76" si="69">IF(ABS(O71-F71)&lt;11,1,0)</f>
        <v>1</v>
      </c>
      <c r="Q71" s="34">
        <f t="shared" ref="Q71:Q76" si="70">IF(MID(L71,25,1)="G","GUST",0)</f>
        <v>0</v>
      </c>
      <c r="R71" s="33">
        <f t="shared" ref="R71:R76" si="71">IF(G71=Q71,1,0)</f>
        <v>1</v>
      </c>
      <c r="S71" s="34">
        <f t="shared" ref="S71:S76" si="72">IF(ISNUMBER(VALUE(MID(L71,(FIND("KT",L71,FIND("Z",L71))+3),4))),VALUE(MID(L71,(FIND("KT",L71,FIND("Z",L71))+3),4)),IF(ISNUMBER(VALUE(MID(L71,(FIND("0V",L71)+6),4))),VALUE(MID(L71,(FIND("0V",L71)+6),4)),9999))</f>
        <v>8000</v>
      </c>
      <c r="T71" s="34">
        <f t="shared" ref="T71:T76" si="73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74">IF(AND(IFERROR(FIND("RA",L71),0)&gt;0, IFERROR(FIND("RA",L71),0)&lt;38),"RA",0)</f>
        <v>0</v>
      </c>
      <c r="V71" s="34">
        <f t="shared" ref="V71:V76" si="75">IF(U71=I71,1,0)</f>
        <v>1</v>
      </c>
      <c r="W71" s="34" t="str">
        <f t="shared" ref="W71:W76" si="76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FEW</v>
      </c>
      <c r="X71" s="34">
        <f t="shared" ref="X71:X76" si="77">IF(OR(AND(OR(J71="SKC",J71="FEW",J71="SCT"),OR(W71="SKC",W71="FEW",W71="SCT")),(AND(OR(J71="BKN",J71="OVC"),OR(W71="BKN",W71="OVC")))),1,0)</f>
        <v>1</v>
      </c>
      <c r="Y71" s="34">
        <f t="shared" ref="Y71:Y76" si="78">IF(ISNUMBER(VALUE(FIND("CAVOK",L71))),9999,IF(ISNUMBER(VALUE(FIND("NSC",L71))),9999,(MID(L71,(FIND(W71,L71)+4),2))*100))</f>
        <v>800</v>
      </c>
      <c r="Z71" s="34">
        <f t="shared" ref="Z71:Z76" si="79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140</v>
      </c>
      <c r="F72" s="51">
        <v>3</v>
      </c>
      <c r="G72" s="51">
        <v>0</v>
      </c>
      <c r="H72" s="51">
        <v>8000</v>
      </c>
      <c r="I72" s="51">
        <v>0</v>
      </c>
      <c r="J72" s="51" t="s">
        <v>51</v>
      </c>
      <c r="K72" s="51">
        <v>800</v>
      </c>
      <c r="L72" t="s">
        <v>671</v>
      </c>
      <c r="M72" s="32">
        <f t="shared" si="66"/>
        <v>0</v>
      </c>
      <c r="N72" s="33">
        <f t="shared" si="67"/>
        <v>1</v>
      </c>
      <c r="O72" s="33">
        <f t="shared" si="68"/>
        <v>0</v>
      </c>
      <c r="P72" s="33">
        <f t="shared" si="69"/>
        <v>1</v>
      </c>
      <c r="Q72" s="34">
        <f t="shared" si="70"/>
        <v>0</v>
      </c>
      <c r="R72" s="33">
        <f t="shared" si="71"/>
        <v>1</v>
      </c>
      <c r="S72" s="34">
        <f t="shared" si="72"/>
        <v>8000</v>
      </c>
      <c r="T72" s="34">
        <f t="shared" si="73"/>
        <v>1</v>
      </c>
      <c r="U72" s="34">
        <f t="shared" si="74"/>
        <v>0</v>
      </c>
      <c r="V72" s="34">
        <f t="shared" si="75"/>
        <v>1</v>
      </c>
      <c r="W72" s="34" t="str">
        <f t="shared" si="76"/>
        <v>FEW</v>
      </c>
      <c r="X72" s="34">
        <f t="shared" si="77"/>
        <v>1</v>
      </c>
      <c r="Y72" s="34">
        <f t="shared" si="78"/>
        <v>800</v>
      </c>
      <c r="Z72" s="34">
        <f t="shared" si="79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140</v>
      </c>
      <c r="F73" s="51">
        <v>3</v>
      </c>
      <c r="G73" s="51">
        <v>0</v>
      </c>
      <c r="H73" s="51">
        <v>8000</v>
      </c>
      <c r="I73" s="51">
        <v>0</v>
      </c>
      <c r="J73" s="51" t="s">
        <v>51</v>
      </c>
      <c r="K73" s="51">
        <v>800</v>
      </c>
      <c r="L73" t="s">
        <v>670</v>
      </c>
      <c r="M73" s="32">
        <f t="shared" si="66"/>
        <v>310</v>
      </c>
      <c r="N73" s="33">
        <f t="shared" si="67"/>
        <v>1</v>
      </c>
      <c r="O73" s="33">
        <f t="shared" si="68"/>
        <v>2</v>
      </c>
      <c r="P73" s="33">
        <f t="shared" si="69"/>
        <v>1</v>
      </c>
      <c r="Q73" s="34">
        <f t="shared" si="70"/>
        <v>0</v>
      </c>
      <c r="R73" s="33">
        <f t="shared" si="71"/>
        <v>1</v>
      </c>
      <c r="S73" s="34">
        <f t="shared" si="72"/>
        <v>8000</v>
      </c>
      <c r="T73" s="34">
        <f t="shared" si="73"/>
        <v>1</v>
      </c>
      <c r="U73" s="34">
        <f t="shared" si="74"/>
        <v>0</v>
      </c>
      <c r="V73" s="34">
        <f t="shared" si="75"/>
        <v>1</v>
      </c>
      <c r="W73" s="34" t="str">
        <f t="shared" si="76"/>
        <v>FEW</v>
      </c>
      <c r="X73" s="34">
        <f t="shared" si="77"/>
        <v>1</v>
      </c>
      <c r="Y73" s="34">
        <f t="shared" si="78"/>
        <v>800</v>
      </c>
      <c r="Z73" s="34">
        <f t="shared" si="79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140</v>
      </c>
      <c r="F74" s="51">
        <v>3</v>
      </c>
      <c r="G74" s="51">
        <v>0</v>
      </c>
      <c r="H74" s="51">
        <v>8000</v>
      </c>
      <c r="I74" s="51">
        <v>0</v>
      </c>
      <c r="J74" s="51" t="s">
        <v>51</v>
      </c>
      <c r="K74" s="51">
        <v>800</v>
      </c>
      <c r="L74" t="s">
        <v>669</v>
      </c>
      <c r="M74" s="32">
        <f t="shared" si="66"/>
        <v>340</v>
      </c>
      <c r="N74" s="33">
        <f t="shared" si="67"/>
        <v>1</v>
      </c>
      <c r="O74" s="33">
        <f t="shared" si="68"/>
        <v>2</v>
      </c>
      <c r="P74" s="33">
        <f t="shared" si="69"/>
        <v>1</v>
      </c>
      <c r="Q74" s="34">
        <f t="shared" si="70"/>
        <v>0</v>
      </c>
      <c r="R74" s="33">
        <f t="shared" si="71"/>
        <v>1</v>
      </c>
      <c r="S74" s="34">
        <f t="shared" si="72"/>
        <v>8000</v>
      </c>
      <c r="T74" s="34">
        <f t="shared" si="73"/>
        <v>1</v>
      </c>
      <c r="U74" s="34">
        <f t="shared" si="74"/>
        <v>0</v>
      </c>
      <c r="V74" s="34">
        <f t="shared" si="75"/>
        <v>1</v>
      </c>
      <c r="W74" s="34" t="str">
        <f t="shared" si="76"/>
        <v>FEW</v>
      </c>
      <c r="X74" s="34">
        <f t="shared" si="77"/>
        <v>1</v>
      </c>
      <c r="Y74" s="34">
        <f t="shared" si="78"/>
        <v>800</v>
      </c>
      <c r="Z74" s="34">
        <f t="shared" si="79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140</v>
      </c>
      <c r="F75" s="51">
        <v>3</v>
      </c>
      <c r="G75" s="51">
        <v>0</v>
      </c>
      <c r="H75" s="51">
        <v>8000</v>
      </c>
      <c r="I75" s="51">
        <v>0</v>
      </c>
      <c r="J75" s="51" t="s">
        <v>51</v>
      </c>
      <c r="K75" s="51">
        <v>800</v>
      </c>
      <c r="L75" t="s">
        <v>668</v>
      </c>
      <c r="M75" s="32">
        <f t="shared" si="66"/>
        <v>280</v>
      </c>
      <c r="N75" s="33">
        <f t="shared" si="67"/>
        <v>1</v>
      </c>
      <c r="O75" s="33">
        <f t="shared" si="68"/>
        <v>2</v>
      </c>
      <c r="P75" s="33">
        <f t="shared" si="69"/>
        <v>1</v>
      </c>
      <c r="Q75" s="34">
        <f t="shared" si="70"/>
        <v>0</v>
      </c>
      <c r="R75" s="33">
        <f t="shared" si="71"/>
        <v>1</v>
      </c>
      <c r="S75" s="34">
        <f t="shared" si="72"/>
        <v>8000</v>
      </c>
      <c r="T75" s="34">
        <f t="shared" si="73"/>
        <v>1</v>
      </c>
      <c r="U75" s="34">
        <f t="shared" si="74"/>
        <v>0</v>
      </c>
      <c r="V75" s="34">
        <f t="shared" si="75"/>
        <v>1</v>
      </c>
      <c r="W75" s="34" t="str">
        <f t="shared" si="76"/>
        <v>FEW</v>
      </c>
      <c r="X75" s="34">
        <f t="shared" si="77"/>
        <v>1</v>
      </c>
      <c r="Y75" s="34">
        <f t="shared" si="78"/>
        <v>800</v>
      </c>
      <c r="Z75" s="34">
        <f t="shared" si="79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34</v>
      </c>
      <c r="D76" s="52"/>
      <c r="E76" s="51">
        <v>100</v>
      </c>
      <c r="F76" s="51">
        <v>3</v>
      </c>
      <c r="G76" s="51">
        <v>0</v>
      </c>
      <c r="H76" s="51">
        <v>8000</v>
      </c>
      <c r="I76" s="51">
        <v>0</v>
      </c>
      <c r="J76" s="51" t="s">
        <v>58</v>
      </c>
      <c r="K76" s="51">
        <v>800</v>
      </c>
      <c r="L76" t="s">
        <v>667</v>
      </c>
      <c r="M76" s="32">
        <f t="shared" si="66"/>
        <v>270</v>
      </c>
      <c r="N76" s="33">
        <f t="shared" si="67"/>
        <v>1</v>
      </c>
      <c r="O76" s="33">
        <f t="shared" si="68"/>
        <v>2</v>
      </c>
      <c r="P76" s="33">
        <f t="shared" si="69"/>
        <v>1</v>
      </c>
      <c r="Q76" s="34">
        <f t="shared" si="70"/>
        <v>0</v>
      </c>
      <c r="R76" s="33">
        <f t="shared" si="71"/>
        <v>1</v>
      </c>
      <c r="S76" s="34">
        <f t="shared" si="72"/>
        <v>7000</v>
      </c>
      <c r="T76" s="34">
        <f t="shared" si="73"/>
        <v>1</v>
      </c>
      <c r="U76" s="34">
        <f t="shared" si="74"/>
        <v>0</v>
      </c>
      <c r="V76" s="34">
        <f t="shared" si="75"/>
        <v>1</v>
      </c>
      <c r="W76" s="34" t="str">
        <f t="shared" si="76"/>
        <v>OVC</v>
      </c>
      <c r="X76" s="34">
        <f t="shared" si="77"/>
        <v>1</v>
      </c>
      <c r="Y76" s="34">
        <f t="shared" si="78"/>
        <v>900</v>
      </c>
      <c r="Z76" s="34">
        <f t="shared" si="79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9</v>
      </c>
      <c r="U80" s="25"/>
      <c r="V80" s="25">
        <f>SUM(V64:V76)</f>
        <v>9</v>
      </c>
      <c r="W80" s="25"/>
      <c r="X80" s="25">
        <f>SUM(X64:X76)</f>
        <v>12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8</v>
      </c>
      <c r="O81" s="25"/>
      <c r="P81" s="25">
        <f>SUMIF($C64:$C76,"GENERAL",P64:P76)</f>
        <v>8</v>
      </c>
      <c r="Q81" s="25"/>
      <c r="R81" s="25">
        <f>SUMIF($C64:$C76,"GENERAL",R64:R76)</f>
        <v>8</v>
      </c>
      <c r="S81" s="25"/>
      <c r="T81" s="25">
        <f>SUMIF($C64:$C76,"GENERAL",T64:T76)</f>
        <v>8</v>
      </c>
      <c r="U81" s="25"/>
      <c r="V81" s="25">
        <f>SUMIF($C64:$C76,"GENERAL",V64:V76)</f>
        <v>8</v>
      </c>
      <c r="W81" s="25"/>
      <c r="X81" s="25">
        <f>SUMIF($C64:$C76,"GENERAL",X64:X76)</f>
        <v>8</v>
      </c>
      <c r="Y81" s="25"/>
      <c r="Z81" s="25">
        <f>SUMIF($C64:$C76,"GENERAL",Z64:Z76)</f>
        <v>8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1</v>
      </c>
      <c r="O82" s="25"/>
      <c r="P82" s="25">
        <f>SUMIF($C64:$C76,"BECMG",P64:P76)</f>
        <v>1</v>
      </c>
      <c r="Q82" s="25"/>
      <c r="R82" s="25">
        <f>SUMIF($C64:$C76,"BECMG",R64:R76)</f>
        <v>1</v>
      </c>
      <c r="S82" s="25"/>
      <c r="T82" s="25">
        <f>SUMIF($C64:$C76,"BECMG",T64:T76)</f>
        <v>1</v>
      </c>
      <c r="U82" s="25"/>
      <c r="V82" s="25">
        <f>SUMIF($C64:$C76,"BECMG",V64:V76)</f>
        <v>1</v>
      </c>
      <c r="W82" s="25"/>
      <c r="X82" s="25">
        <f>SUMIF($C64:$C76,"BECMG",X64:X76)</f>
        <v>1</v>
      </c>
      <c r="Y82" s="25"/>
      <c r="Z82" s="25">
        <f>SUMIF($C64:$C76,"BECMG",Z64:Z76)</f>
        <v>1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3</v>
      </c>
      <c r="M84" s="42">
        <f>SUMIF($C64:$C76,"TEMPO",N64:N76)</f>
        <v>3</v>
      </c>
      <c r="N84" s="42">
        <f>M84</f>
        <v>3</v>
      </c>
      <c r="O84" s="42">
        <f>SUMIF($C64:$C76,"TEMPO",P64:P76)</f>
        <v>3</v>
      </c>
      <c r="P84" s="42">
        <f>O84</f>
        <v>3</v>
      </c>
      <c r="Q84" s="42">
        <f>SUMIF($C64:$C76,"TEMPO",R64:R76)</f>
        <v>3</v>
      </c>
      <c r="R84" s="42">
        <f>Q84</f>
        <v>3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3</v>
      </c>
      <c r="X84" s="42">
        <f>W84</f>
        <v>3</v>
      </c>
      <c r="Y84" s="42">
        <f>SUMIF($C64:$C76,"TEMPO",Z64:Z76)</f>
        <v>3</v>
      </c>
      <c r="Z84" s="42">
        <f>Y84</f>
        <v>3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75</v>
      </c>
      <c r="U85" s="38"/>
      <c r="V85" s="38">
        <f>(SUM(V81:V84)/COUNTA(V64:V76))*100</f>
        <v>75</v>
      </c>
      <c r="W85" s="38"/>
      <c r="X85" s="38">
        <f>(SUM(X81:X84)/COUNTA(X64:X76))*100</f>
        <v>100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666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22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51</v>
      </c>
      <c r="K93" s="51">
        <v>800</v>
      </c>
      <c r="L93" t="s">
        <v>672</v>
      </c>
      <c r="M93" s="32">
        <f t="shared" ref="M93:M98" si="80">IF(ISNUMBER(VALUE(FIND("VRB",L93))),999,VALUE(MID(L93,20,3)))</f>
        <v>0</v>
      </c>
      <c r="N93" s="33">
        <f t="shared" ref="N93:N98" si="81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2">VALUE(MID(L93,23,2))</f>
        <v>0</v>
      </c>
      <c r="P93" s="33">
        <f t="shared" ref="P93:P98" si="83">IF(ABS(O93-F93)&lt;11,1,0)</f>
        <v>1</v>
      </c>
      <c r="Q93" s="34">
        <f t="shared" ref="Q93:Q98" si="84">IF(MID(L93,25,1)="G","GUST",0)</f>
        <v>0</v>
      </c>
      <c r="R93" s="33">
        <f t="shared" ref="R93:R98" si="85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86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7">IF(AND(IFERROR(FIND("RA",L93),0)&gt;0, IFERROR(FIND("RA",L93),0)&lt;38),"RA",0)</f>
        <v>0</v>
      </c>
      <c r="V93" s="34">
        <f t="shared" ref="V93:V98" si="88">IF(U93=I93,1,0)</f>
        <v>1</v>
      </c>
      <c r="W93" s="34" t="str">
        <f t="shared" ref="W93:W98" si="89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FEW</v>
      </c>
      <c r="X93" s="34">
        <f t="shared" ref="X93:X98" si="90">IF(OR(AND(OR(J93="SKC",J93="FEW",J93="SCT"),OR(W93="SKC",W93="FEW",W93="SCT")),(AND(OR(J93="BKN",J93="OVC"),OR(W93="BKN",W93="OVC")))),1,0)</f>
        <v>1</v>
      </c>
      <c r="Y93" s="34">
        <f t="shared" ref="Y93:Y98" si="91">IF(ISNUMBER(VALUE(FIND("CAVOK",L93))),9999,IF(ISNUMBER(VALUE(FIND("NSC",L93))),9999,(MID(L93,(FIND(W93,L93)+4),2))*100))</f>
        <v>800</v>
      </c>
      <c r="Z93" s="34">
        <f t="shared" ref="Z93:Z98" si="92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51</v>
      </c>
      <c r="K94" s="51">
        <v>800</v>
      </c>
      <c r="L94" t="s">
        <v>671</v>
      </c>
      <c r="M94" s="32">
        <f t="shared" si="80"/>
        <v>0</v>
      </c>
      <c r="N94" s="33">
        <f t="shared" si="81"/>
        <v>1</v>
      </c>
      <c r="O94" s="33">
        <f t="shared" si="82"/>
        <v>0</v>
      </c>
      <c r="P94" s="33">
        <f t="shared" si="83"/>
        <v>1</v>
      </c>
      <c r="Q94" s="34">
        <f t="shared" si="84"/>
        <v>0</v>
      </c>
      <c r="R94" s="33">
        <f t="shared" si="85"/>
        <v>1</v>
      </c>
      <c r="S94" s="34">
        <f t="shared" ref="S94:S98" si="93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6"/>
        <v>1</v>
      </c>
      <c r="U94" s="34">
        <f t="shared" si="87"/>
        <v>0</v>
      </c>
      <c r="V94" s="34">
        <f t="shared" si="88"/>
        <v>1</v>
      </c>
      <c r="W94" s="34" t="str">
        <f t="shared" si="89"/>
        <v>FEW</v>
      </c>
      <c r="X94" s="34">
        <f t="shared" si="90"/>
        <v>1</v>
      </c>
      <c r="Y94" s="34">
        <f t="shared" si="91"/>
        <v>800</v>
      </c>
      <c r="Z94" s="34">
        <f t="shared" si="92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34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t="s">
        <v>670</v>
      </c>
      <c r="M95" s="32">
        <f t="shared" si="80"/>
        <v>310</v>
      </c>
      <c r="N95" s="33">
        <f t="shared" si="81"/>
        <v>1</v>
      </c>
      <c r="O95" s="33">
        <f t="shared" si="82"/>
        <v>2</v>
      </c>
      <c r="P95" s="33">
        <f t="shared" si="83"/>
        <v>1</v>
      </c>
      <c r="Q95" s="34">
        <f t="shared" si="84"/>
        <v>0</v>
      </c>
      <c r="R95" s="33">
        <f t="shared" si="85"/>
        <v>1</v>
      </c>
      <c r="S95" s="34">
        <f t="shared" si="93"/>
        <v>8000</v>
      </c>
      <c r="T95" s="34">
        <f t="shared" si="86"/>
        <v>1</v>
      </c>
      <c r="U95" s="34">
        <f t="shared" si="87"/>
        <v>0</v>
      </c>
      <c r="V95" s="34">
        <f t="shared" si="88"/>
        <v>1</v>
      </c>
      <c r="W95" s="34" t="str">
        <f t="shared" si="89"/>
        <v>FEW</v>
      </c>
      <c r="X95" s="34">
        <f t="shared" si="90"/>
        <v>0</v>
      </c>
      <c r="Y95" s="34">
        <f t="shared" si="91"/>
        <v>800</v>
      </c>
      <c r="Z95" s="34">
        <f t="shared" si="92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34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t="s">
        <v>669</v>
      </c>
      <c r="M96" s="32">
        <f t="shared" si="80"/>
        <v>340</v>
      </c>
      <c r="N96" s="33">
        <f t="shared" si="81"/>
        <v>1</v>
      </c>
      <c r="O96" s="33">
        <f t="shared" si="82"/>
        <v>2</v>
      </c>
      <c r="P96" s="33">
        <f t="shared" si="83"/>
        <v>1</v>
      </c>
      <c r="Q96" s="34">
        <f t="shared" si="84"/>
        <v>0</v>
      </c>
      <c r="R96" s="33">
        <f t="shared" si="85"/>
        <v>1</v>
      </c>
      <c r="S96" s="34">
        <f t="shared" si="93"/>
        <v>8000</v>
      </c>
      <c r="T96" s="34">
        <f t="shared" si="86"/>
        <v>1</v>
      </c>
      <c r="U96" s="34">
        <f t="shared" si="87"/>
        <v>0</v>
      </c>
      <c r="V96" s="34">
        <f t="shared" si="88"/>
        <v>1</v>
      </c>
      <c r="W96" s="34" t="str">
        <f t="shared" si="89"/>
        <v>FEW</v>
      </c>
      <c r="X96" s="34">
        <f t="shared" si="90"/>
        <v>0</v>
      </c>
      <c r="Y96" s="34">
        <f t="shared" si="91"/>
        <v>800</v>
      </c>
      <c r="Z96" s="34">
        <f t="shared" si="92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34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t="s">
        <v>668</v>
      </c>
      <c r="M97" s="32">
        <f t="shared" si="80"/>
        <v>280</v>
      </c>
      <c r="N97" s="33">
        <f t="shared" si="81"/>
        <v>1</v>
      </c>
      <c r="O97" s="33">
        <f t="shared" si="82"/>
        <v>2</v>
      </c>
      <c r="P97" s="33">
        <f t="shared" si="83"/>
        <v>1</v>
      </c>
      <c r="Q97" s="34">
        <f t="shared" si="84"/>
        <v>0</v>
      </c>
      <c r="R97" s="33">
        <f t="shared" si="85"/>
        <v>1</v>
      </c>
      <c r="S97" s="34">
        <f t="shared" si="93"/>
        <v>8000</v>
      </c>
      <c r="T97" s="34">
        <f t="shared" si="86"/>
        <v>1</v>
      </c>
      <c r="U97" s="34">
        <f t="shared" si="87"/>
        <v>0</v>
      </c>
      <c r="V97" s="34">
        <f t="shared" si="88"/>
        <v>1</v>
      </c>
      <c r="W97" s="34" t="str">
        <f t="shared" si="89"/>
        <v>FEW</v>
      </c>
      <c r="X97" s="34">
        <f t="shared" si="90"/>
        <v>0</v>
      </c>
      <c r="Y97" s="34">
        <f t="shared" si="91"/>
        <v>800</v>
      </c>
      <c r="Z97" s="34">
        <f t="shared" si="92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34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t="s">
        <v>667</v>
      </c>
      <c r="M98" s="32">
        <f t="shared" si="80"/>
        <v>270</v>
      </c>
      <c r="N98" s="33">
        <f t="shared" si="81"/>
        <v>1</v>
      </c>
      <c r="O98" s="33">
        <f t="shared" si="82"/>
        <v>2</v>
      </c>
      <c r="P98" s="33">
        <f t="shared" si="83"/>
        <v>1</v>
      </c>
      <c r="Q98" s="34">
        <f t="shared" si="84"/>
        <v>0</v>
      </c>
      <c r="R98" s="33">
        <f t="shared" si="85"/>
        <v>1</v>
      </c>
      <c r="S98" s="34">
        <f t="shared" si="93"/>
        <v>7000</v>
      </c>
      <c r="T98" s="34">
        <f t="shared" si="86"/>
        <v>1</v>
      </c>
      <c r="U98" s="34">
        <f t="shared" si="87"/>
        <v>0</v>
      </c>
      <c r="V98" s="34">
        <f t="shared" si="88"/>
        <v>1</v>
      </c>
      <c r="W98" s="34" t="str">
        <f t="shared" si="89"/>
        <v>OVC</v>
      </c>
      <c r="X98" s="34">
        <f t="shared" si="90"/>
        <v>1</v>
      </c>
      <c r="Y98" s="34">
        <f t="shared" si="91"/>
        <v>900</v>
      </c>
      <c r="Z98" s="34">
        <f t="shared" si="92"/>
        <v>1</v>
      </c>
      <c r="AA98" s="25"/>
      <c r="AB98" s="25"/>
      <c r="AC98" s="25"/>
      <c r="AD98" s="25"/>
      <c r="AE98" s="25"/>
    </row>
    <row r="99" spans="1:31" ht="16.5">
      <c r="A99" s="55">
        <v>23</v>
      </c>
      <c r="B99" s="54">
        <v>0</v>
      </c>
      <c r="C99" s="51" t="s">
        <v>34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t="s">
        <v>678</v>
      </c>
      <c r="M99" s="32">
        <f t="shared" ref="M99:M104" si="94">IF(ISNUMBER(VALUE(FIND("VRB",L99))),999,VALUE(MID(L99,20,3)))</f>
        <v>150</v>
      </c>
      <c r="N99" s="33">
        <f t="shared" ref="N99:N104" si="95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6">VALUE(MID(L99,23,2))</f>
        <v>2</v>
      </c>
      <c r="P99" s="33">
        <f t="shared" ref="P99:P104" si="97">IF(ABS(O99-F99)&lt;11,1,0)</f>
        <v>1</v>
      </c>
      <c r="Q99" s="34">
        <f t="shared" ref="Q99:Q104" si="98">IF(MID(L99,25,1)="G","GUST",0)</f>
        <v>0</v>
      </c>
      <c r="R99" s="33">
        <f t="shared" ref="R99:R104" si="99">IF(G99=Q99,1,0)</f>
        <v>1</v>
      </c>
      <c r="S99" s="34">
        <f t="shared" ref="S99:S104" si="100">IF(ISNUMBER(VALUE(MID(L99,(FIND("KT",L99,FIND("Z",L99))+3),4))),VALUE(MID(L99,(FIND("KT",L99,FIND("Z",L99))+3),4)),IF(ISNUMBER(VALUE(MID(L99,(FIND("0V",L99)+6),4))),VALUE(MID(L99,(FIND("0V",L99)+6),4)),9999))</f>
        <v>7000</v>
      </c>
      <c r="T99" s="34">
        <f t="shared" ref="T99:T104" si="101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02">IF(AND(IFERROR(FIND("RA",L99),0)&gt;0, IFERROR(FIND("RA",L99),0)&lt;38),"RA",0)</f>
        <v>0</v>
      </c>
      <c r="V99" s="34">
        <f t="shared" ref="V99:V104" si="103">IF(U99=I99,1,0)</f>
        <v>1</v>
      </c>
      <c r="W99" s="34" t="str">
        <f t="shared" ref="W99:W104" si="104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05">IF(OR(AND(OR(J99="SKC",J99="FEW",J99="SCT"),OR(W99="SKC",W99="FEW",W99="SCT")),(AND(OR(J99="BKN",J99="OVC"),OR(W99="BKN",W99="OVC")))),1,0)</f>
        <v>1</v>
      </c>
      <c r="Y99" s="34">
        <f t="shared" ref="Y99:Y104" si="106">IF(ISNUMBER(VALUE(FIND("CAVOK",L99))),9999,IF(ISNUMBER(VALUE(FIND("NSC",L99))),9999,(MID(L99,(FIND(W99,L99)+4),2))*100))</f>
        <v>900</v>
      </c>
      <c r="Z99" s="34">
        <f t="shared" ref="Z99:Z104" si="107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34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t="s">
        <v>677</v>
      </c>
      <c r="M100" s="32">
        <f t="shared" si="94"/>
        <v>100</v>
      </c>
      <c r="N100" s="33">
        <f t="shared" si="95"/>
        <v>1</v>
      </c>
      <c r="O100" s="33">
        <f t="shared" si="96"/>
        <v>7</v>
      </c>
      <c r="P100" s="33">
        <f t="shared" si="97"/>
        <v>1</v>
      </c>
      <c r="Q100" s="34">
        <f t="shared" si="98"/>
        <v>0</v>
      </c>
      <c r="R100" s="33">
        <f t="shared" si="99"/>
        <v>1</v>
      </c>
      <c r="S100" s="34">
        <f t="shared" si="100"/>
        <v>8000</v>
      </c>
      <c r="T100" s="34">
        <f t="shared" si="101"/>
        <v>1</v>
      </c>
      <c r="U100" s="34">
        <f t="shared" si="102"/>
        <v>0</v>
      </c>
      <c r="V100" s="34">
        <f t="shared" si="103"/>
        <v>1</v>
      </c>
      <c r="W100" s="34" t="str">
        <f t="shared" si="104"/>
        <v>BKN</v>
      </c>
      <c r="X100" s="34">
        <f t="shared" si="105"/>
        <v>1</v>
      </c>
      <c r="Y100" s="34">
        <f t="shared" si="106"/>
        <v>900</v>
      </c>
      <c r="Z100" s="34">
        <f t="shared" si="107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34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t="s">
        <v>676</v>
      </c>
      <c r="M101" s="32">
        <f t="shared" si="94"/>
        <v>100</v>
      </c>
      <c r="N101" s="33">
        <f t="shared" si="95"/>
        <v>1</v>
      </c>
      <c r="O101" s="33">
        <f t="shared" si="96"/>
        <v>7</v>
      </c>
      <c r="P101" s="33">
        <f t="shared" si="97"/>
        <v>1</v>
      </c>
      <c r="Q101" s="34">
        <f t="shared" si="98"/>
        <v>0</v>
      </c>
      <c r="R101" s="33">
        <f t="shared" si="99"/>
        <v>1</v>
      </c>
      <c r="S101" s="34">
        <f t="shared" si="100"/>
        <v>8000</v>
      </c>
      <c r="T101" s="34">
        <f t="shared" si="101"/>
        <v>1</v>
      </c>
      <c r="U101" s="34">
        <f t="shared" si="102"/>
        <v>0</v>
      </c>
      <c r="V101" s="34">
        <f t="shared" si="103"/>
        <v>1</v>
      </c>
      <c r="W101" s="34" t="str">
        <f t="shared" si="104"/>
        <v>BKN</v>
      </c>
      <c r="X101" s="34">
        <f t="shared" si="105"/>
        <v>1</v>
      </c>
      <c r="Y101" s="34">
        <f t="shared" si="106"/>
        <v>800</v>
      </c>
      <c r="Z101" s="34">
        <f t="shared" si="107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34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t="s">
        <v>675</v>
      </c>
      <c r="M102" s="32">
        <f t="shared" si="94"/>
        <v>100</v>
      </c>
      <c r="N102" s="33">
        <f t="shared" si="95"/>
        <v>1</v>
      </c>
      <c r="O102" s="33">
        <f t="shared" si="96"/>
        <v>5</v>
      </c>
      <c r="P102" s="33">
        <f t="shared" si="97"/>
        <v>1</v>
      </c>
      <c r="Q102" s="34">
        <f t="shared" si="98"/>
        <v>0</v>
      </c>
      <c r="R102" s="33">
        <f t="shared" si="99"/>
        <v>1</v>
      </c>
      <c r="S102" s="34">
        <f t="shared" si="100"/>
        <v>8000</v>
      </c>
      <c r="T102" s="34">
        <f t="shared" si="101"/>
        <v>1</v>
      </c>
      <c r="U102" s="34">
        <f t="shared" si="102"/>
        <v>0</v>
      </c>
      <c r="V102" s="34">
        <f t="shared" si="103"/>
        <v>1</v>
      </c>
      <c r="W102" s="34" t="str">
        <f t="shared" si="104"/>
        <v>BKN</v>
      </c>
      <c r="X102" s="34">
        <f t="shared" si="105"/>
        <v>1</v>
      </c>
      <c r="Y102" s="34">
        <f t="shared" si="106"/>
        <v>900</v>
      </c>
      <c r="Z102" s="34">
        <f t="shared" si="107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34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t="s">
        <v>674</v>
      </c>
      <c r="M103" s="32">
        <f t="shared" si="94"/>
        <v>60</v>
      </c>
      <c r="N103" s="33">
        <f t="shared" si="95"/>
        <v>1</v>
      </c>
      <c r="O103" s="33">
        <f t="shared" si="96"/>
        <v>3</v>
      </c>
      <c r="P103" s="33">
        <f t="shared" si="97"/>
        <v>1</v>
      </c>
      <c r="Q103" s="34">
        <f t="shared" si="98"/>
        <v>0</v>
      </c>
      <c r="R103" s="33">
        <f t="shared" si="99"/>
        <v>1</v>
      </c>
      <c r="S103" s="34">
        <f t="shared" si="100"/>
        <v>8000</v>
      </c>
      <c r="T103" s="34">
        <f t="shared" si="101"/>
        <v>1</v>
      </c>
      <c r="U103" s="34">
        <f t="shared" si="102"/>
        <v>0</v>
      </c>
      <c r="V103" s="34">
        <f t="shared" si="103"/>
        <v>1</v>
      </c>
      <c r="W103" s="34" t="str">
        <f t="shared" si="104"/>
        <v>BKN</v>
      </c>
      <c r="X103" s="34">
        <f t="shared" si="105"/>
        <v>1</v>
      </c>
      <c r="Y103" s="34">
        <f t="shared" si="106"/>
        <v>900</v>
      </c>
      <c r="Z103" s="34">
        <f t="shared" si="107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34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t="s">
        <v>673</v>
      </c>
      <c r="M104" s="32">
        <f t="shared" si="94"/>
        <v>20</v>
      </c>
      <c r="N104" s="33">
        <f t="shared" si="95"/>
        <v>1</v>
      </c>
      <c r="O104" s="33">
        <f t="shared" si="96"/>
        <v>4</v>
      </c>
      <c r="P104" s="33">
        <f t="shared" si="97"/>
        <v>1</v>
      </c>
      <c r="Q104" s="34">
        <f t="shared" si="98"/>
        <v>0</v>
      </c>
      <c r="R104" s="33">
        <f t="shared" si="99"/>
        <v>1</v>
      </c>
      <c r="S104" s="34">
        <f t="shared" si="100"/>
        <v>8000</v>
      </c>
      <c r="T104" s="34">
        <f t="shared" si="101"/>
        <v>1</v>
      </c>
      <c r="U104" s="34">
        <f t="shared" si="102"/>
        <v>0</v>
      </c>
      <c r="V104" s="34">
        <f t="shared" si="103"/>
        <v>1</v>
      </c>
      <c r="W104" s="34" t="str">
        <f t="shared" si="104"/>
        <v>BKN</v>
      </c>
      <c r="X104" s="34">
        <f t="shared" si="105"/>
        <v>1</v>
      </c>
      <c r="Y104" s="34">
        <f t="shared" si="106"/>
        <v>900</v>
      </c>
      <c r="Z104" s="34">
        <f t="shared" si="107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9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2</v>
      </c>
      <c r="O110" s="25"/>
      <c r="P110" s="25">
        <f>SUMIF($C93:$C104,"GENERAL",P93:P104)</f>
        <v>2</v>
      </c>
      <c r="Q110" s="25"/>
      <c r="R110" s="25">
        <f>SUMIF($C93:$C104,"GENERAL",R93:R104)</f>
        <v>2</v>
      </c>
      <c r="S110" s="25"/>
      <c r="T110" s="25">
        <f>SUMIF($C93:$C104,"GENERAL",T93:T104)</f>
        <v>2</v>
      </c>
      <c r="U110" s="25"/>
      <c r="V110" s="25">
        <f>SUMIF($C93:$C104,"GENERAL",V93:V104)</f>
        <v>2</v>
      </c>
      <c r="W110" s="25"/>
      <c r="X110" s="25">
        <f>SUMIF($C93:$C104,"GENERAL",X93:X104)</f>
        <v>2</v>
      </c>
      <c r="Y110" s="25"/>
      <c r="Z110" s="25">
        <f>SUMIF($C93:$C104,"GENERAL",Z93:Z104)</f>
        <v>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10</v>
      </c>
      <c r="O111" s="25"/>
      <c r="P111" s="25">
        <f>SUMIF($C93:$C104,"BECMG",P93:P104)</f>
        <v>10</v>
      </c>
      <c r="Q111" s="25"/>
      <c r="R111" s="25">
        <f>SUMIF($C93:$C104,"BECMG",R93:R104)</f>
        <v>10</v>
      </c>
      <c r="S111" s="25"/>
      <c r="T111" s="25">
        <f>SUMIF($C93:$C104,"BECMG",T93:T104)</f>
        <v>10</v>
      </c>
      <c r="U111" s="25"/>
      <c r="V111" s="25">
        <f>SUMIF($C93:$C104,"BECMG",V93:V104)</f>
        <v>10</v>
      </c>
      <c r="W111" s="25"/>
      <c r="X111" s="25">
        <f>SUMIF($C93:$C104,"BECMG",X93:X104)</f>
        <v>7</v>
      </c>
      <c r="Y111" s="25"/>
      <c r="Z111" s="25">
        <f>SUMIF($C93:$C104,"BECMG",Z93:Z104)</f>
        <v>10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75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57A40-19DB-904F-BC31-5B4465571558}">
  <sheetPr>
    <tabColor theme="0"/>
  </sheetPr>
  <dimension ref="A1:AE115"/>
  <sheetViews>
    <sheetView topLeftCell="A88" workbookViewId="0">
      <selection activeCell="L65" sqref="L65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679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23</v>
      </c>
      <c r="B7" s="28">
        <v>0</v>
      </c>
      <c r="C7" s="51" t="s">
        <v>39</v>
      </c>
      <c r="D7" s="29"/>
      <c r="E7" s="29">
        <v>100</v>
      </c>
      <c r="F7" s="29">
        <v>3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t="s">
        <v>678</v>
      </c>
      <c r="M7" s="32">
        <f t="shared" ref="M7:M18" si="0">IF(ISNUMBER(VALUE(FIND("VRB",L7))),999,VALUE(MID(L7,20,3)))</f>
        <v>150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2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7000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8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0">IF(OR(AND(OR(J7="SKC",J7="FEW",J7="SCT"),OR(W7="SKC",W7="FEW",W7="SCT")),(AND(OR(J7="BKN",J7="OVC"),OR(W7="BKN",W7="OVC")))),1,0)</f>
        <v>1</v>
      </c>
      <c r="Y7" s="34">
        <f t="shared" ref="Y7:Y18" si="11">IF(ISNUMBER(VALUE(FIND("CAVOK",L7))),9999,IF(ISNUMBER(VALUE(FIND("NSC",L7))),9999,(MID(L7,(FIND(W7,L7)+4),2))*100))</f>
        <v>900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51" t="s">
        <v>39</v>
      </c>
      <c r="D8" s="29"/>
      <c r="E8" s="29">
        <v>100</v>
      </c>
      <c r="F8" s="29">
        <v>3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t="s">
        <v>677</v>
      </c>
      <c r="M8" s="32">
        <f t="shared" si="0"/>
        <v>100</v>
      </c>
      <c r="N8" s="33">
        <f t="shared" si="1"/>
        <v>1</v>
      </c>
      <c r="O8" s="33">
        <f t="shared" si="2"/>
        <v>7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51" t="s">
        <v>39</v>
      </c>
      <c r="D9" s="29"/>
      <c r="E9" s="29">
        <v>100</v>
      </c>
      <c r="F9" s="29">
        <v>3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t="s">
        <v>676</v>
      </c>
      <c r="M9" s="32">
        <f t="shared" si="0"/>
        <v>100</v>
      </c>
      <c r="N9" s="33">
        <f t="shared" si="1"/>
        <v>1</v>
      </c>
      <c r="O9" s="33">
        <f t="shared" si="2"/>
        <v>7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800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51" t="s">
        <v>39</v>
      </c>
      <c r="D10" s="29"/>
      <c r="E10" s="29">
        <v>100</v>
      </c>
      <c r="F10" s="29">
        <v>3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t="s">
        <v>675</v>
      </c>
      <c r="M10" s="32">
        <f t="shared" si="0"/>
        <v>100</v>
      </c>
      <c r="N10" s="33">
        <f t="shared" si="1"/>
        <v>1</v>
      </c>
      <c r="O10" s="33">
        <f t="shared" si="2"/>
        <v>5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51" t="s">
        <v>39</v>
      </c>
      <c r="D11" s="29"/>
      <c r="E11" s="29">
        <v>100</v>
      </c>
      <c r="F11" s="29">
        <v>3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t="s">
        <v>674</v>
      </c>
      <c r="M11" s="32">
        <f t="shared" si="0"/>
        <v>60</v>
      </c>
      <c r="N11" s="33">
        <f t="shared" si="1"/>
        <v>1</v>
      </c>
      <c r="O11" s="33">
        <f t="shared" si="2"/>
        <v>3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51" t="s">
        <v>40</v>
      </c>
      <c r="D12" s="29"/>
      <c r="E12" s="29">
        <v>100</v>
      </c>
      <c r="F12" s="29">
        <v>3</v>
      </c>
      <c r="G12" s="29">
        <v>0</v>
      </c>
      <c r="H12" s="29">
        <v>4000</v>
      </c>
      <c r="I12" s="29" t="s">
        <v>52</v>
      </c>
      <c r="J12" s="29" t="s">
        <v>58</v>
      </c>
      <c r="K12" s="29">
        <v>900</v>
      </c>
      <c r="L12" t="s">
        <v>673</v>
      </c>
      <c r="M12" s="32">
        <f t="shared" si="0"/>
        <v>20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0</v>
      </c>
      <c r="U12" s="34">
        <f t="shared" si="7"/>
        <v>0</v>
      </c>
      <c r="V12" s="34">
        <f t="shared" si="8"/>
        <v>0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51" t="s">
        <v>40</v>
      </c>
      <c r="D13" s="29"/>
      <c r="E13" s="29">
        <v>100</v>
      </c>
      <c r="F13" s="29">
        <v>3</v>
      </c>
      <c r="G13" s="29">
        <v>0</v>
      </c>
      <c r="H13" s="29">
        <v>4000</v>
      </c>
      <c r="I13" s="29" t="s">
        <v>52</v>
      </c>
      <c r="J13" s="29" t="s">
        <v>58</v>
      </c>
      <c r="K13" s="29">
        <v>900</v>
      </c>
      <c r="L13" t="s">
        <v>681</v>
      </c>
      <c r="M13" s="32">
        <f t="shared" si="0"/>
        <v>290</v>
      </c>
      <c r="N13" s="33">
        <f t="shared" si="1"/>
        <v>1</v>
      </c>
      <c r="O13" s="33">
        <f t="shared" si="2"/>
        <v>2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0</v>
      </c>
      <c r="U13" s="34">
        <f t="shared" si="7"/>
        <v>0</v>
      </c>
      <c r="V13" s="34">
        <f t="shared" si="8"/>
        <v>0</v>
      </c>
      <c r="W13" s="34" t="str">
        <f t="shared" si="9"/>
        <v>BKN</v>
      </c>
      <c r="X13" s="34">
        <f t="shared" si="10"/>
        <v>1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51" t="s">
        <v>40</v>
      </c>
      <c r="D14" s="29"/>
      <c r="E14" s="29">
        <v>100</v>
      </c>
      <c r="F14" s="29">
        <v>3</v>
      </c>
      <c r="G14" s="29">
        <v>0</v>
      </c>
      <c r="H14" s="29">
        <v>4000</v>
      </c>
      <c r="I14" s="29" t="s">
        <v>52</v>
      </c>
      <c r="J14" s="29" t="s">
        <v>58</v>
      </c>
      <c r="K14" s="29">
        <v>900</v>
      </c>
      <c r="L14" t="s">
        <v>682</v>
      </c>
      <c r="M14" s="32">
        <f t="shared" si="0"/>
        <v>170</v>
      </c>
      <c r="N14" s="33">
        <f t="shared" si="1"/>
        <v>1</v>
      </c>
      <c r="O14" s="33">
        <f t="shared" si="2"/>
        <v>3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0</v>
      </c>
      <c r="U14" s="34">
        <f t="shared" si="7"/>
        <v>0</v>
      </c>
      <c r="V14" s="34">
        <f t="shared" si="8"/>
        <v>0</v>
      </c>
      <c r="W14" s="34" t="str">
        <f t="shared" si="9"/>
        <v>BKN</v>
      </c>
      <c r="X14" s="34">
        <f t="shared" si="10"/>
        <v>1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51" t="s">
        <v>40</v>
      </c>
      <c r="D15" s="29"/>
      <c r="E15" s="29">
        <v>100</v>
      </c>
      <c r="F15" s="29">
        <v>3</v>
      </c>
      <c r="G15" s="29">
        <v>0</v>
      </c>
      <c r="H15" s="29">
        <v>4000</v>
      </c>
      <c r="I15" s="29" t="s">
        <v>52</v>
      </c>
      <c r="J15" s="29" t="s">
        <v>58</v>
      </c>
      <c r="K15" s="29">
        <v>900</v>
      </c>
      <c r="L15" s="29" t="s">
        <v>742</v>
      </c>
      <c r="M15" s="32">
        <f t="shared" si="0"/>
        <v>290</v>
      </c>
      <c r="N15" s="33">
        <f t="shared" si="1"/>
        <v>1</v>
      </c>
      <c r="O15" s="33">
        <f t="shared" si="2"/>
        <v>2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3"/>
        <v>8000</v>
      </c>
      <c r="T15" s="34">
        <f t="shared" si="6"/>
        <v>0</v>
      </c>
      <c r="U15" s="34">
        <f t="shared" si="7"/>
        <v>0</v>
      </c>
      <c r="V15" s="34">
        <f t="shared" si="8"/>
        <v>0</v>
      </c>
      <c r="W15" s="34" t="str">
        <f t="shared" si="9"/>
        <v>BKN</v>
      </c>
      <c r="X15" s="34">
        <f t="shared" si="10"/>
        <v>1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51" t="s">
        <v>39</v>
      </c>
      <c r="D16" s="29"/>
      <c r="E16" s="29">
        <v>100</v>
      </c>
      <c r="F16" s="29">
        <v>3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29" t="s">
        <v>743</v>
      </c>
      <c r="M16" s="32">
        <f t="shared" si="0"/>
        <v>280</v>
      </c>
      <c r="N16" s="33">
        <f t="shared" si="1"/>
        <v>1</v>
      </c>
      <c r="O16" s="33">
        <f t="shared" si="2"/>
        <v>2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3"/>
        <v>8000</v>
      </c>
      <c r="T16" s="34">
        <f t="shared" si="6"/>
        <v>1</v>
      </c>
      <c r="U16" s="34">
        <f t="shared" si="7"/>
        <v>0</v>
      </c>
      <c r="V16" s="34">
        <f t="shared" si="8"/>
        <v>1</v>
      </c>
      <c r="W16" s="34" t="str">
        <f t="shared" si="9"/>
        <v>BKN</v>
      </c>
      <c r="X16" s="34">
        <f t="shared" si="10"/>
        <v>1</v>
      </c>
      <c r="Y16" s="34">
        <f t="shared" si="11"/>
        <v>900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51" t="s">
        <v>39</v>
      </c>
      <c r="D17" s="29"/>
      <c r="E17" s="29">
        <v>100</v>
      </c>
      <c r="F17" s="29">
        <v>3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29" t="s">
        <v>744</v>
      </c>
      <c r="M17" s="32">
        <f t="shared" si="0"/>
        <v>0</v>
      </c>
      <c r="N17" s="33">
        <f t="shared" si="1"/>
        <v>1</v>
      </c>
      <c r="O17" s="33">
        <f t="shared" si="2"/>
        <v>0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3"/>
        <v>8000</v>
      </c>
      <c r="T17" s="34">
        <f t="shared" si="6"/>
        <v>1</v>
      </c>
      <c r="U17" s="34">
        <f t="shared" si="7"/>
        <v>0</v>
      </c>
      <c r="V17" s="34">
        <f t="shared" si="8"/>
        <v>1</v>
      </c>
      <c r="W17" s="34" t="str">
        <f t="shared" si="9"/>
        <v>BKN</v>
      </c>
      <c r="X17" s="34">
        <f t="shared" si="10"/>
        <v>1</v>
      </c>
      <c r="Y17" s="34">
        <f t="shared" si="11"/>
        <v>900</v>
      </c>
      <c r="Z17" s="34">
        <f t="shared" si="12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51" t="s">
        <v>39</v>
      </c>
      <c r="D18" s="29"/>
      <c r="E18" s="29">
        <v>100</v>
      </c>
      <c r="F18" s="29">
        <v>3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29" t="s">
        <v>745</v>
      </c>
      <c r="M18" s="32">
        <f t="shared" si="0"/>
        <v>310</v>
      </c>
      <c r="N18" s="33">
        <f t="shared" si="1"/>
        <v>1</v>
      </c>
      <c r="O18" s="33">
        <f t="shared" si="2"/>
        <v>2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3"/>
        <v>8000</v>
      </c>
      <c r="T18" s="34">
        <f t="shared" si="6"/>
        <v>1</v>
      </c>
      <c r="U18" s="34">
        <f t="shared" si="7"/>
        <v>0</v>
      </c>
      <c r="V18" s="34">
        <f t="shared" si="8"/>
        <v>1</v>
      </c>
      <c r="W18" s="34" t="str">
        <f t="shared" si="9"/>
        <v>FEW</v>
      </c>
      <c r="X18" s="34">
        <f t="shared" si="10"/>
        <v>0</v>
      </c>
      <c r="Y18" s="34">
        <f t="shared" si="11"/>
        <v>800</v>
      </c>
      <c r="Z18" s="34">
        <f t="shared" si="12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8</v>
      </c>
      <c r="U23" s="25"/>
      <c r="V23" s="25">
        <f>SUM(V7:V18)</f>
        <v>8</v>
      </c>
      <c r="W23" s="25"/>
      <c r="X23" s="25">
        <f>SUM(X7:X18)</f>
        <v>11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8</v>
      </c>
      <c r="O24" s="25"/>
      <c r="P24" s="25">
        <f>SUMIF($C7:$C18,"GENERAL",P7:P18)</f>
        <v>8</v>
      </c>
      <c r="Q24" s="25"/>
      <c r="R24" s="25">
        <f>SUMIF($C7:$C18,"GENERAL",R7:R18)</f>
        <v>8</v>
      </c>
      <c r="S24" s="25"/>
      <c r="T24" s="25">
        <f>SUMIF($C7:$C18,"GENERAL",T7:T18)</f>
        <v>8</v>
      </c>
      <c r="U24" s="25"/>
      <c r="V24" s="25">
        <f>SUMIF($C7:$C18,"GENERAL",V7:V18)</f>
        <v>8</v>
      </c>
      <c r="W24" s="25"/>
      <c r="X24" s="25">
        <f>SUMIF($C7:$C18,"GENERAL",X7:X18)</f>
        <v>7</v>
      </c>
      <c r="Y24" s="25"/>
      <c r="Z24" s="25">
        <f>SUMIF($C7:$C18,"GENERAL",Z7:Z18)</f>
        <v>8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4</v>
      </c>
      <c r="M27" s="42">
        <f>SUMIF($C7:$C18,"TEMPO",N7:N18)</f>
        <v>4</v>
      </c>
      <c r="N27" s="42">
        <f>M27</f>
        <v>4</v>
      </c>
      <c r="O27" s="42">
        <f>SUMIF($C7:$C18,"TEMPO",P7:P18)</f>
        <v>4</v>
      </c>
      <c r="P27" s="42">
        <f>O27</f>
        <v>4</v>
      </c>
      <c r="Q27" s="42">
        <f>SUMIF($C7:$C18,"TEMPO",R7:R18)</f>
        <v>4</v>
      </c>
      <c r="R27" s="42">
        <f>Q27</f>
        <v>4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4</v>
      </c>
      <c r="X27" s="42">
        <f>W27</f>
        <v>4</v>
      </c>
      <c r="Y27" s="42">
        <f>SUMIF($C7:$C18,"TEMPO",Z7:Z18)</f>
        <v>4</v>
      </c>
      <c r="Z27" s="42">
        <f>Y27</f>
        <v>4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66.666666666666657</v>
      </c>
      <c r="U28" s="38"/>
      <c r="V28" s="38">
        <f>(SUM(V24:V27)/COUNTA(V7:V18))*100</f>
        <v>66.666666666666657</v>
      </c>
      <c r="W28" s="38"/>
      <c r="X28" s="38">
        <f>(SUM(X24:X27)/COUNTA(X7:X18))*100</f>
        <v>91.666666666666657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680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23</v>
      </c>
      <c r="B36" s="28">
        <v>0.25</v>
      </c>
      <c r="C36" s="29" t="s">
        <v>39</v>
      </c>
      <c r="D36" s="30"/>
      <c r="E36" s="29">
        <v>120</v>
      </c>
      <c r="F36" s="29">
        <v>4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t="s">
        <v>681</v>
      </c>
      <c r="M36" s="32">
        <f t="shared" ref="M36:M47" si="14">IF(ISNUMBER(VALUE(FIND("VRB",L36))),999,VALUE(MID(L36,20,3)))</f>
        <v>290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2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1">IF(AND(IFERROR(FIND("RA",L36),0)&gt;0, IFERROR(FIND("RA",L36),0)&lt;38),"RA",0)</f>
        <v>0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7" si="24">IF(OR(AND(OR(J36="SKC",J36="FEW",J36="SCT"),OR(W36="SKC",W36="FEW",W36="SCT")),(AND(OR(J36="BKN",J36="OVC"),OR(W36="BKN",W36="OVC")))),1,0)</f>
        <v>1</v>
      </c>
      <c r="Y36" s="34">
        <f t="shared" ref="Y36:Y47" si="25">IF(ISNUMBER(VALUE(FIND("CAVOK",L36))),9999,IF(ISNUMBER(VALUE(FIND("NSC",L36))),9999,(MID(L36,(FIND(W36,L36)+4),2))*100))</f>
        <v>900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120</v>
      </c>
      <c r="F37" s="29">
        <v>4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t="s">
        <v>682</v>
      </c>
      <c r="M37" s="32">
        <f t="shared" si="14"/>
        <v>170</v>
      </c>
      <c r="N37" s="33">
        <f t="shared" si="15"/>
        <v>1</v>
      </c>
      <c r="O37" s="33">
        <f t="shared" si="16"/>
        <v>3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20"/>
        <v>1</v>
      </c>
      <c r="U37" s="34">
        <f t="shared" si="21"/>
        <v>0</v>
      </c>
      <c r="V37" s="34">
        <f t="shared" si="22"/>
        <v>1</v>
      </c>
      <c r="W37" s="34" t="str">
        <f t="shared" si="23"/>
        <v>BKN</v>
      </c>
      <c r="X37" s="34">
        <f t="shared" si="24"/>
        <v>1</v>
      </c>
      <c r="Y37" s="34">
        <f t="shared" si="25"/>
        <v>900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40</v>
      </c>
      <c r="D38" s="30"/>
      <c r="E38" s="29">
        <v>120</v>
      </c>
      <c r="F38" s="29">
        <v>4</v>
      </c>
      <c r="G38" s="29">
        <v>0</v>
      </c>
      <c r="H38" s="29">
        <v>4000</v>
      </c>
      <c r="I38" s="29" t="s">
        <v>52</v>
      </c>
      <c r="J38" s="29" t="s">
        <v>51</v>
      </c>
      <c r="K38" s="29">
        <v>800</v>
      </c>
      <c r="L38" s="29" t="s">
        <v>742</v>
      </c>
      <c r="M38" s="32">
        <f t="shared" si="14"/>
        <v>290</v>
      </c>
      <c r="N38" s="33">
        <f t="shared" si="15"/>
        <v>1</v>
      </c>
      <c r="O38" s="33">
        <f t="shared" si="16"/>
        <v>2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8000</v>
      </c>
      <c r="T38" s="34">
        <f t="shared" si="20"/>
        <v>0</v>
      </c>
      <c r="U38" s="34">
        <f t="shared" si="21"/>
        <v>0</v>
      </c>
      <c r="V38" s="34">
        <f t="shared" si="22"/>
        <v>0</v>
      </c>
      <c r="W38" s="34" t="str">
        <f t="shared" si="23"/>
        <v>BKN</v>
      </c>
      <c r="X38" s="34">
        <f t="shared" si="24"/>
        <v>0</v>
      </c>
      <c r="Y38" s="34">
        <f t="shared" si="25"/>
        <v>900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30"/>
      <c r="E39" s="29">
        <v>120</v>
      </c>
      <c r="F39" s="29">
        <v>4</v>
      </c>
      <c r="G39" s="29">
        <v>0</v>
      </c>
      <c r="H39" s="29">
        <v>4000</v>
      </c>
      <c r="I39" s="29" t="s">
        <v>52</v>
      </c>
      <c r="J39" s="29" t="s">
        <v>51</v>
      </c>
      <c r="K39" s="29">
        <v>800</v>
      </c>
      <c r="L39" s="29" t="s">
        <v>743</v>
      </c>
      <c r="M39" s="32">
        <f t="shared" si="14"/>
        <v>280</v>
      </c>
      <c r="N39" s="33">
        <f t="shared" si="15"/>
        <v>1</v>
      </c>
      <c r="O39" s="33">
        <f t="shared" si="16"/>
        <v>2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8000</v>
      </c>
      <c r="T39" s="34">
        <f t="shared" si="20"/>
        <v>0</v>
      </c>
      <c r="U39" s="34">
        <f t="shared" si="21"/>
        <v>0</v>
      </c>
      <c r="V39" s="34">
        <f t="shared" si="22"/>
        <v>0</v>
      </c>
      <c r="W39" s="34" t="str">
        <f t="shared" si="23"/>
        <v>BKN</v>
      </c>
      <c r="X39" s="34">
        <f t="shared" si="24"/>
        <v>0</v>
      </c>
      <c r="Y39" s="34">
        <f t="shared" si="25"/>
        <v>900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30"/>
      <c r="E40" s="29">
        <v>120</v>
      </c>
      <c r="F40" s="29">
        <v>4</v>
      </c>
      <c r="G40" s="29">
        <v>0</v>
      </c>
      <c r="H40" s="29">
        <v>4000</v>
      </c>
      <c r="I40" s="29" t="s">
        <v>52</v>
      </c>
      <c r="J40" s="29" t="s">
        <v>51</v>
      </c>
      <c r="K40" s="29">
        <v>800</v>
      </c>
      <c r="L40" s="29" t="s">
        <v>744</v>
      </c>
      <c r="M40" s="32">
        <f t="shared" si="14"/>
        <v>0</v>
      </c>
      <c r="N40" s="33">
        <f t="shared" si="15"/>
        <v>1</v>
      </c>
      <c r="O40" s="33">
        <f t="shared" si="16"/>
        <v>0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8000</v>
      </c>
      <c r="T40" s="34">
        <f t="shared" si="20"/>
        <v>0</v>
      </c>
      <c r="U40" s="34">
        <f t="shared" si="21"/>
        <v>0</v>
      </c>
      <c r="V40" s="34">
        <f t="shared" si="22"/>
        <v>0</v>
      </c>
      <c r="W40" s="34" t="str">
        <f t="shared" si="23"/>
        <v>BKN</v>
      </c>
      <c r="X40" s="34">
        <f t="shared" si="24"/>
        <v>0</v>
      </c>
      <c r="Y40" s="34">
        <f t="shared" si="25"/>
        <v>900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30"/>
      <c r="E41" s="29">
        <v>120</v>
      </c>
      <c r="F41" s="29">
        <v>4</v>
      </c>
      <c r="G41" s="29">
        <v>0</v>
      </c>
      <c r="H41" s="29">
        <v>4000</v>
      </c>
      <c r="I41" s="29" t="s">
        <v>52</v>
      </c>
      <c r="J41" s="29" t="s">
        <v>51</v>
      </c>
      <c r="K41" s="29">
        <v>800</v>
      </c>
      <c r="L41" s="29" t="s">
        <v>745</v>
      </c>
      <c r="M41" s="32">
        <f t="shared" si="14"/>
        <v>310</v>
      </c>
      <c r="N41" s="33">
        <f t="shared" si="15"/>
        <v>1</v>
      </c>
      <c r="O41" s="33">
        <f t="shared" si="16"/>
        <v>2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8000</v>
      </c>
      <c r="T41" s="34">
        <f t="shared" si="20"/>
        <v>0</v>
      </c>
      <c r="U41" s="34">
        <f t="shared" si="21"/>
        <v>0</v>
      </c>
      <c r="V41" s="34">
        <f t="shared" si="22"/>
        <v>0</v>
      </c>
      <c r="W41" s="34" t="str">
        <f t="shared" si="23"/>
        <v>FEW</v>
      </c>
      <c r="X41" s="34">
        <f t="shared" si="24"/>
        <v>1</v>
      </c>
      <c r="Y41" s="34">
        <f t="shared" si="25"/>
        <v>800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40</v>
      </c>
      <c r="D42" s="30"/>
      <c r="E42" s="29">
        <v>120</v>
      </c>
      <c r="F42" s="29">
        <v>4</v>
      </c>
      <c r="G42" s="29">
        <v>0</v>
      </c>
      <c r="H42" s="29">
        <v>4000</v>
      </c>
      <c r="I42" s="29" t="s">
        <v>52</v>
      </c>
      <c r="J42" s="29" t="s">
        <v>51</v>
      </c>
      <c r="K42" s="29">
        <v>800</v>
      </c>
      <c r="L42" s="29" t="s">
        <v>906</v>
      </c>
      <c r="M42" s="32">
        <f t="shared" si="14"/>
        <v>340</v>
      </c>
      <c r="N42" s="33">
        <f t="shared" si="15"/>
        <v>1</v>
      </c>
      <c r="O42" s="33">
        <f t="shared" si="16"/>
        <v>2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7"/>
        <v>8000</v>
      </c>
      <c r="T42" s="34">
        <f t="shared" si="20"/>
        <v>0</v>
      </c>
      <c r="U42" s="34">
        <f t="shared" si="21"/>
        <v>0</v>
      </c>
      <c r="V42" s="34">
        <f t="shared" si="22"/>
        <v>0</v>
      </c>
      <c r="W42" s="34" t="str">
        <f t="shared" si="23"/>
        <v>FEW</v>
      </c>
      <c r="X42" s="34">
        <f t="shared" si="24"/>
        <v>1</v>
      </c>
      <c r="Y42" s="34">
        <f t="shared" si="25"/>
        <v>800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120</v>
      </c>
      <c r="F43" s="29">
        <v>4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s="29" t="s">
        <v>746</v>
      </c>
      <c r="M43" s="32">
        <f t="shared" si="14"/>
        <v>360</v>
      </c>
      <c r="N43" s="33">
        <f t="shared" si="15"/>
        <v>1</v>
      </c>
      <c r="O43" s="33">
        <f t="shared" si="16"/>
        <v>3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7"/>
        <v>8000</v>
      </c>
      <c r="T43" s="34">
        <f t="shared" si="20"/>
        <v>1</v>
      </c>
      <c r="U43" s="34">
        <f t="shared" si="21"/>
        <v>0</v>
      </c>
      <c r="V43" s="34">
        <f t="shared" si="22"/>
        <v>1</v>
      </c>
      <c r="W43" s="34" t="str">
        <f t="shared" si="23"/>
        <v>FEW</v>
      </c>
      <c r="X43" s="34">
        <f t="shared" si="24"/>
        <v>0</v>
      </c>
      <c r="Y43" s="34">
        <f t="shared" si="25"/>
        <v>800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120</v>
      </c>
      <c r="F44" s="29">
        <v>4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s="29" t="s">
        <v>747</v>
      </c>
      <c r="M44" s="32">
        <f t="shared" si="14"/>
        <v>50</v>
      </c>
      <c r="N44" s="33">
        <f t="shared" si="15"/>
        <v>1</v>
      </c>
      <c r="O44" s="33">
        <f t="shared" si="16"/>
        <v>3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7"/>
        <v>1000</v>
      </c>
      <c r="T44" s="34">
        <f t="shared" si="20"/>
        <v>0</v>
      </c>
      <c r="U44" s="34" t="str">
        <f t="shared" si="21"/>
        <v>RA</v>
      </c>
      <c r="V44" s="34">
        <f t="shared" si="22"/>
        <v>0</v>
      </c>
      <c r="W44" s="34" t="str">
        <f t="shared" si="23"/>
        <v>FEW</v>
      </c>
      <c r="X44" s="34">
        <f t="shared" si="24"/>
        <v>0</v>
      </c>
      <c r="Y44" s="34">
        <f t="shared" si="25"/>
        <v>800</v>
      </c>
      <c r="Z44" s="34">
        <f t="shared" si="2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120</v>
      </c>
      <c r="F45" s="29">
        <v>4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s="29" t="s">
        <v>748</v>
      </c>
      <c r="M45" s="32">
        <f t="shared" si="14"/>
        <v>120</v>
      </c>
      <c r="N45" s="33">
        <f t="shared" si="15"/>
        <v>1</v>
      </c>
      <c r="O45" s="33">
        <f t="shared" si="16"/>
        <v>8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7"/>
        <v>700</v>
      </c>
      <c r="T45" s="34">
        <f t="shared" si="20"/>
        <v>0</v>
      </c>
      <c r="U45" s="34" t="str">
        <f t="shared" si="21"/>
        <v>RA</v>
      </c>
      <c r="V45" s="34">
        <f t="shared" si="22"/>
        <v>0</v>
      </c>
      <c r="W45" s="34" t="str">
        <f t="shared" si="23"/>
        <v>SCT</v>
      </c>
      <c r="X45" s="34">
        <f t="shared" si="24"/>
        <v>0</v>
      </c>
      <c r="Y45" s="34">
        <f t="shared" si="25"/>
        <v>800</v>
      </c>
      <c r="Z45" s="34">
        <f t="shared" si="2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120</v>
      </c>
      <c r="F46" s="29">
        <v>4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29" t="s">
        <v>749</v>
      </c>
      <c r="M46" s="32">
        <f t="shared" si="14"/>
        <v>90</v>
      </c>
      <c r="N46" s="33">
        <f t="shared" si="15"/>
        <v>1</v>
      </c>
      <c r="O46" s="33">
        <f t="shared" si="16"/>
        <v>4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7"/>
        <v>700</v>
      </c>
      <c r="T46" s="34">
        <f t="shared" si="20"/>
        <v>0</v>
      </c>
      <c r="U46" s="34" t="str">
        <f t="shared" si="21"/>
        <v>RA</v>
      </c>
      <c r="V46" s="34">
        <f t="shared" si="22"/>
        <v>0</v>
      </c>
      <c r="W46" s="34" t="str">
        <f t="shared" si="23"/>
        <v>FEW</v>
      </c>
      <c r="X46" s="34">
        <f t="shared" si="24"/>
        <v>0</v>
      </c>
      <c r="Y46" s="34">
        <f t="shared" si="25"/>
        <v>800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120</v>
      </c>
      <c r="F47" s="29">
        <v>4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29" t="s">
        <v>750</v>
      </c>
      <c r="M47" s="32">
        <f t="shared" si="14"/>
        <v>30</v>
      </c>
      <c r="N47" s="33">
        <f t="shared" si="15"/>
        <v>1</v>
      </c>
      <c r="O47" s="33">
        <f t="shared" si="16"/>
        <v>3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700</v>
      </c>
      <c r="T47" s="34">
        <f t="shared" si="20"/>
        <v>0</v>
      </c>
      <c r="U47" s="34" t="str">
        <f t="shared" si="21"/>
        <v>RA</v>
      </c>
      <c r="V47" s="34">
        <f t="shared" si="22"/>
        <v>0</v>
      </c>
      <c r="W47" s="34" t="str">
        <f t="shared" si="23"/>
        <v>FEW</v>
      </c>
      <c r="X47" s="34">
        <f t="shared" si="24"/>
        <v>0</v>
      </c>
      <c r="Y47" s="34">
        <f t="shared" si="25"/>
        <v>800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3</v>
      </c>
      <c r="U52" s="25"/>
      <c r="V52" s="25">
        <f>SUM(V36:V47)</f>
        <v>3</v>
      </c>
      <c r="W52" s="25"/>
      <c r="X52" s="25">
        <f>SUM(X36:X47)</f>
        <v>4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7</v>
      </c>
      <c r="O53" s="25"/>
      <c r="P53" s="25">
        <f>SUMIF($C36:$C47,"GENERAL",P36:P47)</f>
        <v>7</v>
      </c>
      <c r="Q53" s="25"/>
      <c r="R53" s="25">
        <f>SUMIF($C36:$C47,"GENERAL",R36:R47)</f>
        <v>7</v>
      </c>
      <c r="S53" s="25"/>
      <c r="T53" s="25">
        <f>SUMIF($C36:$C47,"GENERAL",T36:T47)</f>
        <v>3</v>
      </c>
      <c r="U53" s="25"/>
      <c r="V53" s="25">
        <f>SUMIF($C36:$C47,"GENERAL",V36:V47)</f>
        <v>3</v>
      </c>
      <c r="W53" s="25"/>
      <c r="X53" s="25">
        <f>SUMIF($C36:$C47,"GENERAL",X36:X47)</f>
        <v>2</v>
      </c>
      <c r="Y53" s="25"/>
      <c r="Z53" s="25">
        <f>SUMIF($C36:$C47,"GENERAL",Z36:Z47)</f>
        <v>7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5</v>
      </c>
      <c r="M56" s="42">
        <f>SUMIF($C36:$C47,"TEMPO",N36:N47)</f>
        <v>5</v>
      </c>
      <c r="N56" s="42">
        <f>M56</f>
        <v>5</v>
      </c>
      <c r="O56" s="42">
        <f>SUMIF($C36:$C47,"TEMPO",P36:P47)</f>
        <v>5</v>
      </c>
      <c r="P56" s="42">
        <f>O56</f>
        <v>5</v>
      </c>
      <c r="Q56" s="42">
        <f>SUMIF($C36:$C47,"TEMPO",R36:R47)</f>
        <v>5</v>
      </c>
      <c r="R56" s="42">
        <f>Q56</f>
        <v>5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2</v>
      </c>
      <c r="X56" s="42">
        <f>W56</f>
        <v>2</v>
      </c>
      <c r="Y56" s="42">
        <f>SUMIF($C36:$C47,"TEMPO",Z36:Z47)</f>
        <v>5</v>
      </c>
      <c r="Z56" s="42">
        <f>Y56</f>
        <v>5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25</v>
      </c>
      <c r="U57" s="38"/>
      <c r="V57" s="38">
        <f>(SUM(V53:V56)/COUNTA(V36:V47))*100</f>
        <v>25</v>
      </c>
      <c r="W57" s="38"/>
      <c r="X57" s="38">
        <f>(SUM(X53:X56)/COUNTA(X36:X47))*100</f>
        <v>33.333333333333329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765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23</v>
      </c>
      <c r="B65" s="50">
        <v>0.5</v>
      </c>
      <c r="C65" s="51" t="s">
        <v>39</v>
      </c>
      <c r="D65" s="52"/>
      <c r="E65" s="51">
        <v>80</v>
      </c>
      <c r="F65" s="51">
        <v>4</v>
      </c>
      <c r="G65" s="51">
        <v>0</v>
      </c>
      <c r="H65" s="51">
        <v>8000</v>
      </c>
      <c r="I65" s="51">
        <v>0</v>
      </c>
      <c r="J65" s="51" t="s">
        <v>58</v>
      </c>
      <c r="K65" s="51">
        <v>900</v>
      </c>
      <c r="L65" s="29" t="s">
        <v>906</v>
      </c>
      <c r="M65" s="32">
        <f t="shared" ref="M65:M76" si="28">IF(ISNUMBER(VALUE(FIND("VRB",L65))),999,VALUE(MID(L65,20,3)))</f>
        <v>340</v>
      </c>
      <c r="N65" s="33">
        <f t="shared" ref="N65:N76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2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3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5">IF(AND(IFERROR(FIND("RA",L65),0)&gt;0, IFERROR(FIND("RA",L65),0)&lt;38),"RA",0)</f>
        <v>0</v>
      </c>
      <c r="V65" s="34">
        <f t="shared" ref="V65:V76" si="36">IF(U65=I65,1,0)</f>
        <v>1</v>
      </c>
      <c r="W65" s="34" t="str">
        <f t="shared" ref="W65:W76" si="3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6" si="38">IF(OR(AND(OR(J65="SKC",J65="FEW",J65="SCT"),OR(W65="SKC",W65="FEW",W65="SCT")),(AND(OR(J65="BKN",J65="OVC"),OR(W65="BKN",W65="OVC")))),1,0)</f>
        <v>0</v>
      </c>
      <c r="Y65" s="34">
        <f t="shared" ref="Y65:Y76" si="39">IF(ISNUMBER(VALUE(FIND("CAVOK",L65))),9999,IF(ISNUMBER(VALUE(FIND("NSC",L65))),9999,(MID(L65,(FIND(W65,L65)+4),2))*100))</f>
        <v>800</v>
      </c>
      <c r="Z65" s="34">
        <f t="shared" ref="Z65:Z76" si="4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80</v>
      </c>
      <c r="F66" s="51">
        <v>4</v>
      </c>
      <c r="G66" s="51">
        <v>0</v>
      </c>
      <c r="H66" s="51">
        <v>8000</v>
      </c>
      <c r="I66" s="51"/>
      <c r="J66" s="51" t="s">
        <v>58</v>
      </c>
      <c r="K66" s="51">
        <v>900</v>
      </c>
      <c r="L66" s="51" t="s">
        <v>746</v>
      </c>
      <c r="M66" s="32">
        <f t="shared" si="28"/>
        <v>360</v>
      </c>
      <c r="N66" s="33">
        <f t="shared" si="29"/>
        <v>1</v>
      </c>
      <c r="O66" s="33">
        <f t="shared" si="30"/>
        <v>3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ref="S66:S76" si="41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34"/>
        <v>1</v>
      </c>
      <c r="U66" s="34">
        <f t="shared" si="35"/>
        <v>0</v>
      </c>
      <c r="V66" s="34">
        <f t="shared" si="36"/>
        <v>1</v>
      </c>
      <c r="W66" s="34" t="str">
        <f t="shared" si="37"/>
        <v>FEW</v>
      </c>
      <c r="X66" s="34">
        <f t="shared" si="38"/>
        <v>0</v>
      </c>
      <c r="Y66" s="34">
        <f t="shared" si="39"/>
        <v>800</v>
      </c>
      <c r="Z66" s="34">
        <f t="shared" si="4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40</v>
      </c>
      <c r="D67" s="52"/>
      <c r="E67" s="51">
        <v>80</v>
      </c>
      <c r="F67" s="51">
        <v>4</v>
      </c>
      <c r="G67" s="51">
        <v>0</v>
      </c>
      <c r="H67" s="51">
        <v>2000</v>
      </c>
      <c r="I67" s="51" t="s">
        <v>556</v>
      </c>
      <c r="J67" s="51" t="s">
        <v>58</v>
      </c>
      <c r="K67" s="51">
        <v>900</v>
      </c>
      <c r="L67" s="51" t="s">
        <v>747</v>
      </c>
      <c r="M67" s="32">
        <f t="shared" si="28"/>
        <v>50</v>
      </c>
      <c r="N67" s="33">
        <f t="shared" si="29"/>
        <v>1</v>
      </c>
      <c r="O67" s="33">
        <f t="shared" si="30"/>
        <v>3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41"/>
        <v>1000</v>
      </c>
      <c r="T67" s="34">
        <f t="shared" si="34"/>
        <v>0</v>
      </c>
      <c r="U67" s="34" t="str">
        <f t="shared" si="35"/>
        <v>RA</v>
      </c>
      <c r="V67" s="34">
        <f t="shared" si="36"/>
        <v>0</v>
      </c>
      <c r="W67" s="34" t="str">
        <f t="shared" si="37"/>
        <v>FEW</v>
      </c>
      <c r="X67" s="34">
        <f t="shared" si="38"/>
        <v>0</v>
      </c>
      <c r="Y67" s="34">
        <f t="shared" si="39"/>
        <v>800</v>
      </c>
      <c r="Z67" s="34">
        <f t="shared" si="4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40</v>
      </c>
      <c r="D68" s="52"/>
      <c r="E68" s="51">
        <v>80</v>
      </c>
      <c r="F68" s="51">
        <v>4</v>
      </c>
      <c r="G68" s="51">
        <v>0</v>
      </c>
      <c r="H68" s="51">
        <v>2000</v>
      </c>
      <c r="I68" s="51" t="s">
        <v>556</v>
      </c>
      <c r="J68" s="51" t="s">
        <v>58</v>
      </c>
      <c r="K68" s="51">
        <v>900</v>
      </c>
      <c r="L68" s="51" t="s">
        <v>748</v>
      </c>
      <c r="M68" s="32">
        <f t="shared" si="28"/>
        <v>120</v>
      </c>
      <c r="N68" s="33">
        <f t="shared" si="29"/>
        <v>1</v>
      </c>
      <c r="O68" s="33">
        <f t="shared" si="30"/>
        <v>8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41"/>
        <v>700</v>
      </c>
      <c r="T68" s="34">
        <f t="shared" si="34"/>
        <v>0</v>
      </c>
      <c r="U68" s="34" t="str">
        <f t="shared" si="35"/>
        <v>RA</v>
      </c>
      <c r="V68" s="34">
        <f t="shared" si="36"/>
        <v>0</v>
      </c>
      <c r="W68" s="34" t="str">
        <f t="shared" si="37"/>
        <v>SCT</v>
      </c>
      <c r="X68" s="34">
        <f t="shared" si="38"/>
        <v>0</v>
      </c>
      <c r="Y68" s="34">
        <f t="shared" si="39"/>
        <v>800</v>
      </c>
      <c r="Z68" s="34">
        <f t="shared" si="4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80</v>
      </c>
      <c r="F69" s="51">
        <v>4</v>
      </c>
      <c r="G69" s="51">
        <v>0</v>
      </c>
      <c r="H69" s="51">
        <v>2000</v>
      </c>
      <c r="I69" s="51" t="s">
        <v>556</v>
      </c>
      <c r="J69" s="51" t="s">
        <v>58</v>
      </c>
      <c r="K69" s="51">
        <v>900</v>
      </c>
      <c r="L69" s="51" t="s">
        <v>749</v>
      </c>
      <c r="M69" s="32">
        <f t="shared" si="28"/>
        <v>90</v>
      </c>
      <c r="N69" s="33">
        <f t="shared" si="29"/>
        <v>1</v>
      </c>
      <c r="O69" s="33">
        <f t="shared" si="30"/>
        <v>4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41"/>
        <v>700</v>
      </c>
      <c r="T69" s="34">
        <f t="shared" si="34"/>
        <v>0</v>
      </c>
      <c r="U69" s="34" t="str">
        <f t="shared" si="35"/>
        <v>RA</v>
      </c>
      <c r="V69" s="34">
        <f t="shared" si="36"/>
        <v>0</v>
      </c>
      <c r="W69" s="34" t="str">
        <f t="shared" si="37"/>
        <v>FEW</v>
      </c>
      <c r="X69" s="34">
        <f t="shared" si="38"/>
        <v>0</v>
      </c>
      <c r="Y69" s="34">
        <f t="shared" si="39"/>
        <v>800</v>
      </c>
      <c r="Z69" s="34">
        <f t="shared" si="4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80</v>
      </c>
      <c r="F70" s="51">
        <v>4</v>
      </c>
      <c r="G70" s="51">
        <v>0</v>
      </c>
      <c r="H70" s="51">
        <v>2000</v>
      </c>
      <c r="I70" s="51" t="s">
        <v>556</v>
      </c>
      <c r="J70" s="51" t="s">
        <v>58</v>
      </c>
      <c r="K70" s="51">
        <v>900</v>
      </c>
      <c r="L70" s="51" t="s">
        <v>750</v>
      </c>
      <c r="M70" s="32">
        <f t="shared" si="28"/>
        <v>30</v>
      </c>
      <c r="N70" s="33">
        <f t="shared" si="29"/>
        <v>1</v>
      </c>
      <c r="O70" s="33">
        <f t="shared" si="30"/>
        <v>3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41"/>
        <v>700</v>
      </c>
      <c r="T70" s="34">
        <f t="shared" si="34"/>
        <v>0</v>
      </c>
      <c r="U70" s="34" t="str">
        <f t="shared" si="35"/>
        <v>RA</v>
      </c>
      <c r="V70" s="34">
        <f t="shared" si="36"/>
        <v>0</v>
      </c>
      <c r="W70" s="34" t="str">
        <f t="shared" si="37"/>
        <v>FEW</v>
      </c>
      <c r="X70" s="34">
        <f t="shared" si="38"/>
        <v>0</v>
      </c>
      <c r="Y70" s="34">
        <f t="shared" si="39"/>
        <v>800</v>
      </c>
      <c r="Z70" s="34">
        <f t="shared" si="4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40</v>
      </c>
      <c r="D71" s="52"/>
      <c r="E71" s="51">
        <v>80</v>
      </c>
      <c r="F71" s="51">
        <v>4</v>
      </c>
      <c r="G71" s="51">
        <v>0</v>
      </c>
      <c r="H71" s="51">
        <v>2000</v>
      </c>
      <c r="I71" s="51" t="s">
        <v>556</v>
      </c>
      <c r="J71" s="51" t="s">
        <v>58</v>
      </c>
      <c r="K71" s="51">
        <v>900</v>
      </c>
      <c r="L71" s="51" t="s">
        <v>751</v>
      </c>
      <c r="M71" s="32">
        <f t="shared" si="28"/>
        <v>360</v>
      </c>
      <c r="N71" s="33">
        <f t="shared" si="29"/>
        <v>1</v>
      </c>
      <c r="O71" s="33">
        <f t="shared" si="30"/>
        <v>4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41"/>
        <v>700</v>
      </c>
      <c r="T71" s="34">
        <f t="shared" si="34"/>
        <v>0</v>
      </c>
      <c r="U71" s="34" t="str">
        <f t="shared" si="35"/>
        <v>RA</v>
      </c>
      <c r="V71" s="34">
        <f t="shared" si="36"/>
        <v>0</v>
      </c>
      <c r="W71" s="34" t="str">
        <f t="shared" si="37"/>
        <v>FEW</v>
      </c>
      <c r="X71" s="34">
        <f t="shared" si="38"/>
        <v>0</v>
      </c>
      <c r="Y71" s="34">
        <f t="shared" si="39"/>
        <v>800</v>
      </c>
      <c r="Z71" s="34">
        <f t="shared" si="40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80</v>
      </c>
      <c r="F72" s="51">
        <v>4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s="51" t="s">
        <v>752</v>
      </c>
      <c r="M72" s="32">
        <f t="shared" si="28"/>
        <v>220</v>
      </c>
      <c r="N72" s="33">
        <f t="shared" si="29"/>
        <v>1</v>
      </c>
      <c r="O72" s="33">
        <f t="shared" si="30"/>
        <v>2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41"/>
        <v>700</v>
      </c>
      <c r="T72" s="34">
        <f t="shared" si="34"/>
        <v>0</v>
      </c>
      <c r="U72" s="34" t="str">
        <f t="shared" si="35"/>
        <v>RA</v>
      </c>
      <c r="V72" s="34">
        <f t="shared" si="36"/>
        <v>0</v>
      </c>
      <c r="W72" s="34" t="str">
        <f t="shared" si="37"/>
        <v>OVC</v>
      </c>
      <c r="X72" s="34">
        <f t="shared" si="38"/>
        <v>1</v>
      </c>
      <c r="Y72" s="34">
        <f t="shared" si="39"/>
        <v>800</v>
      </c>
      <c r="Z72" s="34">
        <f t="shared" si="4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80</v>
      </c>
      <c r="F73" s="51">
        <v>4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s="51" t="s">
        <v>753</v>
      </c>
      <c r="M73" s="32">
        <f t="shared" si="28"/>
        <v>0</v>
      </c>
      <c r="N73" s="33">
        <f t="shared" si="29"/>
        <v>1</v>
      </c>
      <c r="O73" s="33">
        <f t="shared" si="30"/>
        <v>0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41"/>
        <v>700</v>
      </c>
      <c r="T73" s="34">
        <f t="shared" si="34"/>
        <v>0</v>
      </c>
      <c r="U73" s="34" t="str">
        <f t="shared" si="35"/>
        <v>RA</v>
      </c>
      <c r="V73" s="34">
        <f t="shared" si="36"/>
        <v>0</v>
      </c>
      <c r="W73" s="34" t="str">
        <f t="shared" si="37"/>
        <v>OVC</v>
      </c>
      <c r="X73" s="34">
        <f t="shared" si="38"/>
        <v>1</v>
      </c>
      <c r="Y73" s="34">
        <f t="shared" si="39"/>
        <v>800</v>
      </c>
      <c r="Z73" s="34">
        <f t="shared" si="4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80</v>
      </c>
      <c r="F74" s="51">
        <v>4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s="51" t="s">
        <v>754</v>
      </c>
      <c r="M74" s="32">
        <f t="shared" si="28"/>
        <v>300</v>
      </c>
      <c r="N74" s="33">
        <f t="shared" si="29"/>
        <v>1</v>
      </c>
      <c r="O74" s="33">
        <f t="shared" si="30"/>
        <v>2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41"/>
        <v>1000</v>
      </c>
      <c r="T74" s="34">
        <f t="shared" si="34"/>
        <v>0</v>
      </c>
      <c r="U74" s="34">
        <f t="shared" si="35"/>
        <v>0</v>
      </c>
      <c r="V74" s="34">
        <f t="shared" si="36"/>
        <v>1</v>
      </c>
      <c r="W74" s="34" t="str">
        <f t="shared" si="37"/>
        <v>OVC</v>
      </c>
      <c r="X74" s="34">
        <f t="shared" si="38"/>
        <v>1</v>
      </c>
      <c r="Y74" s="34">
        <f t="shared" si="39"/>
        <v>800</v>
      </c>
      <c r="Z74" s="34">
        <f t="shared" si="4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80</v>
      </c>
      <c r="F75" s="51">
        <v>4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s="51" t="s">
        <v>755</v>
      </c>
      <c r="M75" s="32">
        <f t="shared" si="28"/>
        <v>220</v>
      </c>
      <c r="N75" s="33">
        <f t="shared" si="29"/>
        <v>1</v>
      </c>
      <c r="O75" s="33">
        <f t="shared" si="30"/>
        <v>2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41"/>
        <v>800</v>
      </c>
      <c r="T75" s="34">
        <f t="shared" si="34"/>
        <v>0</v>
      </c>
      <c r="U75" s="34" t="str">
        <f t="shared" si="35"/>
        <v>RA</v>
      </c>
      <c r="V75" s="34">
        <f t="shared" si="36"/>
        <v>0</v>
      </c>
      <c r="W75" s="34" t="str">
        <f t="shared" si="37"/>
        <v>OVC</v>
      </c>
      <c r="X75" s="34">
        <f t="shared" si="38"/>
        <v>1</v>
      </c>
      <c r="Y75" s="34">
        <f t="shared" si="39"/>
        <v>800</v>
      </c>
      <c r="Z75" s="34">
        <f t="shared" si="4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80</v>
      </c>
      <c r="F76" s="51">
        <v>4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s="51" t="s">
        <v>756</v>
      </c>
      <c r="M76" s="32">
        <f t="shared" si="28"/>
        <v>0</v>
      </c>
      <c r="N76" s="33">
        <f t="shared" si="29"/>
        <v>1</v>
      </c>
      <c r="O76" s="33">
        <f t="shared" si="30"/>
        <v>0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41"/>
        <v>5000</v>
      </c>
      <c r="T76" s="34">
        <f t="shared" si="34"/>
        <v>1</v>
      </c>
      <c r="U76" s="34">
        <f t="shared" si="35"/>
        <v>0</v>
      </c>
      <c r="V76" s="34">
        <f t="shared" si="36"/>
        <v>1</v>
      </c>
      <c r="W76" s="34" t="str">
        <f t="shared" si="37"/>
        <v>SCT</v>
      </c>
      <c r="X76" s="34">
        <f t="shared" si="38"/>
        <v>0</v>
      </c>
      <c r="Y76" s="34">
        <f t="shared" si="39"/>
        <v>800</v>
      </c>
      <c r="Z76" s="34">
        <f t="shared" si="4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3</v>
      </c>
      <c r="U80" s="25"/>
      <c r="V80" s="25">
        <f>SUM(V64:V76)</f>
        <v>4</v>
      </c>
      <c r="W80" s="25"/>
      <c r="X80" s="25">
        <f>SUM(X64:X76)</f>
        <v>4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7</v>
      </c>
      <c r="O81" s="25"/>
      <c r="P81" s="25">
        <f>SUMIF($C64:$C76,"GENERAL",P64:P76)</f>
        <v>7</v>
      </c>
      <c r="Q81" s="25"/>
      <c r="R81" s="25">
        <f>SUMIF($C64:$C76,"GENERAL",R64:R76)</f>
        <v>7</v>
      </c>
      <c r="S81" s="25"/>
      <c r="T81" s="25">
        <f>SUMIF($C64:$C76,"GENERAL",T64:T76)</f>
        <v>3</v>
      </c>
      <c r="U81" s="25"/>
      <c r="V81" s="25">
        <f>SUMIF($C64:$C76,"GENERAL",V64:V76)</f>
        <v>4</v>
      </c>
      <c r="W81" s="25"/>
      <c r="X81" s="25">
        <f>SUMIF($C64:$C76,"GENERAL",X64:X76)</f>
        <v>4</v>
      </c>
      <c r="Y81" s="25"/>
      <c r="Z81" s="25">
        <f>SUMIF($C64:$C76,"GENERAL",Z64:Z76)</f>
        <v>7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5</v>
      </c>
      <c r="M84" s="42">
        <f>SUMIF($C64:$C76,"TEMPO",N64:N76)</f>
        <v>5</v>
      </c>
      <c r="N84" s="42">
        <f>M84</f>
        <v>5</v>
      </c>
      <c r="O84" s="42">
        <f>SUMIF($C64:$C76,"TEMPO",P64:P76)</f>
        <v>5</v>
      </c>
      <c r="P84" s="42">
        <f>O84</f>
        <v>5</v>
      </c>
      <c r="Q84" s="42">
        <f>SUMIF($C64:$C76,"TEMPO",R64:R76)</f>
        <v>5</v>
      </c>
      <c r="R84" s="42">
        <f>Q84</f>
        <v>5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5</v>
      </c>
      <c r="Z84" s="42">
        <f>Y84</f>
        <v>5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25</v>
      </c>
      <c r="U85" s="38"/>
      <c r="V85" s="38">
        <f>(SUM(V81:V84)/COUNTA(V64:V76))*100</f>
        <v>33.333333333333329</v>
      </c>
      <c r="W85" s="38"/>
      <c r="X85" s="38">
        <f>(SUM(X81:X84)/COUNTA(X64:X76))*100</f>
        <v>33.333333333333329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766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23</v>
      </c>
      <c r="B93" s="50">
        <v>0.75</v>
      </c>
      <c r="C93" s="51" t="s">
        <v>39</v>
      </c>
      <c r="D93" s="52"/>
      <c r="E93" s="51">
        <v>20</v>
      </c>
      <c r="F93" s="51">
        <v>4</v>
      </c>
      <c r="G93" s="51">
        <v>0</v>
      </c>
      <c r="H93" s="51">
        <v>1000</v>
      </c>
      <c r="I93" s="51" t="s">
        <v>556</v>
      </c>
      <c r="J93" s="51" t="s">
        <v>51</v>
      </c>
      <c r="K93" s="51">
        <v>800</v>
      </c>
      <c r="L93" s="51" t="s">
        <v>751</v>
      </c>
      <c r="M93" s="32">
        <f t="shared" ref="M93:M104" si="42">IF(ISNUMBER(VALUE(FIND("VRB",L93))),999,VALUE(MID(L93,20,3)))</f>
        <v>360</v>
      </c>
      <c r="N93" s="33">
        <f t="shared" ref="N93:N104" si="4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4">VALUE(MID(L93,23,2))</f>
        <v>4</v>
      </c>
      <c r="P93" s="33">
        <f t="shared" ref="P93:P104" si="45">IF(ABS(O93-F93)&lt;11,1,0)</f>
        <v>1</v>
      </c>
      <c r="Q93" s="34">
        <f t="shared" ref="Q93:Q104" si="46">IF(MID(L93,25,1)="G","GUST",0)</f>
        <v>0</v>
      </c>
      <c r="R93" s="33">
        <f t="shared" ref="R93:R104" si="47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700</v>
      </c>
      <c r="T93" s="34">
        <f t="shared" ref="T93:T104" si="48">IF(OR(AND(H93&lt;801,S93&lt;801),AND(H93&gt;799,H93&lt;1501,S93&gt;799,S93&lt;1502),AND(H93&gt;1499,H93&lt;3001,S93&gt;1499,S93&lt;3001),AND(H93&gt;2999,H93&lt;5001,S93&gt;2999,S93&lt;5001),AND(H93&gt;4999,S93&gt;4999)),1,0)</f>
        <v>0</v>
      </c>
      <c r="U93" s="34" t="str">
        <f t="shared" ref="U93:U104" si="49">IF(AND(IFERROR(FIND("RA",L93),0)&gt;0, IFERROR(FIND("RA",L93),0)&lt;38),"RA",0)</f>
        <v>RA</v>
      </c>
      <c r="V93" s="34">
        <f t="shared" ref="V93:V104" si="50">IF(U93=I93,1,0)</f>
        <v>0</v>
      </c>
      <c r="W93" s="34" t="str">
        <f t="shared" ref="W93:W104" si="51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FEW</v>
      </c>
      <c r="X93" s="34">
        <f t="shared" ref="X93:X104" si="52">IF(OR(AND(OR(J93="SKC",J93="FEW",J93="SCT"),OR(W93="SKC",W93="FEW",W93="SCT")),(AND(OR(J93="BKN",J93="OVC"),OR(W93="BKN",W93="OVC")))),1,0)</f>
        <v>1</v>
      </c>
      <c r="Y93" s="34">
        <f t="shared" ref="Y93:Y104" si="53">IF(ISNUMBER(VALUE(FIND("CAVOK",L93))),9999,IF(ISNUMBER(VALUE(FIND("NSC",L93))),9999,(MID(L93,(FIND(W93,L93)+4),2))*100))</f>
        <v>800</v>
      </c>
      <c r="Z93" s="34">
        <f t="shared" ref="Z93:Z104" si="54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20</v>
      </c>
      <c r="F94" s="51">
        <v>4</v>
      </c>
      <c r="G94" s="51">
        <v>0</v>
      </c>
      <c r="H94" s="51">
        <v>1000</v>
      </c>
      <c r="I94" s="51" t="s">
        <v>556</v>
      </c>
      <c r="J94" s="51" t="s">
        <v>51</v>
      </c>
      <c r="K94" s="51">
        <v>800</v>
      </c>
      <c r="L94" s="51" t="s">
        <v>752</v>
      </c>
      <c r="M94" s="32">
        <f t="shared" si="42"/>
        <v>220</v>
      </c>
      <c r="N94" s="33">
        <f t="shared" si="43"/>
        <v>1</v>
      </c>
      <c r="O94" s="33">
        <f t="shared" si="44"/>
        <v>2</v>
      </c>
      <c r="P94" s="33">
        <f t="shared" si="45"/>
        <v>1</v>
      </c>
      <c r="Q94" s="34">
        <f t="shared" si="46"/>
        <v>0</v>
      </c>
      <c r="R94" s="33">
        <f t="shared" si="47"/>
        <v>1</v>
      </c>
      <c r="S94" s="34">
        <f t="shared" ref="S94:S104" si="55">IF(ISNUMBER(VALUE(MID(L94,(FIND("KT",L94,FIND("Z",L94))+3),4))),VALUE(MID(L94,(FIND("KT",L94,FIND("Z",L94))+3),4)),IF(ISNUMBER(VALUE(MID(L94,(FIND("0V",L94)+6),4))),VALUE(MID(L94,(FIND("0V",L94)+6),4)),9999))</f>
        <v>700</v>
      </c>
      <c r="T94" s="34">
        <f t="shared" si="48"/>
        <v>0</v>
      </c>
      <c r="U94" s="34" t="str">
        <f t="shared" si="49"/>
        <v>RA</v>
      </c>
      <c r="V94" s="34">
        <f t="shared" si="50"/>
        <v>0</v>
      </c>
      <c r="W94" s="34" t="str">
        <f t="shared" si="51"/>
        <v>OVC</v>
      </c>
      <c r="X94" s="34">
        <f t="shared" si="52"/>
        <v>0</v>
      </c>
      <c r="Y94" s="34">
        <f t="shared" si="53"/>
        <v>800</v>
      </c>
      <c r="Z94" s="34">
        <f t="shared" si="54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20</v>
      </c>
      <c r="F95" s="51">
        <v>4</v>
      </c>
      <c r="G95" s="51">
        <v>0</v>
      </c>
      <c r="H95" s="51">
        <v>1000</v>
      </c>
      <c r="I95" s="51" t="s">
        <v>556</v>
      </c>
      <c r="J95" s="51" t="s">
        <v>51</v>
      </c>
      <c r="K95" s="51">
        <v>900</v>
      </c>
      <c r="L95" s="51" t="s">
        <v>753</v>
      </c>
      <c r="M95" s="32">
        <f t="shared" si="42"/>
        <v>0</v>
      </c>
      <c r="N95" s="33">
        <f t="shared" si="43"/>
        <v>1</v>
      </c>
      <c r="O95" s="33">
        <f t="shared" si="44"/>
        <v>0</v>
      </c>
      <c r="P95" s="33">
        <f t="shared" si="45"/>
        <v>1</v>
      </c>
      <c r="Q95" s="34">
        <f t="shared" si="46"/>
        <v>0</v>
      </c>
      <c r="R95" s="33">
        <f t="shared" si="47"/>
        <v>1</v>
      </c>
      <c r="S95" s="34">
        <f t="shared" si="55"/>
        <v>700</v>
      </c>
      <c r="T95" s="34">
        <f t="shared" si="48"/>
        <v>0</v>
      </c>
      <c r="U95" s="34" t="str">
        <f t="shared" si="49"/>
        <v>RA</v>
      </c>
      <c r="V95" s="34">
        <f t="shared" si="50"/>
        <v>0</v>
      </c>
      <c r="W95" s="34" t="str">
        <f t="shared" si="51"/>
        <v>OVC</v>
      </c>
      <c r="X95" s="34">
        <f t="shared" si="52"/>
        <v>0</v>
      </c>
      <c r="Y95" s="34">
        <f t="shared" si="53"/>
        <v>800</v>
      </c>
      <c r="Z95" s="34">
        <f t="shared" si="54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20</v>
      </c>
      <c r="F96" s="51">
        <v>4</v>
      </c>
      <c r="G96" s="51">
        <v>0</v>
      </c>
      <c r="H96" s="51">
        <v>1000</v>
      </c>
      <c r="I96" s="51" t="s">
        <v>556</v>
      </c>
      <c r="J96" s="51" t="s">
        <v>51</v>
      </c>
      <c r="K96" s="51">
        <v>900</v>
      </c>
      <c r="L96" s="51" t="s">
        <v>754</v>
      </c>
      <c r="M96" s="32">
        <f t="shared" si="42"/>
        <v>300</v>
      </c>
      <c r="N96" s="33">
        <f t="shared" si="43"/>
        <v>1</v>
      </c>
      <c r="O96" s="33">
        <f t="shared" si="44"/>
        <v>2</v>
      </c>
      <c r="P96" s="33">
        <f t="shared" si="45"/>
        <v>1</v>
      </c>
      <c r="Q96" s="34">
        <f t="shared" si="46"/>
        <v>0</v>
      </c>
      <c r="R96" s="33">
        <f t="shared" si="47"/>
        <v>1</v>
      </c>
      <c r="S96" s="34">
        <f t="shared" si="55"/>
        <v>1000</v>
      </c>
      <c r="T96" s="34">
        <f t="shared" si="48"/>
        <v>1</v>
      </c>
      <c r="U96" s="34">
        <f t="shared" si="49"/>
        <v>0</v>
      </c>
      <c r="V96" s="34">
        <f t="shared" si="50"/>
        <v>0</v>
      </c>
      <c r="W96" s="34" t="str">
        <f t="shared" si="51"/>
        <v>OVC</v>
      </c>
      <c r="X96" s="34">
        <f t="shared" si="52"/>
        <v>0</v>
      </c>
      <c r="Y96" s="34">
        <f t="shared" si="53"/>
        <v>800</v>
      </c>
      <c r="Z96" s="34">
        <f t="shared" si="54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20</v>
      </c>
      <c r="F97" s="51">
        <v>4</v>
      </c>
      <c r="G97" s="51">
        <v>0</v>
      </c>
      <c r="H97" s="51">
        <v>1000</v>
      </c>
      <c r="I97" s="51" t="s">
        <v>556</v>
      </c>
      <c r="J97" s="51" t="s">
        <v>51</v>
      </c>
      <c r="K97" s="51">
        <v>900</v>
      </c>
      <c r="L97" s="51" t="s">
        <v>755</v>
      </c>
      <c r="M97" s="32">
        <f t="shared" si="42"/>
        <v>220</v>
      </c>
      <c r="N97" s="33">
        <f t="shared" si="43"/>
        <v>1</v>
      </c>
      <c r="O97" s="33">
        <f t="shared" si="44"/>
        <v>2</v>
      </c>
      <c r="P97" s="33">
        <f t="shared" si="45"/>
        <v>1</v>
      </c>
      <c r="Q97" s="34">
        <f t="shared" si="46"/>
        <v>0</v>
      </c>
      <c r="R97" s="33">
        <f t="shared" si="47"/>
        <v>1</v>
      </c>
      <c r="S97" s="34">
        <f t="shared" si="55"/>
        <v>800</v>
      </c>
      <c r="T97" s="34">
        <f t="shared" si="48"/>
        <v>1</v>
      </c>
      <c r="U97" s="34" t="str">
        <f t="shared" si="49"/>
        <v>RA</v>
      </c>
      <c r="V97" s="34">
        <f t="shared" si="50"/>
        <v>0</v>
      </c>
      <c r="W97" s="34" t="str">
        <f t="shared" si="51"/>
        <v>OVC</v>
      </c>
      <c r="X97" s="34">
        <f t="shared" si="52"/>
        <v>0</v>
      </c>
      <c r="Y97" s="34">
        <f t="shared" si="53"/>
        <v>800</v>
      </c>
      <c r="Z97" s="34">
        <f t="shared" si="54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20</v>
      </c>
      <c r="F98" s="51">
        <v>4</v>
      </c>
      <c r="G98" s="51">
        <v>0</v>
      </c>
      <c r="H98" s="51">
        <v>1000</v>
      </c>
      <c r="I98" s="51" t="s">
        <v>556</v>
      </c>
      <c r="J98" s="51" t="s">
        <v>51</v>
      </c>
      <c r="K98" s="51">
        <v>900</v>
      </c>
      <c r="L98" s="51" t="s">
        <v>756</v>
      </c>
      <c r="M98" s="32">
        <f t="shared" si="42"/>
        <v>0</v>
      </c>
      <c r="N98" s="33">
        <f t="shared" si="43"/>
        <v>1</v>
      </c>
      <c r="O98" s="33">
        <f t="shared" si="44"/>
        <v>0</v>
      </c>
      <c r="P98" s="33">
        <f t="shared" si="45"/>
        <v>1</v>
      </c>
      <c r="Q98" s="34">
        <f t="shared" si="46"/>
        <v>0</v>
      </c>
      <c r="R98" s="33">
        <f t="shared" si="47"/>
        <v>1</v>
      </c>
      <c r="S98" s="34">
        <f t="shared" si="55"/>
        <v>5000</v>
      </c>
      <c r="T98" s="34">
        <f t="shared" si="48"/>
        <v>0</v>
      </c>
      <c r="U98" s="34">
        <f t="shared" si="49"/>
        <v>0</v>
      </c>
      <c r="V98" s="34">
        <f t="shared" si="50"/>
        <v>0</v>
      </c>
      <c r="W98" s="34" t="str">
        <f t="shared" si="51"/>
        <v>SCT</v>
      </c>
      <c r="X98" s="34">
        <f t="shared" si="52"/>
        <v>1</v>
      </c>
      <c r="Y98" s="34">
        <f t="shared" si="53"/>
        <v>800</v>
      </c>
      <c r="Z98" s="34">
        <f t="shared" si="54"/>
        <v>1</v>
      </c>
      <c r="AA98" s="25"/>
      <c r="AB98" s="25"/>
      <c r="AC98" s="25"/>
      <c r="AD98" s="25"/>
      <c r="AE98" s="25"/>
    </row>
    <row r="99" spans="1:31" ht="16.5">
      <c r="A99" s="55">
        <v>24</v>
      </c>
      <c r="B99" s="54">
        <v>0</v>
      </c>
      <c r="C99" s="51" t="s">
        <v>39</v>
      </c>
      <c r="D99" s="52"/>
      <c r="E99" s="51">
        <v>20</v>
      </c>
      <c r="F99" s="51">
        <v>4</v>
      </c>
      <c r="G99" s="51">
        <v>0</v>
      </c>
      <c r="H99" s="51">
        <v>1000</v>
      </c>
      <c r="I99" s="51" t="s">
        <v>556</v>
      </c>
      <c r="J99" s="51" t="s">
        <v>51</v>
      </c>
      <c r="K99" s="51">
        <v>900</v>
      </c>
      <c r="L99" s="51" t="s">
        <v>757</v>
      </c>
      <c r="M99" s="32">
        <f t="shared" si="42"/>
        <v>120</v>
      </c>
      <c r="N99" s="33">
        <f t="shared" si="43"/>
        <v>1</v>
      </c>
      <c r="O99" s="33">
        <f t="shared" si="44"/>
        <v>2</v>
      </c>
      <c r="P99" s="33">
        <f t="shared" si="45"/>
        <v>1</v>
      </c>
      <c r="Q99" s="34">
        <f t="shared" si="46"/>
        <v>0</v>
      </c>
      <c r="R99" s="33">
        <f t="shared" si="47"/>
        <v>1</v>
      </c>
      <c r="S99" s="34">
        <f t="shared" si="55"/>
        <v>5000</v>
      </c>
      <c r="T99" s="34">
        <f t="shared" si="48"/>
        <v>0</v>
      </c>
      <c r="U99" s="34">
        <f t="shared" si="49"/>
        <v>0</v>
      </c>
      <c r="V99" s="34">
        <f t="shared" si="50"/>
        <v>0</v>
      </c>
      <c r="W99" s="34" t="str">
        <f t="shared" si="51"/>
        <v>SCT</v>
      </c>
      <c r="X99" s="34">
        <f t="shared" si="52"/>
        <v>1</v>
      </c>
      <c r="Y99" s="34">
        <f t="shared" si="53"/>
        <v>800</v>
      </c>
      <c r="Z99" s="34">
        <f t="shared" si="54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34</v>
      </c>
      <c r="D100" s="52"/>
      <c r="E100" s="51">
        <v>20</v>
      </c>
      <c r="F100" s="51">
        <v>4</v>
      </c>
      <c r="G100" s="51">
        <v>0</v>
      </c>
      <c r="H100" s="51">
        <v>7000</v>
      </c>
      <c r="I100" s="51">
        <v>0</v>
      </c>
      <c r="J100" s="51" t="s">
        <v>58</v>
      </c>
      <c r="K100" s="51">
        <v>900</v>
      </c>
      <c r="L100" s="51" t="s">
        <v>758</v>
      </c>
      <c r="M100" s="32">
        <f t="shared" si="42"/>
        <v>120</v>
      </c>
      <c r="N100" s="33">
        <f t="shared" si="43"/>
        <v>1</v>
      </c>
      <c r="O100" s="33">
        <f t="shared" si="44"/>
        <v>2</v>
      </c>
      <c r="P100" s="33">
        <f t="shared" si="45"/>
        <v>1</v>
      </c>
      <c r="Q100" s="34">
        <f t="shared" si="46"/>
        <v>0</v>
      </c>
      <c r="R100" s="33">
        <f t="shared" si="47"/>
        <v>1</v>
      </c>
      <c r="S100" s="34">
        <f t="shared" si="55"/>
        <v>5000</v>
      </c>
      <c r="T100" s="34">
        <f t="shared" si="48"/>
        <v>1</v>
      </c>
      <c r="U100" s="34">
        <f t="shared" si="49"/>
        <v>0</v>
      </c>
      <c r="V100" s="34">
        <f t="shared" si="50"/>
        <v>1</v>
      </c>
      <c r="W100" s="34" t="str">
        <f t="shared" si="51"/>
        <v>SCT</v>
      </c>
      <c r="X100" s="34">
        <f t="shared" si="52"/>
        <v>0</v>
      </c>
      <c r="Y100" s="34">
        <f t="shared" si="53"/>
        <v>800</v>
      </c>
      <c r="Z100" s="34">
        <f t="shared" si="54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34</v>
      </c>
      <c r="D101" s="52"/>
      <c r="E101" s="51">
        <v>20</v>
      </c>
      <c r="F101" s="51">
        <v>4</v>
      </c>
      <c r="G101" s="51">
        <v>0</v>
      </c>
      <c r="H101" s="51">
        <v>7000</v>
      </c>
      <c r="I101" s="51">
        <v>0</v>
      </c>
      <c r="J101" s="51" t="s">
        <v>58</v>
      </c>
      <c r="K101" s="51">
        <v>900</v>
      </c>
      <c r="L101" s="51" t="s">
        <v>759</v>
      </c>
      <c r="M101" s="32">
        <f t="shared" si="42"/>
        <v>110</v>
      </c>
      <c r="N101" s="33">
        <f t="shared" si="43"/>
        <v>1</v>
      </c>
      <c r="O101" s="33">
        <f t="shared" si="44"/>
        <v>3</v>
      </c>
      <c r="P101" s="33">
        <f t="shared" si="45"/>
        <v>1</v>
      </c>
      <c r="Q101" s="34">
        <f t="shared" si="46"/>
        <v>0</v>
      </c>
      <c r="R101" s="33">
        <f t="shared" si="47"/>
        <v>1</v>
      </c>
      <c r="S101" s="34">
        <f t="shared" si="55"/>
        <v>5000</v>
      </c>
      <c r="T101" s="34">
        <f t="shared" si="48"/>
        <v>1</v>
      </c>
      <c r="U101" s="34">
        <f t="shared" si="49"/>
        <v>0</v>
      </c>
      <c r="V101" s="34">
        <f t="shared" si="50"/>
        <v>1</v>
      </c>
      <c r="W101" s="34" t="str">
        <f t="shared" si="51"/>
        <v>SCT</v>
      </c>
      <c r="X101" s="34">
        <f t="shared" si="52"/>
        <v>0</v>
      </c>
      <c r="Y101" s="34">
        <f t="shared" si="53"/>
        <v>800</v>
      </c>
      <c r="Z101" s="34">
        <f t="shared" si="54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34</v>
      </c>
      <c r="D102" s="52"/>
      <c r="E102" s="51">
        <v>20</v>
      </c>
      <c r="F102" s="51">
        <v>4</v>
      </c>
      <c r="G102" s="51">
        <v>0</v>
      </c>
      <c r="H102" s="51">
        <v>7000</v>
      </c>
      <c r="I102" s="51">
        <v>0</v>
      </c>
      <c r="J102" s="51" t="s">
        <v>58</v>
      </c>
      <c r="K102" s="51">
        <v>900</v>
      </c>
      <c r="L102" s="51" t="s">
        <v>760</v>
      </c>
      <c r="M102" s="32">
        <f t="shared" si="42"/>
        <v>130</v>
      </c>
      <c r="N102" s="33">
        <f t="shared" si="43"/>
        <v>1</v>
      </c>
      <c r="O102" s="33">
        <f t="shared" si="44"/>
        <v>4</v>
      </c>
      <c r="P102" s="33">
        <f t="shared" si="45"/>
        <v>1</v>
      </c>
      <c r="Q102" s="34">
        <f t="shared" si="46"/>
        <v>0</v>
      </c>
      <c r="R102" s="33">
        <f t="shared" si="47"/>
        <v>1</v>
      </c>
      <c r="S102" s="34">
        <f t="shared" si="55"/>
        <v>7000</v>
      </c>
      <c r="T102" s="34">
        <f t="shared" si="48"/>
        <v>1</v>
      </c>
      <c r="U102" s="34">
        <f t="shared" si="49"/>
        <v>0</v>
      </c>
      <c r="V102" s="34">
        <f t="shared" si="50"/>
        <v>1</v>
      </c>
      <c r="W102" s="34" t="str">
        <f t="shared" si="51"/>
        <v>BKN</v>
      </c>
      <c r="X102" s="34">
        <f t="shared" si="52"/>
        <v>1</v>
      </c>
      <c r="Y102" s="34">
        <f t="shared" si="53"/>
        <v>900</v>
      </c>
      <c r="Z102" s="34">
        <f t="shared" si="54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34</v>
      </c>
      <c r="D103" s="52"/>
      <c r="E103" s="51">
        <v>20</v>
      </c>
      <c r="F103" s="51">
        <v>4</v>
      </c>
      <c r="G103" s="51">
        <v>0</v>
      </c>
      <c r="H103" s="51">
        <v>7000</v>
      </c>
      <c r="I103" s="51">
        <v>0</v>
      </c>
      <c r="J103" s="51" t="s">
        <v>58</v>
      </c>
      <c r="K103" s="51">
        <v>900</v>
      </c>
      <c r="L103" s="51" t="s">
        <v>761</v>
      </c>
      <c r="M103" s="32">
        <f t="shared" si="42"/>
        <v>150</v>
      </c>
      <c r="N103" s="33">
        <f t="shared" si="43"/>
        <v>1</v>
      </c>
      <c r="O103" s="33">
        <f t="shared" si="44"/>
        <v>4</v>
      </c>
      <c r="P103" s="33">
        <f t="shared" si="45"/>
        <v>1</v>
      </c>
      <c r="Q103" s="34">
        <f t="shared" si="46"/>
        <v>0</v>
      </c>
      <c r="R103" s="33">
        <f t="shared" si="47"/>
        <v>1</v>
      </c>
      <c r="S103" s="34">
        <f t="shared" si="55"/>
        <v>8000</v>
      </c>
      <c r="T103" s="34">
        <f t="shared" si="48"/>
        <v>1</v>
      </c>
      <c r="U103" s="34">
        <f t="shared" si="49"/>
        <v>0</v>
      </c>
      <c r="V103" s="34">
        <f t="shared" si="50"/>
        <v>1</v>
      </c>
      <c r="W103" s="34" t="str">
        <f t="shared" si="51"/>
        <v>BKN</v>
      </c>
      <c r="X103" s="34">
        <f t="shared" si="52"/>
        <v>1</v>
      </c>
      <c r="Y103" s="34">
        <f t="shared" si="53"/>
        <v>900</v>
      </c>
      <c r="Z103" s="34">
        <f t="shared" si="54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34</v>
      </c>
      <c r="D104" s="52"/>
      <c r="E104" s="51">
        <v>20</v>
      </c>
      <c r="F104" s="51">
        <v>4</v>
      </c>
      <c r="G104" s="51">
        <v>0</v>
      </c>
      <c r="H104" s="51">
        <v>7000</v>
      </c>
      <c r="I104" s="51">
        <v>0</v>
      </c>
      <c r="J104" s="51" t="s">
        <v>58</v>
      </c>
      <c r="K104" s="51">
        <v>900</v>
      </c>
      <c r="L104" s="51" t="s">
        <v>762</v>
      </c>
      <c r="M104" s="32">
        <f t="shared" si="42"/>
        <v>160</v>
      </c>
      <c r="N104" s="33">
        <f t="shared" si="43"/>
        <v>1</v>
      </c>
      <c r="O104" s="33">
        <f t="shared" si="44"/>
        <v>2</v>
      </c>
      <c r="P104" s="33">
        <f t="shared" si="45"/>
        <v>1</v>
      </c>
      <c r="Q104" s="34">
        <f t="shared" si="46"/>
        <v>0</v>
      </c>
      <c r="R104" s="33">
        <f t="shared" si="47"/>
        <v>1</v>
      </c>
      <c r="S104" s="34">
        <f t="shared" si="55"/>
        <v>8000</v>
      </c>
      <c r="T104" s="34">
        <f t="shared" si="48"/>
        <v>1</v>
      </c>
      <c r="U104" s="34">
        <f t="shared" si="49"/>
        <v>0</v>
      </c>
      <c r="V104" s="34">
        <f t="shared" si="50"/>
        <v>1</v>
      </c>
      <c r="W104" s="34" t="str">
        <f t="shared" si="51"/>
        <v>BKN</v>
      </c>
      <c r="X104" s="34">
        <f t="shared" si="52"/>
        <v>1</v>
      </c>
      <c r="Y104" s="34">
        <f t="shared" si="53"/>
        <v>900</v>
      </c>
      <c r="Z104" s="34">
        <f t="shared" si="54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7</v>
      </c>
      <c r="U109" s="25"/>
      <c r="V109" s="25">
        <f>SUM(V93:V104)</f>
        <v>5</v>
      </c>
      <c r="W109" s="25"/>
      <c r="X109" s="25">
        <f>SUM(X93:X104)</f>
        <v>6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7</v>
      </c>
      <c r="O110" s="25"/>
      <c r="P110" s="25">
        <f>SUMIF($C93:$C104,"GENERAL",P93:P104)</f>
        <v>7</v>
      </c>
      <c r="Q110" s="25"/>
      <c r="R110" s="25">
        <f>SUMIF($C93:$C104,"GENERAL",R93:R104)</f>
        <v>7</v>
      </c>
      <c r="S110" s="25"/>
      <c r="T110" s="25">
        <f>SUMIF($C93:$C104,"GENERAL",T93:T104)</f>
        <v>2</v>
      </c>
      <c r="U110" s="25"/>
      <c r="V110" s="25">
        <f>SUMIF($C93:$C104,"GENERAL",V93:V104)</f>
        <v>0</v>
      </c>
      <c r="W110" s="25"/>
      <c r="X110" s="25">
        <f>SUMIF($C93:$C104,"GENERAL",X93:X104)</f>
        <v>3</v>
      </c>
      <c r="Y110" s="25"/>
      <c r="Z110" s="25">
        <f>SUMIF($C93:$C104,"GENERAL",Z93:Z104)</f>
        <v>7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5</v>
      </c>
      <c r="O111" s="25"/>
      <c r="P111" s="25">
        <f>SUMIF($C93:$C104,"BECMG",P93:P104)</f>
        <v>5</v>
      </c>
      <c r="Q111" s="25"/>
      <c r="R111" s="25">
        <f>SUMIF($C93:$C104,"BECMG",R93:R104)</f>
        <v>5</v>
      </c>
      <c r="S111" s="25"/>
      <c r="T111" s="25">
        <f>SUMIF($C93:$C104,"BECMG",T93:T104)</f>
        <v>5</v>
      </c>
      <c r="U111" s="25"/>
      <c r="V111" s="25">
        <f>SUMIF($C93:$C104,"BECMG",V93:V104)</f>
        <v>5</v>
      </c>
      <c r="W111" s="25"/>
      <c r="X111" s="25">
        <f>SUMIF($C93:$C104,"BECMG",X93:X104)</f>
        <v>3</v>
      </c>
      <c r="Y111" s="25"/>
      <c r="Z111" s="25">
        <f>SUMIF($C93:$C104,"BECMG",Z93:Z104)</f>
        <v>5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58.333333333333336</v>
      </c>
      <c r="U114" s="38"/>
      <c r="V114" s="38">
        <f>(SUM(V110:V113)/COUNTA(V93:V104))*100</f>
        <v>41.666666666666671</v>
      </c>
      <c r="W114" s="38"/>
      <c r="X114" s="38">
        <f>(SUM(X110:X113)/COUNTA(X93:X104))*100</f>
        <v>50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EBC55-8E2A-3848-9363-12B9BACE5CDA}">
  <sheetPr>
    <tabColor theme="0"/>
  </sheetPr>
  <dimension ref="A1:AE115"/>
  <sheetViews>
    <sheetView topLeftCell="D40" zoomScale="85" zoomScaleNormal="85" workbookViewId="0">
      <selection activeCell="L41" sqref="L41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741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24</v>
      </c>
      <c r="B7" s="28">
        <v>0</v>
      </c>
      <c r="C7" s="29" t="s">
        <v>39</v>
      </c>
      <c r="D7" s="29"/>
      <c r="E7" s="29">
        <v>0</v>
      </c>
      <c r="F7" s="29">
        <v>0</v>
      </c>
      <c r="G7" s="29">
        <v>0</v>
      </c>
      <c r="H7" s="29">
        <v>8000</v>
      </c>
      <c r="I7" s="29">
        <v>0</v>
      </c>
      <c r="J7" s="29" t="s">
        <v>51</v>
      </c>
      <c r="K7" s="29">
        <v>800</v>
      </c>
      <c r="L7" s="29" t="s">
        <v>757</v>
      </c>
      <c r="M7" s="32">
        <f t="shared" ref="M7:M14" si="0">IF(ISNUMBER(VALUE(FIND("VRB",L7))),999,VALUE(MID(L7,20,3)))</f>
        <v>120</v>
      </c>
      <c r="N7" s="33">
        <f t="shared" ref="N7:N14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4" si="2">VALUE(MID(L7,23,2))</f>
        <v>2</v>
      </c>
      <c r="P7" s="33">
        <f t="shared" ref="P7:P14" si="3">IF(ABS(O7-F7)&lt;11,1,0)</f>
        <v>1</v>
      </c>
      <c r="Q7" s="34">
        <f t="shared" ref="Q7:Q14" si="4">IF(MID(L7,25,1)="G","GUST",0)</f>
        <v>0</v>
      </c>
      <c r="R7" s="33">
        <f t="shared" ref="R7:R14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5000</v>
      </c>
      <c r="T7" s="34">
        <f t="shared" ref="T7:T15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5" si="7">IF(AND(IFERROR(FIND("RA",L7),0)&gt;0, IFERROR(FIND("RA",L7),0)&lt;38),"RA",0)</f>
        <v>0</v>
      </c>
      <c r="V7" s="34">
        <f t="shared" ref="V7:V15" si="8">IF(U7=I7,1,0)</f>
        <v>1</v>
      </c>
      <c r="W7" s="34" t="str">
        <f t="shared" ref="W7:W15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SCT</v>
      </c>
      <c r="X7" s="34">
        <f t="shared" ref="X7:X15" si="10">IF(OR(AND(OR(J7="SKC",J7="FEW",J7="SCT"),OR(W7="SKC",W7="FEW",W7="SCT")),(AND(OR(J7="BKN",J7="OVC"),OR(W7="BKN",W7="OVC")))),1,0)</f>
        <v>1</v>
      </c>
      <c r="Y7" s="34">
        <f t="shared" ref="Y7:Y15" si="11">IF(ISNUMBER(VALUE(FIND("CAVOK",L7))),9999,IF(ISNUMBER(VALUE(FIND("NSC",L7))),9999,(MID(L7,(FIND(W7,L7)+4),2))*100))</f>
        <v>800</v>
      </c>
      <c r="Z7" s="34">
        <f t="shared" ref="Z7:Z15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0</v>
      </c>
      <c r="F8" s="29">
        <v>0</v>
      </c>
      <c r="G8" s="29">
        <v>0</v>
      </c>
      <c r="H8" s="29">
        <v>8000</v>
      </c>
      <c r="I8" s="29">
        <v>0</v>
      </c>
      <c r="J8" s="29" t="s">
        <v>51</v>
      </c>
      <c r="K8" s="29">
        <v>800</v>
      </c>
      <c r="L8" s="29" t="s">
        <v>758</v>
      </c>
      <c r="M8" s="32">
        <f t="shared" si="0"/>
        <v>120</v>
      </c>
      <c r="N8" s="33">
        <f t="shared" si="1"/>
        <v>1</v>
      </c>
      <c r="O8" s="33">
        <f t="shared" si="2"/>
        <v>2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5000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SCT</v>
      </c>
      <c r="X8" s="34">
        <f t="shared" si="10"/>
        <v>1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0</v>
      </c>
      <c r="F9" s="29">
        <v>0</v>
      </c>
      <c r="G9" s="29">
        <v>0</v>
      </c>
      <c r="H9" s="29">
        <v>8000</v>
      </c>
      <c r="I9" s="29">
        <v>0</v>
      </c>
      <c r="J9" s="29" t="s">
        <v>51</v>
      </c>
      <c r="K9" s="29">
        <v>800</v>
      </c>
      <c r="L9" s="29" t="s">
        <v>759</v>
      </c>
      <c r="M9" s="32">
        <f t="shared" si="0"/>
        <v>110</v>
      </c>
      <c r="N9" s="33">
        <f t="shared" si="1"/>
        <v>1</v>
      </c>
      <c r="O9" s="33">
        <f t="shared" si="2"/>
        <v>3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5000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SCT</v>
      </c>
      <c r="X9" s="34">
        <f t="shared" si="10"/>
        <v>1</v>
      </c>
      <c r="Y9" s="34">
        <f t="shared" si="11"/>
        <v>800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0</v>
      </c>
      <c r="F10" s="29">
        <v>0</v>
      </c>
      <c r="G10" s="29">
        <v>0</v>
      </c>
      <c r="H10" s="29">
        <v>8000</v>
      </c>
      <c r="I10" s="29">
        <v>0</v>
      </c>
      <c r="J10" s="29" t="s">
        <v>51</v>
      </c>
      <c r="K10" s="29">
        <v>800</v>
      </c>
      <c r="L10" s="29" t="s">
        <v>760</v>
      </c>
      <c r="M10" s="32">
        <f t="shared" si="0"/>
        <v>130</v>
      </c>
      <c r="N10" s="33">
        <f t="shared" si="1"/>
        <v>1</v>
      </c>
      <c r="O10" s="33">
        <f t="shared" si="2"/>
        <v>4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7000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0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40</v>
      </c>
      <c r="D11" s="29"/>
      <c r="E11" s="29">
        <v>0</v>
      </c>
      <c r="F11" s="29">
        <v>0</v>
      </c>
      <c r="G11" s="29">
        <v>0</v>
      </c>
      <c r="H11" s="29">
        <v>4000</v>
      </c>
      <c r="I11" s="29" t="s">
        <v>52</v>
      </c>
      <c r="J11" s="29" t="s">
        <v>51</v>
      </c>
      <c r="K11" s="29">
        <v>800</v>
      </c>
      <c r="L11" s="29" t="s">
        <v>761</v>
      </c>
      <c r="M11" s="32">
        <f t="shared" si="0"/>
        <v>150</v>
      </c>
      <c r="N11" s="33">
        <f t="shared" si="1"/>
        <v>1</v>
      </c>
      <c r="O11" s="33">
        <f t="shared" si="2"/>
        <v>4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0</v>
      </c>
      <c r="U11" s="34">
        <f t="shared" si="7"/>
        <v>0</v>
      </c>
      <c r="V11" s="34">
        <f t="shared" si="8"/>
        <v>0</v>
      </c>
      <c r="W11" s="34" t="str">
        <f t="shared" si="9"/>
        <v>BKN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40</v>
      </c>
      <c r="D12" s="29"/>
      <c r="E12" s="29">
        <v>0</v>
      </c>
      <c r="F12" s="29">
        <v>0</v>
      </c>
      <c r="G12" s="29">
        <v>0</v>
      </c>
      <c r="H12" s="29">
        <v>4000</v>
      </c>
      <c r="I12" s="29" t="s">
        <v>52</v>
      </c>
      <c r="J12" s="29" t="s">
        <v>51</v>
      </c>
      <c r="K12" s="29">
        <v>800</v>
      </c>
      <c r="L12" s="29" t="s">
        <v>762</v>
      </c>
      <c r="M12" s="32">
        <f t="shared" si="0"/>
        <v>160</v>
      </c>
      <c r="N12" s="33">
        <f t="shared" si="1"/>
        <v>1</v>
      </c>
      <c r="O12" s="33">
        <f t="shared" si="2"/>
        <v>2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0</v>
      </c>
      <c r="U12" s="34">
        <f t="shared" si="7"/>
        <v>0</v>
      </c>
      <c r="V12" s="34">
        <f t="shared" si="8"/>
        <v>0</v>
      </c>
      <c r="W12" s="34" t="str">
        <f t="shared" si="9"/>
        <v>BKN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40</v>
      </c>
      <c r="D13" s="29"/>
      <c r="E13" s="29">
        <v>0</v>
      </c>
      <c r="F13" s="29">
        <v>0</v>
      </c>
      <c r="G13" s="29">
        <v>0</v>
      </c>
      <c r="H13" s="29">
        <v>4000</v>
      </c>
      <c r="I13" s="29" t="s">
        <v>52</v>
      </c>
      <c r="J13" s="29" t="s">
        <v>51</v>
      </c>
      <c r="K13" s="29">
        <v>800</v>
      </c>
      <c r="L13" t="s">
        <v>763</v>
      </c>
      <c r="M13" s="32">
        <f t="shared" si="0"/>
        <v>210</v>
      </c>
      <c r="N13" s="33">
        <f t="shared" si="1"/>
        <v>1</v>
      </c>
      <c r="O13" s="33">
        <f t="shared" si="2"/>
        <v>2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0</v>
      </c>
      <c r="U13" s="34">
        <f t="shared" si="7"/>
        <v>0</v>
      </c>
      <c r="V13" s="34">
        <f t="shared" si="8"/>
        <v>0</v>
      </c>
      <c r="W13" s="34" t="str">
        <f t="shared" si="9"/>
        <v>BKN</v>
      </c>
      <c r="X13" s="34">
        <f t="shared" si="10"/>
        <v>0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40</v>
      </c>
      <c r="D14" s="29"/>
      <c r="E14" s="29">
        <v>0</v>
      </c>
      <c r="F14" s="29">
        <v>0</v>
      </c>
      <c r="G14" s="29">
        <v>0</v>
      </c>
      <c r="H14" s="29">
        <v>4000</v>
      </c>
      <c r="I14" s="29" t="s">
        <v>52</v>
      </c>
      <c r="J14" s="29" t="s">
        <v>51</v>
      </c>
      <c r="K14" s="29">
        <v>800</v>
      </c>
      <c r="L14" t="s">
        <v>764</v>
      </c>
      <c r="M14" s="32">
        <f t="shared" si="0"/>
        <v>270</v>
      </c>
      <c r="N14" s="33">
        <f t="shared" si="1"/>
        <v>1</v>
      </c>
      <c r="O14" s="33">
        <f t="shared" si="2"/>
        <v>2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0</v>
      </c>
      <c r="U14" s="34">
        <f t="shared" si="7"/>
        <v>0</v>
      </c>
      <c r="V14" s="34">
        <f t="shared" si="8"/>
        <v>0</v>
      </c>
      <c r="W14" s="34" t="str">
        <f t="shared" si="9"/>
        <v>BKN</v>
      </c>
      <c r="X14" s="34">
        <f t="shared" si="10"/>
        <v>0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0</v>
      </c>
      <c r="F15" s="29">
        <v>0</v>
      </c>
      <c r="G15" s="29">
        <v>0</v>
      </c>
      <c r="H15" s="29">
        <v>8000</v>
      </c>
      <c r="I15" s="29">
        <v>0</v>
      </c>
      <c r="J15" s="29" t="s">
        <v>51</v>
      </c>
      <c r="K15" s="29">
        <v>800</v>
      </c>
      <c r="L15" t="s">
        <v>909</v>
      </c>
      <c r="M15" s="32">
        <f t="shared" ref="M15:M18" si="14">IF(ISNUMBER(VALUE(FIND("VRB",L15))),999,VALUE(MID(L15,20,3)))</f>
        <v>40</v>
      </c>
      <c r="N15" s="33">
        <f t="shared" ref="N15:N18" si="15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8" si="16">VALUE(MID(L15,23,2))</f>
        <v>7</v>
      </c>
      <c r="P15" s="33">
        <f t="shared" ref="P15:P18" si="17">IF(ABS(O15-F15)&lt;11,1,0)</f>
        <v>1</v>
      </c>
      <c r="Q15" s="34">
        <f t="shared" ref="Q15:Q18" si="18">IF(MID(L15,25,1)="G","GUST",0)</f>
        <v>0</v>
      </c>
      <c r="R15" s="33">
        <f t="shared" ref="R15:R18" si="19">IF(G15=Q15,1,0)</f>
        <v>1</v>
      </c>
      <c r="S15" s="34">
        <f t="shared" si="13"/>
        <v>5000</v>
      </c>
      <c r="T15" s="34">
        <f t="shared" si="6"/>
        <v>1</v>
      </c>
      <c r="U15" s="34">
        <f t="shared" si="7"/>
        <v>0</v>
      </c>
      <c r="V15" s="34">
        <f t="shared" si="8"/>
        <v>1</v>
      </c>
      <c r="W15" s="34" t="str">
        <f t="shared" si="9"/>
        <v>BKN</v>
      </c>
      <c r="X15" s="34">
        <f t="shared" si="10"/>
        <v>0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0</v>
      </c>
      <c r="F16" s="29">
        <v>0</v>
      </c>
      <c r="G16" s="29">
        <v>0</v>
      </c>
      <c r="H16" s="29">
        <v>8000</v>
      </c>
      <c r="I16" s="29">
        <v>0</v>
      </c>
      <c r="J16" s="29" t="s">
        <v>51</v>
      </c>
      <c r="K16" s="29">
        <v>800</v>
      </c>
      <c r="L16" t="s">
        <v>684</v>
      </c>
      <c r="M16" s="32">
        <f t="shared" si="14"/>
        <v>0</v>
      </c>
      <c r="N16" s="33">
        <f t="shared" si="15"/>
        <v>1</v>
      </c>
      <c r="O16" s="33">
        <f t="shared" si="16"/>
        <v>0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5000</v>
      </c>
      <c r="T16" s="34">
        <f t="shared" ref="T16:T18" si="20">IF(OR(AND(H16&lt;801,S16&lt;801),AND(H16&gt;799,H16&lt;1501,S16&gt;799,S16&lt;1502),AND(H16&gt;1499,H16&lt;3001,S16&gt;1499,S16&lt;3001),AND(H16&gt;2999,H16&lt;5001,S16&gt;2999,S16&lt;5001),AND(H16&gt;4999,S16&gt;4999)),1,0)</f>
        <v>1</v>
      </c>
      <c r="U16" s="34">
        <f t="shared" ref="U16:U18" si="21">IF(AND(IFERROR(FIND("RA",L16),0)&gt;0, IFERROR(FIND("RA",L16),0)&lt;38),"RA",0)</f>
        <v>0</v>
      </c>
      <c r="V16" s="34">
        <f t="shared" ref="V16:V18" si="22">IF(U16=I16,1,0)</f>
        <v>1</v>
      </c>
      <c r="W16" s="34" t="str">
        <f t="shared" ref="W16:W18" si="23">IF(ISNUMBER(VALUE(FIND("FEW",L16))),"FEW",IF(ISNUMBER(VALUE(FIND("SCT",L16))),"SCT",IF(ISNUMBER(VALUE(FIND("BKN",L16))),"BKN",IF(ISNUMBER(VALUE(FIND("OVC",L16))),"OVC",IF(ISNUMBER(VALUE(FIND("SKC",L16))),"SKC",IF(ISNUMBER(VALUE(FIND("CAVOK",L16))),"SKC",IF(ISNUMBER(VALUE(FIND("NSC",L16))),"SKC","EROR")))))))</f>
        <v>SCT</v>
      </c>
      <c r="X16" s="34">
        <f t="shared" ref="X16:X18" si="24">IF(OR(AND(OR(J16="SKC",J16="FEW",J16="SCT"),OR(W16="SKC",W16="FEW",W16="SCT")),(AND(OR(J16="BKN",J16="OVC"),OR(W16="BKN",W16="OVC")))),1,0)</f>
        <v>1</v>
      </c>
      <c r="Y16" s="34">
        <f t="shared" ref="Y16:Y18" si="25">IF(ISNUMBER(VALUE(FIND("CAVOK",L16))),9999,IF(ISNUMBER(VALUE(FIND("NSC",L16))),9999,(MID(L16,(FIND(W16,L16)+4),2))*100))</f>
        <v>800</v>
      </c>
      <c r="Z16" s="34">
        <f t="shared" ref="Z16:Z18" si="26">IF(AND(Y16&lt;1001,ABS(K16-Y16)&lt;101),1,IF(AND(Y16&gt;1000,ABS(Y16-K16)/K16&lt;0.30005),1,0))</f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0</v>
      </c>
      <c r="F17" s="29">
        <v>0</v>
      </c>
      <c r="G17" s="29">
        <v>0</v>
      </c>
      <c r="H17" s="29">
        <v>8000</v>
      </c>
      <c r="I17" s="29">
        <v>0</v>
      </c>
      <c r="J17" s="29" t="s">
        <v>51</v>
      </c>
      <c r="K17" s="29">
        <v>800</v>
      </c>
      <c r="L17" t="s">
        <v>685</v>
      </c>
      <c r="M17" s="32">
        <f t="shared" si="14"/>
        <v>0</v>
      </c>
      <c r="N17" s="33">
        <f t="shared" si="15"/>
        <v>1</v>
      </c>
      <c r="O17" s="33">
        <f t="shared" si="16"/>
        <v>0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13"/>
        <v>7000</v>
      </c>
      <c r="T17" s="34">
        <f t="shared" si="20"/>
        <v>1</v>
      </c>
      <c r="U17" s="34">
        <f t="shared" si="21"/>
        <v>0</v>
      </c>
      <c r="V17" s="34">
        <f t="shared" si="22"/>
        <v>1</v>
      </c>
      <c r="W17" s="34" t="str">
        <f t="shared" si="23"/>
        <v>SCT</v>
      </c>
      <c r="X17" s="34">
        <f t="shared" si="24"/>
        <v>1</v>
      </c>
      <c r="Y17" s="34">
        <f t="shared" si="25"/>
        <v>800</v>
      </c>
      <c r="Z17" s="34">
        <f t="shared" si="26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0</v>
      </c>
      <c r="F18" s="29">
        <v>0</v>
      </c>
      <c r="G18" s="29">
        <v>0</v>
      </c>
      <c r="H18" s="29">
        <v>8000</v>
      </c>
      <c r="I18" s="29">
        <v>0</v>
      </c>
      <c r="J18" s="29" t="s">
        <v>51</v>
      </c>
      <c r="K18" s="29">
        <v>800</v>
      </c>
      <c r="L18" t="s">
        <v>686</v>
      </c>
      <c r="M18" s="32">
        <f t="shared" si="14"/>
        <v>0</v>
      </c>
      <c r="N18" s="33">
        <f t="shared" si="15"/>
        <v>1</v>
      </c>
      <c r="O18" s="33">
        <f t="shared" si="16"/>
        <v>0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13"/>
        <v>8000</v>
      </c>
      <c r="T18" s="34">
        <f t="shared" si="20"/>
        <v>1</v>
      </c>
      <c r="U18" s="34">
        <f t="shared" si="21"/>
        <v>0</v>
      </c>
      <c r="V18" s="34">
        <f t="shared" si="22"/>
        <v>1</v>
      </c>
      <c r="W18" s="34" t="str">
        <f t="shared" si="23"/>
        <v>BKN</v>
      </c>
      <c r="X18" s="34">
        <f t="shared" si="24"/>
        <v>0</v>
      </c>
      <c r="Y18" s="34">
        <f t="shared" si="25"/>
        <v>900</v>
      </c>
      <c r="Z18" s="34">
        <f t="shared" si="26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8</v>
      </c>
      <c r="U23" s="25"/>
      <c r="V23" s="25">
        <f>SUM(V7:V18)</f>
        <v>8</v>
      </c>
      <c r="W23" s="25"/>
      <c r="X23" s="25">
        <f>SUM(X7:X18)</f>
        <v>5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8</v>
      </c>
      <c r="O24" s="25"/>
      <c r="P24" s="25">
        <f>SUMIF($C7:$C18,"GENERAL",P7:P18)</f>
        <v>8</v>
      </c>
      <c r="Q24" s="25"/>
      <c r="R24" s="25">
        <f>SUMIF($C7:$C18,"GENERAL",R7:R18)</f>
        <v>8</v>
      </c>
      <c r="S24" s="25"/>
      <c r="T24" s="25">
        <f>SUMIF($C7:$C18,"GENERAL",T7:T18)</f>
        <v>8</v>
      </c>
      <c r="U24" s="25"/>
      <c r="V24" s="25">
        <f>SUMIF($C7:$C18,"GENERAL",V7:V18)</f>
        <v>8</v>
      </c>
      <c r="W24" s="25"/>
      <c r="X24" s="25">
        <f>SUMIF($C7:$C18,"GENERAL",X7:X18)</f>
        <v>5</v>
      </c>
      <c r="Y24" s="25"/>
      <c r="Z24" s="25">
        <f>SUMIF($C7:$C18,"GENERAL",Z7:Z18)</f>
        <v>8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4</v>
      </c>
      <c r="M27" s="42">
        <f>SUMIF($C7:$C18,"TEMPO",N7:N18)</f>
        <v>4</v>
      </c>
      <c r="N27" s="42">
        <f>M27</f>
        <v>4</v>
      </c>
      <c r="O27" s="42">
        <f>SUMIF($C7:$C18,"TEMPO",P7:P18)</f>
        <v>4</v>
      </c>
      <c r="P27" s="42">
        <f>O27</f>
        <v>4</v>
      </c>
      <c r="Q27" s="42">
        <f>SUMIF($C7:$C18,"TEMPO",R7:R18)</f>
        <v>4</v>
      </c>
      <c r="R27" s="42">
        <f>Q27</f>
        <v>4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4</v>
      </c>
      <c r="Z27" s="42">
        <f>Y27</f>
        <v>4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66.666666666666657</v>
      </c>
      <c r="U28" s="38"/>
      <c r="V28" s="38">
        <f>(SUM(V24:V27)/COUNTA(V7:V18))*100</f>
        <v>66.666666666666657</v>
      </c>
      <c r="W28" s="38"/>
      <c r="X28" s="38">
        <f>(SUM(X24:X27)/COUNTA(X7:X18))*100</f>
        <v>41.666666666666671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740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24</v>
      </c>
      <c r="B36" s="28">
        <v>0.25</v>
      </c>
      <c r="C36" s="29" t="s">
        <v>39</v>
      </c>
      <c r="D36" s="29"/>
      <c r="E36" s="29">
        <v>250</v>
      </c>
      <c r="F36" s="29">
        <v>4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t="s">
        <v>695</v>
      </c>
      <c r="M36" s="32">
        <f t="shared" ref="M36:M47" si="27">IF(ISNUMBER(VALUE(FIND("VRB",L36))),999,VALUE(MID(L36,20,3)))</f>
        <v>210</v>
      </c>
      <c r="N36" s="33">
        <f t="shared" ref="N36:N47" si="2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29">VALUE(MID(L36,23,2))</f>
        <v>2</v>
      </c>
      <c r="P36" s="33">
        <f t="shared" ref="P36:P41" si="30">IF(ABS(O36-F36)&lt;11,1,0)</f>
        <v>1</v>
      </c>
      <c r="Q36" s="34">
        <f t="shared" ref="Q36:Q47" si="31">IF(MID(L36,25,1)="G","GUST",0)</f>
        <v>0</v>
      </c>
      <c r="R36" s="33">
        <f t="shared" ref="R36:R41" si="32">IF(G36=Q36,1,0)</f>
        <v>1</v>
      </c>
      <c r="S36" s="34">
        <f t="shared" ref="S36:S47" si="33"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34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35">IF(AND(IFERROR(FIND("RA",L36),0)&gt;0, IFERROR(FIND("RA",L36),0)&lt;38),"RA",0)</f>
        <v>0</v>
      </c>
      <c r="V36" s="34">
        <f t="shared" ref="V36:V41" si="36">IF(U36=I36,1,0)</f>
        <v>1</v>
      </c>
      <c r="W36" s="34" t="str">
        <f t="shared" ref="W36:W47" si="37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1" si="38">IF(OR(AND(OR(J36="SKC",J36="FEW",J36="SCT"),OR(W36="SKC",W36="FEW",W36="SCT")),(AND(OR(J36="BKN",J36="OVC"),OR(W36="BKN",W36="OVC")))),1,0)</f>
        <v>1</v>
      </c>
      <c r="Y36" s="34">
        <f t="shared" ref="Y36:Y47" si="39">IF(ISNUMBER(VALUE(FIND("CAVOK",L36))),9999,IF(ISNUMBER(VALUE(FIND("NSC",L36))),9999,(MID(L36,(FIND(W36,L36)+4),2))*100))</f>
        <v>900</v>
      </c>
      <c r="Z36" s="34">
        <f t="shared" ref="Z36:Z41" si="40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29"/>
      <c r="E37" s="29">
        <v>250</v>
      </c>
      <c r="F37" s="29">
        <v>4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t="s">
        <v>683</v>
      </c>
      <c r="M37" s="32">
        <f t="shared" si="27"/>
        <v>270</v>
      </c>
      <c r="N37" s="33">
        <f t="shared" si="28"/>
        <v>1</v>
      </c>
      <c r="O37" s="33">
        <f t="shared" si="29"/>
        <v>2</v>
      </c>
      <c r="P37" s="33">
        <f t="shared" si="30"/>
        <v>1</v>
      </c>
      <c r="Q37" s="34">
        <f t="shared" si="31"/>
        <v>0</v>
      </c>
      <c r="R37" s="33">
        <f t="shared" si="32"/>
        <v>1</v>
      </c>
      <c r="S37" s="34">
        <f t="shared" si="33"/>
        <v>8000</v>
      </c>
      <c r="T37" s="34">
        <f t="shared" si="34"/>
        <v>1</v>
      </c>
      <c r="U37" s="34">
        <f t="shared" si="35"/>
        <v>0</v>
      </c>
      <c r="V37" s="34">
        <f t="shared" si="36"/>
        <v>1</v>
      </c>
      <c r="W37" s="34" t="str">
        <f t="shared" si="37"/>
        <v>BKN</v>
      </c>
      <c r="X37" s="34">
        <f t="shared" si="38"/>
        <v>1</v>
      </c>
      <c r="Y37" s="34">
        <f t="shared" si="39"/>
        <v>900</v>
      </c>
      <c r="Z37" s="34">
        <f t="shared" si="40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40</v>
      </c>
      <c r="D38" s="29"/>
      <c r="E38" s="29">
        <v>250</v>
      </c>
      <c r="F38" s="29">
        <v>4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t="s">
        <v>909</v>
      </c>
      <c r="M38" s="32">
        <f t="shared" si="27"/>
        <v>40</v>
      </c>
      <c r="N38" s="33">
        <f t="shared" si="28"/>
        <v>1</v>
      </c>
      <c r="O38" s="33">
        <f t="shared" si="29"/>
        <v>7</v>
      </c>
      <c r="P38" s="33">
        <f t="shared" si="30"/>
        <v>1</v>
      </c>
      <c r="Q38" s="34">
        <f t="shared" si="31"/>
        <v>0</v>
      </c>
      <c r="R38" s="33">
        <f t="shared" si="32"/>
        <v>1</v>
      </c>
      <c r="S38" s="34">
        <f t="shared" si="33"/>
        <v>5000</v>
      </c>
      <c r="T38" s="34">
        <f t="shared" si="34"/>
        <v>1</v>
      </c>
      <c r="U38" s="34">
        <f t="shared" si="35"/>
        <v>0</v>
      </c>
      <c r="V38" s="34">
        <f t="shared" si="36"/>
        <v>1</v>
      </c>
      <c r="W38" s="34" t="str">
        <f t="shared" si="37"/>
        <v>BKN</v>
      </c>
      <c r="X38" s="34">
        <f t="shared" si="38"/>
        <v>1</v>
      </c>
      <c r="Y38" s="34">
        <f t="shared" si="39"/>
        <v>900</v>
      </c>
      <c r="Z38" s="34">
        <f t="shared" si="40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40</v>
      </c>
      <c r="D39" s="29"/>
      <c r="E39" s="29">
        <v>250</v>
      </c>
      <c r="F39" s="29">
        <v>4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t="s">
        <v>684</v>
      </c>
      <c r="M39" s="32">
        <f t="shared" si="27"/>
        <v>0</v>
      </c>
      <c r="N39" s="33">
        <f t="shared" si="28"/>
        <v>1</v>
      </c>
      <c r="O39" s="33">
        <f t="shared" si="29"/>
        <v>0</v>
      </c>
      <c r="P39" s="33">
        <f t="shared" si="30"/>
        <v>1</v>
      </c>
      <c r="Q39" s="34">
        <f t="shared" si="31"/>
        <v>0</v>
      </c>
      <c r="R39" s="33">
        <f t="shared" si="32"/>
        <v>1</v>
      </c>
      <c r="S39" s="34">
        <f t="shared" si="33"/>
        <v>5000</v>
      </c>
      <c r="T39" s="34">
        <f t="shared" si="34"/>
        <v>1</v>
      </c>
      <c r="U39" s="34">
        <f t="shared" si="35"/>
        <v>0</v>
      </c>
      <c r="V39" s="34">
        <f t="shared" si="36"/>
        <v>1</v>
      </c>
      <c r="W39" s="34" t="str">
        <f t="shared" si="37"/>
        <v>SCT</v>
      </c>
      <c r="X39" s="34">
        <f t="shared" si="38"/>
        <v>0</v>
      </c>
      <c r="Y39" s="34">
        <f t="shared" si="39"/>
        <v>800</v>
      </c>
      <c r="Z39" s="34">
        <f t="shared" si="40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29"/>
      <c r="E40" s="29">
        <v>250</v>
      </c>
      <c r="F40" s="29">
        <v>4</v>
      </c>
      <c r="G40" s="29">
        <v>0</v>
      </c>
      <c r="H40" s="29">
        <v>8000</v>
      </c>
      <c r="I40" s="29">
        <v>0</v>
      </c>
      <c r="J40" s="29" t="s">
        <v>58</v>
      </c>
      <c r="K40" s="29">
        <v>900</v>
      </c>
      <c r="L40" t="s">
        <v>685</v>
      </c>
      <c r="M40" s="32">
        <f t="shared" si="27"/>
        <v>0</v>
      </c>
      <c r="N40" s="33">
        <f t="shared" si="28"/>
        <v>1</v>
      </c>
      <c r="O40" s="33">
        <f t="shared" si="29"/>
        <v>0</v>
      </c>
      <c r="P40" s="33">
        <f t="shared" si="30"/>
        <v>1</v>
      </c>
      <c r="Q40" s="34">
        <f t="shared" si="31"/>
        <v>0</v>
      </c>
      <c r="R40" s="33">
        <f t="shared" si="32"/>
        <v>1</v>
      </c>
      <c r="S40" s="34">
        <f t="shared" si="33"/>
        <v>7000</v>
      </c>
      <c r="T40" s="34">
        <f t="shared" si="34"/>
        <v>1</v>
      </c>
      <c r="U40" s="34">
        <f t="shared" si="35"/>
        <v>0</v>
      </c>
      <c r="V40" s="34">
        <f t="shared" si="36"/>
        <v>1</v>
      </c>
      <c r="W40" s="34" t="str">
        <f t="shared" si="37"/>
        <v>SCT</v>
      </c>
      <c r="X40" s="34">
        <f t="shared" si="38"/>
        <v>0</v>
      </c>
      <c r="Y40" s="34">
        <f t="shared" si="39"/>
        <v>800</v>
      </c>
      <c r="Z40" s="34">
        <f t="shared" si="40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29"/>
      <c r="E41" s="29">
        <v>250</v>
      </c>
      <c r="F41" s="29">
        <v>4</v>
      </c>
      <c r="G41" s="29">
        <v>0</v>
      </c>
      <c r="H41" s="29">
        <v>8000</v>
      </c>
      <c r="I41" s="29">
        <v>0</v>
      </c>
      <c r="J41" s="29" t="s">
        <v>58</v>
      </c>
      <c r="K41" s="29">
        <v>900</v>
      </c>
      <c r="L41" t="s">
        <v>686</v>
      </c>
      <c r="M41" s="32">
        <f t="shared" si="27"/>
        <v>0</v>
      </c>
      <c r="N41" s="33">
        <f t="shared" si="28"/>
        <v>1</v>
      </c>
      <c r="O41" s="33">
        <f t="shared" si="29"/>
        <v>0</v>
      </c>
      <c r="P41" s="33">
        <f t="shared" si="30"/>
        <v>1</v>
      </c>
      <c r="Q41" s="34">
        <f t="shared" si="31"/>
        <v>0</v>
      </c>
      <c r="R41" s="33">
        <f t="shared" si="32"/>
        <v>1</v>
      </c>
      <c r="S41" s="34">
        <f t="shared" si="33"/>
        <v>8000</v>
      </c>
      <c r="T41" s="34">
        <f t="shared" si="34"/>
        <v>1</v>
      </c>
      <c r="U41" s="34">
        <f t="shared" si="35"/>
        <v>0</v>
      </c>
      <c r="V41" s="34">
        <f t="shared" si="36"/>
        <v>1</v>
      </c>
      <c r="W41" s="34" t="str">
        <f t="shared" si="37"/>
        <v>BKN</v>
      </c>
      <c r="X41" s="34">
        <f t="shared" si="38"/>
        <v>1</v>
      </c>
      <c r="Y41" s="34">
        <f t="shared" si="39"/>
        <v>900</v>
      </c>
      <c r="Z41" s="34">
        <f t="shared" si="40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29"/>
      <c r="E42" s="29">
        <v>250</v>
      </c>
      <c r="F42" s="29">
        <v>4</v>
      </c>
      <c r="G42" s="29">
        <v>0</v>
      </c>
      <c r="H42" s="29">
        <v>8000</v>
      </c>
      <c r="I42" s="29">
        <v>0</v>
      </c>
      <c r="J42" s="29" t="s">
        <v>58</v>
      </c>
      <c r="K42" s="29">
        <v>900</v>
      </c>
      <c r="L42" t="s">
        <v>687</v>
      </c>
      <c r="M42" s="32">
        <f t="shared" si="27"/>
        <v>340</v>
      </c>
      <c r="N42" s="33">
        <f t="shared" si="28"/>
        <v>1</v>
      </c>
      <c r="O42" s="33">
        <f t="shared" si="29"/>
        <v>2</v>
      </c>
      <c r="P42" s="33">
        <f t="shared" ref="P42:P47" si="41">IF(ABS(O42-F42)&lt;11,1,0)</f>
        <v>1</v>
      </c>
      <c r="Q42" s="34">
        <f t="shared" si="31"/>
        <v>0</v>
      </c>
      <c r="R42" s="33">
        <f t="shared" ref="R42:R47" si="42">IF(G42=Q42,1,0)</f>
        <v>1</v>
      </c>
      <c r="S42" s="34">
        <f t="shared" si="33"/>
        <v>6000</v>
      </c>
      <c r="T42" s="34">
        <f t="shared" ref="T42:T47" si="43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>
        <f t="shared" si="35"/>
        <v>0</v>
      </c>
      <c r="V42" s="34">
        <f t="shared" ref="V42:V47" si="44">IF(U42=I42,1,0)</f>
        <v>1</v>
      </c>
      <c r="W42" s="34" t="str">
        <f t="shared" si="37"/>
        <v>BKN</v>
      </c>
      <c r="X42" s="34">
        <f t="shared" ref="X42:X47" si="45">IF(OR(AND(OR(J42="SKC",J42="FEW",J42="SCT"),OR(W42="SKC",W42="FEW",W42="SCT")),(AND(OR(J42="BKN",J42="OVC"),OR(W42="BKN",W42="OVC")))),1,0)</f>
        <v>1</v>
      </c>
      <c r="Y42" s="34">
        <f t="shared" si="39"/>
        <v>900</v>
      </c>
      <c r="Z42" s="34">
        <f t="shared" ref="Z42:Z47" si="46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29"/>
      <c r="E43" s="29">
        <v>250</v>
      </c>
      <c r="F43" s="29">
        <v>4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t="s">
        <v>688</v>
      </c>
      <c r="M43" s="32">
        <f t="shared" si="27"/>
        <v>0</v>
      </c>
      <c r="N43" s="33">
        <f t="shared" si="28"/>
        <v>1</v>
      </c>
      <c r="O43" s="33">
        <f t="shared" si="29"/>
        <v>0</v>
      </c>
      <c r="P43" s="33">
        <f t="shared" si="41"/>
        <v>1</v>
      </c>
      <c r="Q43" s="34">
        <f t="shared" si="31"/>
        <v>0</v>
      </c>
      <c r="R43" s="33">
        <f t="shared" si="42"/>
        <v>1</v>
      </c>
      <c r="S43" s="34">
        <f t="shared" si="33"/>
        <v>8000</v>
      </c>
      <c r="T43" s="34">
        <f t="shared" si="43"/>
        <v>1</v>
      </c>
      <c r="U43" s="34">
        <f t="shared" si="35"/>
        <v>0</v>
      </c>
      <c r="V43" s="34">
        <f t="shared" si="44"/>
        <v>1</v>
      </c>
      <c r="W43" s="34" t="str">
        <f t="shared" si="37"/>
        <v>BKN</v>
      </c>
      <c r="X43" s="34">
        <f t="shared" si="45"/>
        <v>1</v>
      </c>
      <c r="Y43" s="34">
        <f t="shared" si="39"/>
        <v>900</v>
      </c>
      <c r="Z43" s="34">
        <f t="shared" si="4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29"/>
      <c r="E44" s="29">
        <v>250</v>
      </c>
      <c r="F44" s="29">
        <v>4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t="s">
        <v>689</v>
      </c>
      <c r="M44" s="32">
        <f t="shared" si="27"/>
        <v>110</v>
      </c>
      <c r="N44" s="33">
        <f t="shared" si="28"/>
        <v>1</v>
      </c>
      <c r="O44" s="33">
        <f t="shared" si="29"/>
        <v>3</v>
      </c>
      <c r="P44" s="33">
        <f t="shared" si="41"/>
        <v>1</v>
      </c>
      <c r="Q44" s="34">
        <f t="shared" si="31"/>
        <v>0</v>
      </c>
      <c r="R44" s="33">
        <f t="shared" si="42"/>
        <v>1</v>
      </c>
      <c r="S44" s="34">
        <f t="shared" si="33"/>
        <v>8000</v>
      </c>
      <c r="T44" s="34">
        <f t="shared" si="43"/>
        <v>1</v>
      </c>
      <c r="U44" s="34">
        <f t="shared" si="35"/>
        <v>0</v>
      </c>
      <c r="V44" s="34">
        <f t="shared" si="44"/>
        <v>1</v>
      </c>
      <c r="W44" s="34" t="str">
        <f t="shared" si="37"/>
        <v>BKN</v>
      </c>
      <c r="X44" s="34">
        <f t="shared" si="45"/>
        <v>1</v>
      </c>
      <c r="Y44" s="34">
        <f t="shared" si="39"/>
        <v>900</v>
      </c>
      <c r="Z44" s="34">
        <f t="shared" si="4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29"/>
      <c r="E45" s="29">
        <v>250</v>
      </c>
      <c r="F45" s="29">
        <v>4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t="s">
        <v>690</v>
      </c>
      <c r="M45" s="32">
        <f t="shared" si="27"/>
        <v>230</v>
      </c>
      <c r="N45" s="33">
        <f t="shared" si="28"/>
        <v>1</v>
      </c>
      <c r="O45" s="33">
        <f t="shared" si="29"/>
        <v>5</v>
      </c>
      <c r="P45" s="33">
        <f t="shared" si="41"/>
        <v>1</v>
      </c>
      <c r="Q45" s="34">
        <f t="shared" si="31"/>
        <v>0</v>
      </c>
      <c r="R45" s="33">
        <f t="shared" si="42"/>
        <v>1</v>
      </c>
      <c r="S45" s="34">
        <f t="shared" si="33"/>
        <v>8000</v>
      </c>
      <c r="T45" s="34">
        <f t="shared" si="43"/>
        <v>1</v>
      </c>
      <c r="U45" s="34">
        <f t="shared" si="35"/>
        <v>0</v>
      </c>
      <c r="V45" s="34">
        <f t="shared" si="44"/>
        <v>1</v>
      </c>
      <c r="W45" s="34" t="str">
        <f t="shared" si="37"/>
        <v>BKN</v>
      </c>
      <c r="X45" s="34">
        <f t="shared" si="45"/>
        <v>1</v>
      </c>
      <c r="Y45" s="34">
        <f t="shared" si="39"/>
        <v>900</v>
      </c>
      <c r="Z45" s="34">
        <f t="shared" si="4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29"/>
      <c r="E46" s="29">
        <v>250</v>
      </c>
      <c r="F46" s="29">
        <v>4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t="s">
        <v>691</v>
      </c>
      <c r="M46" s="32">
        <f t="shared" si="27"/>
        <v>90</v>
      </c>
      <c r="N46" s="33">
        <f t="shared" si="28"/>
        <v>1</v>
      </c>
      <c r="O46" s="33">
        <f t="shared" si="29"/>
        <v>4</v>
      </c>
      <c r="P46" s="33">
        <f t="shared" si="41"/>
        <v>1</v>
      </c>
      <c r="Q46" s="34">
        <f t="shared" si="31"/>
        <v>0</v>
      </c>
      <c r="R46" s="33">
        <f t="shared" si="42"/>
        <v>1</v>
      </c>
      <c r="S46" s="34">
        <f t="shared" si="33"/>
        <v>5000</v>
      </c>
      <c r="T46" s="34">
        <f t="shared" si="43"/>
        <v>1</v>
      </c>
      <c r="U46" s="34" t="str">
        <f t="shared" si="35"/>
        <v>RA</v>
      </c>
      <c r="V46" s="34">
        <f t="shared" si="44"/>
        <v>0</v>
      </c>
      <c r="W46" s="34" t="str">
        <f t="shared" si="37"/>
        <v>FEW</v>
      </c>
      <c r="X46" s="34">
        <f t="shared" si="45"/>
        <v>0</v>
      </c>
      <c r="Y46" s="34">
        <f t="shared" si="39"/>
        <v>800</v>
      </c>
      <c r="Z46" s="34">
        <f t="shared" si="4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29"/>
      <c r="E47" s="29">
        <v>250</v>
      </c>
      <c r="F47" s="29">
        <v>4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t="s">
        <v>692</v>
      </c>
      <c r="M47" s="32">
        <f t="shared" si="27"/>
        <v>10</v>
      </c>
      <c r="N47" s="33">
        <f t="shared" si="28"/>
        <v>1</v>
      </c>
      <c r="O47" s="33">
        <f t="shared" si="29"/>
        <v>3</v>
      </c>
      <c r="P47" s="33">
        <f t="shared" si="41"/>
        <v>1</v>
      </c>
      <c r="Q47" s="34">
        <f t="shared" si="31"/>
        <v>0</v>
      </c>
      <c r="R47" s="33">
        <f t="shared" si="42"/>
        <v>1</v>
      </c>
      <c r="S47" s="34">
        <f t="shared" si="33"/>
        <v>3000</v>
      </c>
      <c r="T47" s="34">
        <f t="shared" si="43"/>
        <v>0</v>
      </c>
      <c r="U47" s="34" t="str">
        <f t="shared" si="35"/>
        <v>RA</v>
      </c>
      <c r="V47" s="34">
        <f t="shared" si="44"/>
        <v>0</v>
      </c>
      <c r="W47" s="34" t="str">
        <f t="shared" si="37"/>
        <v>FEW</v>
      </c>
      <c r="X47" s="34">
        <f t="shared" si="45"/>
        <v>0</v>
      </c>
      <c r="Y47" s="34">
        <f t="shared" si="39"/>
        <v>800</v>
      </c>
      <c r="Z47" s="34">
        <f t="shared" si="4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11</v>
      </c>
      <c r="U52" s="25"/>
      <c r="V52" s="25">
        <f>SUM(V36:V47)</f>
        <v>10</v>
      </c>
      <c r="W52" s="25"/>
      <c r="X52" s="25">
        <f>SUM(X36:X47)</f>
        <v>8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8</v>
      </c>
      <c r="U53" s="25"/>
      <c r="V53" s="25">
        <f>SUMIF($C36:$C47,"GENERAL",V36:V47)</f>
        <v>7</v>
      </c>
      <c r="W53" s="25"/>
      <c r="X53" s="25">
        <f>SUMIF($C36:$C47,"GENERAL",X36:X47)</f>
        <v>7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3</v>
      </c>
      <c r="T56" s="42">
        <f>S56</f>
        <v>3</v>
      </c>
      <c r="U56" s="42">
        <f>SUMIF($C36:$C47,"TEMPO",V36:V47)</f>
        <v>3</v>
      </c>
      <c r="V56" s="42">
        <f>U56</f>
        <v>3</v>
      </c>
      <c r="W56" s="42">
        <f>SUMIF($C36:$C47,"TEMPO",X36:X47)</f>
        <v>1</v>
      </c>
      <c r="X56" s="42">
        <f>W56</f>
        <v>1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91.666666666666657</v>
      </c>
      <c r="U57" s="38"/>
      <c r="V57" s="38">
        <f>(SUM(V53:V56)/COUNTA(V36:V47))*100</f>
        <v>83.333333333333343</v>
      </c>
      <c r="W57" s="38"/>
      <c r="X57" s="38">
        <f>(SUM(X53:X56)/COUNTA(X36:X47))*100</f>
        <v>66.666666666666657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709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24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51</v>
      </c>
      <c r="K65" s="51">
        <v>900</v>
      </c>
      <c r="L65" t="s">
        <v>687</v>
      </c>
      <c r="M65" s="32">
        <f t="shared" ref="M65:M70" si="47">IF(ISNUMBER(VALUE(FIND("VRB",L65))),999,VALUE(MID(L65,20,3)))</f>
        <v>340</v>
      </c>
      <c r="N65" s="33">
        <f t="shared" ref="N65:N70" si="48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49">VALUE(MID(L65,23,2))</f>
        <v>2</v>
      </c>
      <c r="P65" s="33">
        <f t="shared" ref="P65:P70" si="50">IF(ABS(O65-F65)&lt;11,1,0)</f>
        <v>1</v>
      </c>
      <c r="Q65" s="34">
        <f t="shared" ref="Q65:Q70" si="51">IF(MID(L65,25,1)="G","GUST",0)</f>
        <v>0</v>
      </c>
      <c r="R65" s="33">
        <f t="shared" ref="R65:R70" si="52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6000</v>
      </c>
      <c r="T65" s="34">
        <f t="shared" ref="T65:T70" si="53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54">IF(AND(IFERROR(FIND("RA",L65),0)&gt;0, IFERROR(FIND("RA",L65),0)&lt;38),"RA",0)</f>
        <v>0</v>
      </c>
      <c r="V65" s="34">
        <f t="shared" ref="V65:V70" si="55">IF(U65=I65,1,0)</f>
        <v>1</v>
      </c>
      <c r="W65" s="34" t="str">
        <f t="shared" ref="W65:W70" si="56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0" si="57">IF(OR(AND(OR(J65="SKC",J65="FEW",J65="SCT"),OR(W65="SKC",W65="FEW",W65="SCT")),(AND(OR(J65="BKN",J65="OVC"),OR(W65="BKN",W65="OVC")))),1,0)</f>
        <v>0</v>
      </c>
      <c r="Y65" s="34">
        <f t="shared" ref="Y65:Y70" si="58">IF(ISNUMBER(VALUE(FIND("CAVOK",L65))),9999,IF(ISNUMBER(VALUE(FIND("NSC",L65))),9999,(MID(L65,(FIND(W65,L65)+4),2))*100))</f>
        <v>900</v>
      </c>
      <c r="Z65" s="34">
        <f t="shared" ref="Z65:Z69" si="59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51</v>
      </c>
      <c r="K66" s="51">
        <v>900</v>
      </c>
      <c r="L66" t="s">
        <v>688</v>
      </c>
      <c r="M66" s="32">
        <f t="shared" si="47"/>
        <v>0</v>
      </c>
      <c r="N66" s="33">
        <f t="shared" si="48"/>
        <v>1</v>
      </c>
      <c r="O66" s="33">
        <f t="shared" si="49"/>
        <v>0</v>
      </c>
      <c r="P66" s="33">
        <f t="shared" si="50"/>
        <v>1</v>
      </c>
      <c r="Q66" s="34">
        <f t="shared" si="51"/>
        <v>0</v>
      </c>
      <c r="R66" s="33">
        <f t="shared" si="52"/>
        <v>1</v>
      </c>
      <c r="S66" s="34">
        <f t="shared" ref="S66:S76" si="60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53"/>
        <v>1</v>
      </c>
      <c r="U66" s="34">
        <f t="shared" si="54"/>
        <v>0</v>
      </c>
      <c r="V66" s="34">
        <f t="shared" si="55"/>
        <v>1</v>
      </c>
      <c r="W66" s="34" t="str">
        <f t="shared" si="56"/>
        <v>BKN</v>
      </c>
      <c r="X66" s="34">
        <f t="shared" si="57"/>
        <v>0</v>
      </c>
      <c r="Y66" s="34">
        <f t="shared" si="58"/>
        <v>900</v>
      </c>
      <c r="Z66" s="34">
        <f t="shared" si="59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1" t="s">
        <v>51</v>
      </c>
      <c r="K67" s="51">
        <v>900</v>
      </c>
      <c r="L67" t="s">
        <v>689</v>
      </c>
      <c r="M67" s="32">
        <f t="shared" si="47"/>
        <v>110</v>
      </c>
      <c r="N67" s="33">
        <f t="shared" si="48"/>
        <v>1</v>
      </c>
      <c r="O67" s="33">
        <f t="shared" si="49"/>
        <v>3</v>
      </c>
      <c r="P67" s="33">
        <f t="shared" si="50"/>
        <v>1</v>
      </c>
      <c r="Q67" s="34">
        <f t="shared" si="51"/>
        <v>0</v>
      </c>
      <c r="R67" s="33">
        <f t="shared" si="52"/>
        <v>1</v>
      </c>
      <c r="S67" s="34">
        <f t="shared" si="60"/>
        <v>8000</v>
      </c>
      <c r="T67" s="34">
        <f t="shared" si="53"/>
        <v>1</v>
      </c>
      <c r="U67" s="34">
        <f t="shared" si="54"/>
        <v>0</v>
      </c>
      <c r="V67" s="34">
        <f t="shared" si="55"/>
        <v>1</v>
      </c>
      <c r="W67" s="34" t="str">
        <f t="shared" si="56"/>
        <v>BKN</v>
      </c>
      <c r="X67" s="34">
        <f t="shared" si="57"/>
        <v>0</v>
      </c>
      <c r="Y67" s="34">
        <f t="shared" si="58"/>
        <v>900</v>
      </c>
      <c r="Z67" s="34">
        <f t="shared" si="59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1" t="s">
        <v>51</v>
      </c>
      <c r="K68" s="51">
        <v>900</v>
      </c>
      <c r="L68" t="s">
        <v>690</v>
      </c>
      <c r="M68" s="32">
        <f t="shared" si="47"/>
        <v>230</v>
      </c>
      <c r="N68" s="33">
        <f t="shared" si="48"/>
        <v>1</v>
      </c>
      <c r="O68" s="33">
        <f t="shared" si="49"/>
        <v>5</v>
      </c>
      <c r="P68" s="33">
        <f t="shared" si="50"/>
        <v>1</v>
      </c>
      <c r="Q68" s="34">
        <f t="shared" si="51"/>
        <v>0</v>
      </c>
      <c r="R68" s="33">
        <f t="shared" si="52"/>
        <v>1</v>
      </c>
      <c r="S68" s="34">
        <f t="shared" si="60"/>
        <v>8000</v>
      </c>
      <c r="T68" s="34">
        <f t="shared" si="53"/>
        <v>1</v>
      </c>
      <c r="U68" s="34">
        <f t="shared" si="54"/>
        <v>0</v>
      </c>
      <c r="V68" s="34">
        <f t="shared" si="55"/>
        <v>1</v>
      </c>
      <c r="W68" s="34" t="str">
        <f t="shared" si="56"/>
        <v>BKN</v>
      </c>
      <c r="X68" s="34">
        <f t="shared" si="57"/>
        <v>0</v>
      </c>
      <c r="Y68" s="34">
        <f t="shared" si="58"/>
        <v>900</v>
      </c>
      <c r="Z68" s="34">
        <f t="shared" si="59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0</v>
      </c>
      <c r="F69" s="51">
        <v>0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900</v>
      </c>
      <c r="L69" t="s">
        <v>691</v>
      </c>
      <c r="M69" s="32">
        <f t="shared" si="47"/>
        <v>90</v>
      </c>
      <c r="N69" s="33">
        <f t="shared" si="48"/>
        <v>1</v>
      </c>
      <c r="O69" s="33">
        <f t="shared" si="49"/>
        <v>4</v>
      </c>
      <c r="P69" s="33">
        <f t="shared" si="50"/>
        <v>1</v>
      </c>
      <c r="Q69" s="34">
        <f t="shared" si="51"/>
        <v>0</v>
      </c>
      <c r="R69" s="33">
        <f t="shared" si="52"/>
        <v>1</v>
      </c>
      <c r="S69" s="34">
        <f t="shared" si="60"/>
        <v>5000</v>
      </c>
      <c r="T69" s="34">
        <f t="shared" si="53"/>
        <v>1</v>
      </c>
      <c r="U69" s="34" t="str">
        <f t="shared" si="54"/>
        <v>RA</v>
      </c>
      <c r="V69" s="34">
        <f t="shared" si="55"/>
        <v>1</v>
      </c>
      <c r="W69" s="34" t="str">
        <f t="shared" si="56"/>
        <v>FEW</v>
      </c>
      <c r="X69" s="34">
        <f>IF(OR(AND(OR(J69="SKC",J69="FEW",J69="SCT"),OR(W69="SKC",W69="FEW",W69="SCT")),(AND(OR(J69="BKN",J69="OVC"),OR(W69="BKN",W69="OVC")))),1,0)</f>
        <v>1</v>
      </c>
      <c r="Y69" s="34">
        <f t="shared" si="58"/>
        <v>800</v>
      </c>
      <c r="Z69" s="34">
        <f t="shared" si="59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0</v>
      </c>
      <c r="F70" s="51">
        <v>0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900</v>
      </c>
      <c r="L70" t="s">
        <v>692</v>
      </c>
      <c r="M70" s="32">
        <f t="shared" si="47"/>
        <v>10</v>
      </c>
      <c r="N70" s="33">
        <f t="shared" si="48"/>
        <v>1</v>
      </c>
      <c r="O70" s="33">
        <f t="shared" si="49"/>
        <v>3</v>
      </c>
      <c r="P70" s="33">
        <f t="shared" si="50"/>
        <v>1</v>
      </c>
      <c r="Q70" s="34">
        <f t="shared" si="51"/>
        <v>0</v>
      </c>
      <c r="R70" s="33">
        <f t="shared" si="52"/>
        <v>1</v>
      </c>
      <c r="S70" s="34">
        <f t="shared" si="60"/>
        <v>3000</v>
      </c>
      <c r="T70" s="34">
        <f t="shared" si="53"/>
        <v>1</v>
      </c>
      <c r="U70" s="34" t="str">
        <f t="shared" si="54"/>
        <v>RA</v>
      </c>
      <c r="V70" s="34">
        <f t="shared" si="55"/>
        <v>1</v>
      </c>
      <c r="W70" s="34" t="str">
        <f t="shared" si="56"/>
        <v>FEW</v>
      </c>
      <c r="X70" s="34">
        <f t="shared" si="57"/>
        <v>1</v>
      </c>
      <c r="Y70" s="34">
        <f t="shared" si="58"/>
        <v>800</v>
      </c>
      <c r="Z70" s="34">
        <f>IF(AND(Y70&lt;1001,ABS(K70-Y70)&lt;101),1,IF(AND(Y70&gt;1000,ABS(Y70-K70)/K70&lt;0.30005),1,0))</f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40</v>
      </c>
      <c r="D71" s="52"/>
      <c r="E71" s="51">
        <v>0</v>
      </c>
      <c r="F71" s="51">
        <v>0</v>
      </c>
      <c r="G71" s="51">
        <v>0</v>
      </c>
      <c r="H71" s="51">
        <v>4000</v>
      </c>
      <c r="I71" s="51" t="s">
        <v>52</v>
      </c>
      <c r="J71" s="51" t="s">
        <v>51</v>
      </c>
      <c r="K71" s="51">
        <v>900</v>
      </c>
      <c r="L71" t="s">
        <v>693</v>
      </c>
      <c r="M71" s="32">
        <f t="shared" ref="M71:M76" si="61">IF(ISNUMBER(VALUE(FIND("VRB",L71))),999,VALUE(MID(L71,20,3)))</f>
        <v>350</v>
      </c>
      <c r="N71" s="33">
        <f t="shared" ref="N71:N76" si="62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63">VALUE(MID(L71,23,2))</f>
        <v>4</v>
      </c>
      <c r="P71" s="33">
        <f t="shared" ref="P71:P76" si="64">IF(ABS(O71-F71)&lt;11,1,0)</f>
        <v>1</v>
      </c>
      <c r="Q71" s="34">
        <f t="shared" ref="Q71:Q76" si="65">IF(MID(L71,25,1)="G","GUST",0)</f>
        <v>0</v>
      </c>
      <c r="R71" s="33">
        <f t="shared" ref="R71:R76" si="66">IF(G71=Q71,1,0)</f>
        <v>1</v>
      </c>
      <c r="S71" s="34">
        <f t="shared" si="60"/>
        <v>1000</v>
      </c>
      <c r="T71" s="34">
        <f t="shared" ref="T71:T76" si="67">IF(OR(AND(H71&lt;801,S71&lt;801),AND(H71&gt;799,H71&lt;1501,S71&gt;799,S71&lt;1502),AND(H71&gt;1499,H71&lt;3001,S71&gt;1499,S71&lt;3001),AND(H71&gt;2999,H71&lt;5001,S71&gt;2999,S71&lt;5001),AND(H71&gt;4999,S71&gt;4999)),1,0)</f>
        <v>0</v>
      </c>
      <c r="U71" s="34" t="str">
        <f t="shared" ref="U71:U76" si="68">IF(AND(IFERROR(FIND("RA",L71),0)&gt;0, IFERROR(FIND("RA",L71),0)&lt;38),"RA",0)</f>
        <v>RA</v>
      </c>
      <c r="V71" s="34">
        <f t="shared" ref="V71:V76" si="69">IF(U71=I71,1,0)</f>
        <v>1</v>
      </c>
      <c r="W71" s="34" t="str">
        <f t="shared" ref="W71:W76" si="70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FEW</v>
      </c>
      <c r="X71" s="34">
        <f t="shared" ref="X71:X76" si="71">IF(OR(AND(OR(J71="SKC",J71="FEW",J71="SCT"),OR(W71="SKC",W71="FEW",W71="SCT")),(AND(OR(J71="BKN",J71="OVC"),OR(W71="BKN",W71="OVC")))),1,0)</f>
        <v>1</v>
      </c>
      <c r="Y71" s="34">
        <f t="shared" ref="Y71:Y76" si="72">IF(ISNUMBER(VALUE(FIND("CAVOK",L71))),9999,IF(ISNUMBER(VALUE(FIND("NSC",L71))),9999,(MID(L71,(FIND(W71,L71)+4),2))*100))</f>
        <v>800</v>
      </c>
      <c r="Z71" s="34">
        <f t="shared" ref="Z71:Z76" si="73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51</v>
      </c>
      <c r="K72" s="51">
        <v>900</v>
      </c>
      <c r="L72" t="s">
        <v>694</v>
      </c>
      <c r="M72" s="32">
        <f t="shared" si="61"/>
        <v>360</v>
      </c>
      <c r="N72" s="33">
        <f t="shared" si="62"/>
        <v>1</v>
      </c>
      <c r="O72" s="33">
        <f t="shared" si="63"/>
        <v>4</v>
      </c>
      <c r="P72" s="33">
        <f t="shared" si="64"/>
        <v>1</v>
      </c>
      <c r="Q72" s="34">
        <f t="shared" si="65"/>
        <v>0</v>
      </c>
      <c r="R72" s="33">
        <f t="shared" si="66"/>
        <v>1</v>
      </c>
      <c r="S72" s="34">
        <f t="shared" si="60"/>
        <v>1000</v>
      </c>
      <c r="T72" s="34">
        <f t="shared" si="67"/>
        <v>0</v>
      </c>
      <c r="U72" s="34" t="str">
        <f t="shared" si="68"/>
        <v>RA</v>
      </c>
      <c r="V72" s="34">
        <f t="shared" si="69"/>
        <v>0</v>
      </c>
      <c r="W72" s="34" t="str">
        <f t="shared" si="70"/>
        <v>FEW</v>
      </c>
      <c r="X72" s="34">
        <f t="shared" si="71"/>
        <v>1</v>
      </c>
      <c r="Y72" s="34">
        <f t="shared" si="72"/>
        <v>800</v>
      </c>
      <c r="Z72" s="34">
        <f t="shared" si="73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51</v>
      </c>
      <c r="K73" s="51">
        <v>900</v>
      </c>
      <c r="L73" t="s">
        <v>696</v>
      </c>
      <c r="M73" s="32">
        <f t="shared" si="61"/>
        <v>0</v>
      </c>
      <c r="N73" s="33">
        <f t="shared" si="62"/>
        <v>1</v>
      </c>
      <c r="O73" s="33">
        <f t="shared" si="63"/>
        <v>0</v>
      </c>
      <c r="P73" s="33">
        <f t="shared" si="64"/>
        <v>1</v>
      </c>
      <c r="Q73" s="34">
        <f t="shared" si="65"/>
        <v>0</v>
      </c>
      <c r="R73" s="33">
        <f t="shared" si="66"/>
        <v>1</v>
      </c>
      <c r="S73" s="34">
        <f t="shared" si="60"/>
        <v>2000</v>
      </c>
      <c r="T73" s="34">
        <f t="shared" si="67"/>
        <v>0</v>
      </c>
      <c r="U73" s="34" t="str">
        <f t="shared" si="68"/>
        <v>RA</v>
      </c>
      <c r="V73" s="34">
        <f t="shared" si="69"/>
        <v>0</v>
      </c>
      <c r="W73" s="34" t="str">
        <f t="shared" si="70"/>
        <v>FEW</v>
      </c>
      <c r="X73" s="34">
        <f t="shared" si="71"/>
        <v>1</v>
      </c>
      <c r="Y73" s="34">
        <f t="shared" si="72"/>
        <v>800</v>
      </c>
      <c r="Z73" s="34">
        <f t="shared" si="73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51</v>
      </c>
      <c r="K74" s="51">
        <v>900</v>
      </c>
      <c r="L74" t="s">
        <v>697</v>
      </c>
      <c r="M74" s="32">
        <f t="shared" si="61"/>
        <v>300</v>
      </c>
      <c r="N74" s="33">
        <f t="shared" si="62"/>
        <v>1</v>
      </c>
      <c r="O74" s="33">
        <f t="shared" si="63"/>
        <v>2</v>
      </c>
      <c r="P74" s="33">
        <f t="shared" si="64"/>
        <v>1</v>
      </c>
      <c r="Q74" s="34">
        <f t="shared" si="65"/>
        <v>0</v>
      </c>
      <c r="R74" s="33">
        <f t="shared" si="66"/>
        <v>1</v>
      </c>
      <c r="S74" s="34">
        <f t="shared" si="60"/>
        <v>1000</v>
      </c>
      <c r="T74" s="34">
        <f t="shared" si="67"/>
        <v>0</v>
      </c>
      <c r="U74" s="34" t="str">
        <f t="shared" si="68"/>
        <v>RA</v>
      </c>
      <c r="V74" s="34">
        <f t="shared" si="69"/>
        <v>0</v>
      </c>
      <c r="W74" s="34" t="str">
        <f t="shared" si="70"/>
        <v>FEW</v>
      </c>
      <c r="X74" s="34">
        <f t="shared" si="71"/>
        <v>1</v>
      </c>
      <c r="Y74" s="34">
        <f t="shared" si="72"/>
        <v>800</v>
      </c>
      <c r="Z74" s="34">
        <f t="shared" si="73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51</v>
      </c>
      <c r="K75" s="51">
        <v>900</v>
      </c>
      <c r="L75" t="s">
        <v>698</v>
      </c>
      <c r="M75" s="32">
        <f t="shared" si="61"/>
        <v>0</v>
      </c>
      <c r="N75" s="33">
        <f t="shared" si="62"/>
        <v>1</v>
      </c>
      <c r="O75" s="33">
        <f t="shared" si="63"/>
        <v>0</v>
      </c>
      <c r="P75" s="33">
        <f t="shared" si="64"/>
        <v>1</v>
      </c>
      <c r="Q75" s="34">
        <f t="shared" si="65"/>
        <v>0</v>
      </c>
      <c r="R75" s="33">
        <f t="shared" si="66"/>
        <v>1</v>
      </c>
      <c r="S75" s="34">
        <f t="shared" si="60"/>
        <v>2000</v>
      </c>
      <c r="T75" s="34">
        <f t="shared" si="67"/>
        <v>0</v>
      </c>
      <c r="U75" s="34" t="str">
        <f t="shared" si="68"/>
        <v>RA</v>
      </c>
      <c r="V75" s="34">
        <f t="shared" si="69"/>
        <v>0</v>
      </c>
      <c r="W75" s="34" t="str">
        <f t="shared" si="70"/>
        <v>FEW</v>
      </c>
      <c r="X75" s="34">
        <f t="shared" si="71"/>
        <v>1</v>
      </c>
      <c r="Y75" s="34">
        <f t="shared" si="72"/>
        <v>800</v>
      </c>
      <c r="Z75" s="34">
        <f t="shared" si="73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1" t="s">
        <v>51</v>
      </c>
      <c r="K76" s="51">
        <v>900</v>
      </c>
      <c r="L76" t="s">
        <v>699</v>
      </c>
      <c r="M76" s="32">
        <f t="shared" si="61"/>
        <v>0</v>
      </c>
      <c r="N76" s="33">
        <f t="shared" si="62"/>
        <v>1</v>
      </c>
      <c r="O76" s="33">
        <f t="shared" si="63"/>
        <v>0</v>
      </c>
      <c r="P76" s="33">
        <f t="shared" si="64"/>
        <v>1</v>
      </c>
      <c r="Q76" s="34">
        <f t="shared" si="65"/>
        <v>0</v>
      </c>
      <c r="R76" s="33">
        <f t="shared" si="66"/>
        <v>1</v>
      </c>
      <c r="S76" s="34">
        <f t="shared" si="60"/>
        <v>2000</v>
      </c>
      <c r="T76" s="34">
        <f t="shared" si="67"/>
        <v>0</v>
      </c>
      <c r="U76" s="34" t="str">
        <f t="shared" si="68"/>
        <v>RA</v>
      </c>
      <c r="V76" s="34">
        <f t="shared" si="69"/>
        <v>0</v>
      </c>
      <c r="W76" s="34" t="str">
        <f t="shared" si="70"/>
        <v>OVC</v>
      </c>
      <c r="X76" s="34">
        <f t="shared" si="71"/>
        <v>0</v>
      </c>
      <c r="Y76" s="34">
        <f t="shared" si="72"/>
        <v>800</v>
      </c>
      <c r="Z76" s="34">
        <f t="shared" si="73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6</v>
      </c>
      <c r="U80" s="25"/>
      <c r="V80" s="25">
        <f>SUM(V64:V76)</f>
        <v>7</v>
      </c>
      <c r="W80" s="25"/>
      <c r="X80" s="25">
        <f>SUM(X64:X76)</f>
        <v>7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9</v>
      </c>
      <c r="O81" s="25"/>
      <c r="P81" s="25">
        <f>SUMIF($C64:$C76,"GENERAL",P64:P76)</f>
        <v>9</v>
      </c>
      <c r="Q81" s="25"/>
      <c r="R81" s="25">
        <f>SUMIF($C64:$C76,"GENERAL",R64:R76)</f>
        <v>9</v>
      </c>
      <c r="S81" s="25"/>
      <c r="T81" s="25">
        <f>SUMIF($C64:$C76,"GENERAL",T64:T76)</f>
        <v>4</v>
      </c>
      <c r="U81" s="25"/>
      <c r="V81" s="25">
        <f>SUMIF($C64:$C76,"GENERAL",V64:V76)</f>
        <v>4</v>
      </c>
      <c r="W81" s="25"/>
      <c r="X81" s="25">
        <f>SUMIF($C64:$C76,"GENERAL",X64:X76)</f>
        <v>4</v>
      </c>
      <c r="Y81" s="25"/>
      <c r="Z81" s="25">
        <f>SUMIF($C64:$C76,"GENERAL",Z64:Z76)</f>
        <v>9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3</v>
      </c>
      <c r="M84" s="42">
        <f>SUMIF($C64:$C76,"TEMPO",N64:N76)</f>
        <v>3</v>
      </c>
      <c r="N84" s="42">
        <f>M84</f>
        <v>3</v>
      </c>
      <c r="O84" s="42">
        <f>SUMIF($C64:$C76,"TEMPO",P64:P76)</f>
        <v>3</v>
      </c>
      <c r="P84" s="42">
        <f>O84</f>
        <v>3</v>
      </c>
      <c r="Q84" s="42">
        <f>SUMIF($C64:$C76,"TEMPO",R64:R76)</f>
        <v>3</v>
      </c>
      <c r="R84" s="42">
        <f>Q84</f>
        <v>3</v>
      </c>
      <c r="S84" s="42">
        <f>SUMIF($C64:$C76,"TEMPO",T64:T76)</f>
        <v>2</v>
      </c>
      <c r="T84" s="42">
        <f>S84</f>
        <v>2</v>
      </c>
      <c r="U84" s="42">
        <f>SUMIF($C64:$C76,"TEMPO",V64:V76)</f>
        <v>3</v>
      </c>
      <c r="V84" s="42">
        <f>U84</f>
        <v>3</v>
      </c>
      <c r="W84" s="42">
        <f>SUMIF($C64:$C76,"TEMPO",X64:X76)</f>
        <v>3</v>
      </c>
      <c r="X84" s="42">
        <f>W84</f>
        <v>3</v>
      </c>
      <c r="Y84" s="42">
        <f>SUMIF($C64:$C76,"TEMPO",Z64:Z76)</f>
        <v>3</v>
      </c>
      <c r="Z84" s="42">
        <f>Y84</f>
        <v>3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50</v>
      </c>
      <c r="U85" s="38"/>
      <c r="V85" s="38">
        <f>(SUM(V81:V84)/COUNTA(V64:V76))*100</f>
        <v>58.333333333333336</v>
      </c>
      <c r="W85" s="38"/>
      <c r="X85" s="38">
        <f>(SUM(X81:X84)/COUNTA(X64:X76))*100</f>
        <v>58.333333333333336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706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24</v>
      </c>
      <c r="B93" s="50">
        <v>0.75</v>
      </c>
      <c r="C93" s="51" t="s">
        <v>39</v>
      </c>
      <c r="D93" s="52"/>
      <c r="E93" s="51">
        <v>330</v>
      </c>
      <c r="F93" s="51">
        <v>3</v>
      </c>
      <c r="G93" s="51">
        <v>0</v>
      </c>
      <c r="H93" s="51">
        <v>3000</v>
      </c>
      <c r="I93" s="51" t="s">
        <v>52</v>
      </c>
      <c r="J93" s="51" t="s">
        <v>51</v>
      </c>
      <c r="K93" s="51">
        <v>800</v>
      </c>
      <c r="L93" t="s">
        <v>693</v>
      </c>
      <c r="M93" s="32">
        <f t="shared" ref="M93:M98" si="74">IF(ISNUMBER(VALUE(FIND("VRB",L93))),999,VALUE(MID(L93,20,3)))</f>
        <v>350</v>
      </c>
      <c r="N93" s="33">
        <f t="shared" ref="N93:N98" si="75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76">VALUE(MID(L93,23,2))</f>
        <v>4</v>
      </c>
      <c r="P93" s="33">
        <f t="shared" ref="P93:P98" si="77">IF(ABS(O93-F93)&lt;11,1,0)</f>
        <v>1</v>
      </c>
      <c r="Q93" s="34">
        <f t="shared" ref="Q93:Q98" si="78">IF(MID(L93,25,1)="G","GUST",0)</f>
        <v>0</v>
      </c>
      <c r="R93" s="33">
        <f t="shared" ref="R93:R98" si="79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1000</v>
      </c>
      <c r="T93" s="34">
        <f t="shared" ref="T93:T98" si="80">IF(OR(AND(H93&lt;801,S93&lt;801),AND(H93&gt;799,H93&lt;1501,S93&gt;799,S93&lt;1502),AND(H93&gt;1499,H93&lt;3001,S93&gt;1499,S93&lt;3001),AND(H93&gt;2999,H93&lt;5001,S93&gt;2999,S93&lt;5001),AND(H93&gt;4999,S93&gt;4999)),1,0)</f>
        <v>0</v>
      </c>
      <c r="U93" s="34" t="str">
        <f t="shared" ref="U93:U98" si="81">IF(AND(IFERROR(FIND("RA",L93),0)&gt;0, IFERROR(FIND("RA",L93),0)&lt;38),"RA",0)</f>
        <v>RA</v>
      </c>
      <c r="V93" s="34">
        <f t="shared" ref="V93:V98" si="82">IF(U93=I93,1,0)</f>
        <v>1</v>
      </c>
      <c r="W93" s="34" t="str">
        <f t="shared" ref="W93:W98" si="83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FEW</v>
      </c>
      <c r="X93" s="34">
        <f t="shared" ref="X93:X98" si="84">IF(OR(AND(OR(J93="SKC",J93="FEW",J93="SCT"),OR(W93="SKC",W93="FEW",W93="SCT")),(AND(OR(J93="BKN",J93="OVC"),OR(W93="BKN",W93="OVC")))),1,0)</f>
        <v>1</v>
      </c>
      <c r="Y93" s="34">
        <f t="shared" ref="Y93:Y98" si="85">IF(ISNUMBER(VALUE(FIND("CAVOK",L93))),9999,IF(ISNUMBER(VALUE(FIND("NSC",L93))),9999,(MID(L93,(FIND(W93,L93)+4),2))*100))</f>
        <v>800</v>
      </c>
      <c r="Z93" s="34">
        <f t="shared" ref="Z93:Z98" si="86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330</v>
      </c>
      <c r="F94" s="51">
        <v>3</v>
      </c>
      <c r="G94" s="51">
        <v>0</v>
      </c>
      <c r="H94" s="51">
        <v>3000</v>
      </c>
      <c r="I94" s="51" t="s">
        <v>52</v>
      </c>
      <c r="J94" s="51" t="s">
        <v>51</v>
      </c>
      <c r="K94" s="51">
        <v>800</v>
      </c>
      <c r="L94" t="s">
        <v>694</v>
      </c>
      <c r="M94" s="32">
        <f t="shared" si="74"/>
        <v>360</v>
      </c>
      <c r="N94" s="33">
        <f t="shared" si="75"/>
        <v>1</v>
      </c>
      <c r="O94" s="33">
        <f t="shared" si="76"/>
        <v>4</v>
      </c>
      <c r="P94" s="33">
        <f t="shared" si="77"/>
        <v>1</v>
      </c>
      <c r="Q94" s="34">
        <f t="shared" si="78"/>
        <v>0</v>
      </c>
      <c r="R94" s="33">
        <f t="shared" si="79"/>
        <v>1</v>
      </c>
      <c r="S94" s="34">
        <f t="shared" ref="S94:S104" si="87">IF(ISNUMBER(VALUE(MID(L94,(FIND("KT",L94,FIND("Z",L94))+3),4))),VALUE(MID(L94,(FIND("KT",L94,FIND("Z",L94))+3),4)),IF(ISNUMBER(VALUE(MID(L94,(FIND("0V",L94)+6),4))),VALUE(MID(L94,(FIND("0V",L94)+6),4)),9999))</f>
        <v>1000</v>
      </c>
      <c r="T94" s="34">
        <f t="shared" si="80"/>
        <v>0</v>
      </c>
      <c r="U94" s="34" t="str">
        <f t="shared" si="81"/>
        <v>RA</v>
      </c>
      <c r="V94" s="34">
        <f t="shared" si="82"/>
        <v>1</v>
      </c>
      <c r="W94" s="34" t="str">
        <f t="shared" si="83"/>
        <v>FEW</v>
      </c>
      <c r="X94" s="34">
        <f t="shared" si="84"/>
        <v>1</v>
      </c>
      <c r="Y94" s="34">
        <f t="shared" si="85"/>
        <v>800</v>
      </c>
      <c r="Z94" s="34">
        <f t="shared" si="86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330</v>
      </c>
      <c r="F95" s="51">
        <v>3</v>
      </c>
      <c r="G95" s="51">
        <v>0</v>
      </c>
      <c r="H95" s="51">
        <v>3000</v>
      </c>
      <c r="I95" s="51" t="s">
        <v>52</v>
      </c>
      <c r="J95" s="51" t="s">
        <v>51</v>
      </c>
      <c r="K95" s="51">
        <v>800</v>
      </c>
      <c r="L95" t="s">
        <v>696</v>
      </c>
      <c r="M95" s="32">
        <f t="shared" si="74"/>
        <v>0</v>
      </c>
      <c r="N95" s="33">
        <f t="shared" si="75"/>
        <v>1</v>
      </c>
      <c r="O95" s="33">
        <f t="shared" si="76"/>
        <v>0</v>
      </c>
      <c r="P95" s="33">
        <f t="shared" si="77"/>
        <v>1</v>
      </c>
      <c r="Q95" s="34">
        <f t="shared" si="78"/>
        <v>0</v>
      </c>
      <c r="R95" s="33">
        <f t="shared" si="79"/>
        <v>1</v>
      </c>
      <c r="S95" s="34">
        <f t="shared" si="87"/>
        <v>2000</v>
      </c>
      <c r="T95" s="34">
        <f t="shared" si="80"/>
        <v>1</v>
      </c>
      <c r="U95" s="34" t="str">
        <f t="shared" si="81"/>
        <v>RA</v>
      </c>
      <c r="V95" s="34">
        <f t="shared" si="82"/>
        <v>1</v>
      </c>
      <c r="W95" s="34" t="str">
        <f t="shared" si="83"/>
        <v>FEW</v>
      </c>
      <c r="X95" s="34">
        <f t="shared" si="84"/>
        <v>1</v>
      </c>
      <c r="Y95" s="34">
        <f t="shared" si="85"/>
        <v>800</v>
      </c>
      <c r="Z95" s="34">
        <f t="shared" si="86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330</v>
      </c>
      <c r="F96" s="51">
        <v>3</v>
      </c>
      <c r="G96" s="51">
        <v>0</v>
      </c>
      <c r="H96" s="51">
        <v>3000</v>
      </c>
      <c r="I96" s="51" t="s">
        <v>52</v>
      </c>
      <c r="J96" s="51" t="s">
        <v>51</v>
      </c>
      <c r="K96" s="51">
        <v>800</v>
      </c>
      <c r="L96" t="s">
        <v>697</v>
      </c>
      <c r="M96" s="32">
        <f t="shared" si="74"/>
        <v>300</v>
      </c>
      <c r="N96" s="33">
        <f t="shared" si="75"/>
        <v>1</v>
      </c>
      <c r="O96" s="33">
        <f t="shared" si="76"/>
        <v>2</v>
      </c>
      <c r="P96" s="33">
        <f t="shared" si="77"/>
        <v>1</v>
      </c>
      <c r="Q96" s="34">
        <f t="shared" si="78"/>
        <v>0</v>
      </c>
      <c r="R96" s="33">
        <f t="shared" si="79"/>
        <v>1</v>
      </c>
      <c r="S96" s="34">
        <f t="shared" si="87"/>
        <v>1000</v>
      </c>
      <c r="T96" s="34">
        <f t="shared" si="80"/>
        <v>0</v>
      </c>
      <c r="U96" s="34" t="str">
        <f t="shared" si="81"/>
        <v>RA</v>
      </c>
      <c r="V96" s="34">
        <f t="shared" si="82"/>
        <v>1</v>
      </c>
      <c r="W96" s="34" t="str">
        <f t="shared" si="83"/>
        <v>FEW</v>
      </c>
      <c r="X96" s="34">
        <f t="shared" si="84"/>
        <v>1</v>
      </c>
      <c r="Y96" s="34">
        <f t="shared" si="85"/>
        <v>800</v>
      </c>
      <c r="Z96" s="34">
        <f t="shared" si="86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330</v>
      </c>
      <c r="F97" s="51">
        <v>3</v>
      </c>
      <c r="G97" s="51">
        <v>0</v>
      </c>
      <c r="H97" s="51">
        <v>3000</v>
      </c>
      <c r="I97" s="51" t="s">
        <v>52</v>
      </c>
      <c r="J97" s="51" t="s">
        <v>51</v>
      </c>
      <c r="K97" s="51">
        <v>800</v>
      </c>
      <c r="L97" t="s">
        <v>698</v>
      </c>
      <c r="M97" s="32">
        <f t="shared" si="74"/>
        <v>0</v>
      </c>
      <c r="N97" s="33">
        <f t="shared" si="75"/>
        <v>1</v>
      </c>
      <c r="O97" s="33">
        <f t="shared" si="76"/>
        <v>0</v>
      </c>
      <c r="P97" s="33">
        <f t="shared" si="77"/>
        <v>1</v>
      </c>
      <c r="Q97" s="34">
        <f t="shared" si="78"/>
        <v>0</v>
      </c>
      <c r="R97" s="33">
        <f t="shared" si="79"/>
        <v>1</v>
      </c>
      <c r="S97" s="34">
        <f t="shared" si="87"/>
        <v>2000</v>
      </c>
      <c r="T97" s="34">
        <f t="shared" si="80"/>
        <v>1</v>
      </c>
      <c r="U97" s="34" t="str">
        <f t="shared" si="81"/>
        <v>RA</v>
      </c>
      <c r="V97" s="34">
        <f t="shared" si="82"/>
        <v>1</v>
      </c>
      <c r="W97" s="34" t="str">
        <f t="shared" si="83"/>
        <v>FEW</v>
      </c>
      <c r="X97" s="34">
        <f t="shared" si="84"/>
        <v>1</v>
      </c>
      <c r="Y97" s="34">
        <f t="shared" si="85"/>
        <v>800</v>
      </c>
      <c r="Z97" s="34">
        <f t="shared" si="86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330</v>
      </c>
      <c r="F98" s="51">
        <v>3</v>
      </c>
      <c r="G98" s="51">
        <v>0</v>
      </c>
      <c r="H98" s="51">
        <v>3000</v>
      </c>
      <c r="I98" s="51" t="s">
        <v>52</v>
      </c>
      <c r="J98" s="51" t="s">
        <v>51</v>
      </c>
      <c r="K98" s="51">
        <v>800</v>
      </c>
      <c r="L98" t="s">
        <v>699</v>
      </c>
      <c r="M98" s="32">
        <f t="shared" si="74"/>
        <v>0</v>
      </c>
      <c r="N98" s="33">
        <f t="shared" si="75"/>
        <v>1</v>
      </c>
      <c r="O98" s="33">
        <f t="shared" si="76"/>
        <v>0</v>
      </c>
      <c r="P98" s="33">
        <f t="shared" si="77"/>
        <v>1</v>
      </c>
      <c r="Q98" s="34">
        <f t="shared" si="78"/>
        <v>0</v>
      </c>
      <c r="R98" s="33">
        <f t="shared" si="79"/>
        <v>1</v>
      </c>
      <c r="S98" s="34">
        <f t="shared" si="87"/>
        <v>2000</v>
      </c>
      <c r="T98" s="34">
        <f t="shared" si="80"/>
        <v>1</v>
      </c>
      <c r="U98" s="34" t="str">
        <f t="shared" si="81"/>
        <v>RA</v>
      </c>
      <c r="V98" s="34">
        <f t="shared" si="82"/>
        <v>1</v>
      </c>
      <c r="W98" s="34" t="str">
        <f t="shared" si="83"/>
        <v>OVC</v>
      </c>
      <c r="X98" s="34">
        <f t="shared" si="84"/>
        <v>0</v>
      </c>
      <c r="Y98" s="34">
        <f t="shared" si="85"/>
        <v>800</v>
      </c>
      <c r="Z98" s="34">
        <f t="shared" si="86"/>
        <v>1</v>
      </c>
      <c r="AA98" s="25"/>
      <c r="AB98" s="25"/>
      <c r="AC98" s="25"/>
      <c r="AD98" s="25"/>
      <c r="AE98" s="25"/>
    </row>
    <row r="99" spans="1:31" ht="16.5">
      <c r="A99" s="55">
        <v>25</v>
      </c>
      <c r="B99" s="54">
        <v>0</v>
      </c>
      <c r="C99" s="51" t="s">
        <v>39</v>
      </c>
      <c r="D99" s="52"/>
      <c r="E99" s="51">
        <v>330</v>
      </c>
      <c r="F99" s="51">
        <v>3</v>
      </c>
      <c r="G99" s="51">
        <v>0</v>
      </c>
      <c r="H99" s="51">
        <v>3000</v>
      </c>
      <c r="I99" s="51" t="s">
        <v>52</v>
      </c>
      <c r="J99" s="51" t="s">
        <v>51</v>
      </c>
      <c r="K99" s="51">
        <v>800</v>
      </c>
      <c r="L99" t="s">
        <v>700</v>
      </c>
      <c r="M99" s="32">
        <f t="shared" ref="M99:M102" si="88">IF(ISNUMBER(VALUE(FIND("VRB",L99))),999,VALUE(MID(L99,20,3)))</f>
        <v>0</v>
      </c>
      <c r="N99" s="33">
        <f t="shared" ref="N99:N102" si="89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2" si="90">VALUE(MID(L99,23,2))</f>
        <v>0</v>
      </c>
      <c r="P99" s="33">
        <f t="shared" ref="P99:P102" si="91">IF(ABS(O99-F99)&lt;11,1,0)</f>
        <v>1</v>
      </c>
      <c r="Q99" s="34">
        <f t="shared" ref="Q99:Q102" si="92">IF(MID(L99,25,1)="G","GUST",0)</f>
        <v>0</v>
      </c>
      <c r="R99" s="33">
        <f t="shared" ref="R99:R102" si="93">IF(G99=Q99,1,0)</f>
        <v>1</v>
      </c>
      <c r="S99" s="34">
        <f t="shared" si="87"/>
        <v>2000</v>
      </c>
      <c r="T99" s="34">
        <f t="shared" ref="T99:T104" si="94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2" si="95">IF(AND(IFERROR(FIND("RA",L99),0)&gt;0, IFERROR(FIND("RA",L99),0)&lt;38),"RA",0)</f>
        <v>0</v>
      </c>
      <c r="V99" s="34">
        <f t="shared" ref="V99:V104" si="96">IF(U99=I99,1,0)</f>
        <v>0</v>
      </c>
      <c r="W99" s="34" t="str">
        <f t="shared" ref="W99:W102" si="97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OVC</v>
      </c>
      <c r="X99" s="34">
        <f t="shared" ref="X99:X102" si="98">IF(OR(AND(OR(J99="SKC",J99="FEW",J99="SCT"),OR(W99="SKC",W99="FEW",W99="SCT")),(AND(OR(J99="BKN",J99="OVC"),OR(W99="BKN",W99="OVC")))),1,0)</f>
        <v>0</v>
      </c>
      <c r="Y99" s="34">
        <f t="shared" ref="Y99:Y102" si="99">IF(ISNUMBER(VALUE(FIND("CAVOK",L99))),9999,IF(ISNUMBER(VALUE(FIND("NSC",L99))),9999,(MID(L99,(FIND(W99,L99)+4),2))*100))</f>
        <v>800</v>
      </c>
      <c r="Z99" s="34">
        <f t="shared" ref="Z99:Z102" si="100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330</v>
      </c>
      <c r="F100" s="51">
        <v>3</v>
      </c>
      <c r="G100" s="51">
        <v>0</v>
      </c>
      <c r="H100" s="51">
        <v>3000</v>
      </c>
      <c r="I100" s="51" t="s">
        <v>52</v>
      </c>
      <c r="J100" s="51" t="s">
        <v>51</v>
      </c>
      <c r="K100" s="51">
        <v>800</v>
      </c>
      <c r="L100" t="s">
        <v>701</v>
      </c>
      <c r="M100" s="32">
        <f t="shared" si="88"/>
        <v>300</v>
      </c>
      <c r="N100" s="33">
        <f t="shared" si="89"/>
        <v>1</v>
      </c>
      <c r="O100" s="33">
        <f t="shared" si="90"/>
        <v>2</v>
      </c>
      <c r="P100" s="33">
        <f t="shared" si="91"/>
        <v>1</v>
      </c>
      <c r="Q100" s="34">
        <f t="shared" si="92"/>
        <v>0</v>
      </c>
      <c r="R100" s="33">
        <f t="shared" si="93"/>
        <v>1</v>
      </c>
      <c r="S100" s="34">
        <f t="shared" si="87"/>
        <v>8000</v>
      </c>
      <c r="T100" s="34">
        <f t="shared" si="94"/>
        <v>0</v>
      </c>
      <c r="U100" s="34">
        <f t="shared" si="95"/>
        <v>0</v>
      </c>
      <c r="V100" s="34">
        <f t="shared" si="96"/>
        <v>0</v>
      </c>
      <c r="W100" s="34" t="str">
        <f t="shared" si="97"/>
        <v>BKN</v>
      </c>
      <c r="X100" s="34">
        <f t="shared" si="98"/>
        <v>0</v>
      </c>
      <c r="Y100" s="34">
        <f t="shared" si="99"/>
        <v>800</v>
      </c>
      <c r="Z100" s="34">
        <f t="shared" si="100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34</v>
      </c>
      <c r="D101" s="52"/>
      <c r="E101" s="51">
        <v>330</v>
      </c>
      <c r="F101" s="51">
        <v>3</v>
      </c>
      <c r="G101" s="51">
        <v>0</v>
      </c>
      <c r="H101" s="51">
        <v>7000</v>
      </c>
      <c r="I101" s="51">
        <v>0</v>
      </c>
      <c r="J101" s="51" t="s">
        <v>58</v>
      </c>
      <c r="K101" s="51">
        <v>900</v>
      </c>
      <c r="L101" t="s">
        <v>702</v>
      </c>
      <c r="M101" s="32">
        <f t="shared" si="88"/>
        <v>0</v>
      </c>
      <c r="N101" s="33">
        <f t="shared" si="89"/>
        <v>1</v>
      </c>
      <c r="O101" s="33">
        <f t="shared" si="90"/>
        <v>0</v>
      </c>
      <c r="P101" s="33">
        <f t="shared" si="91"/>
        <v>1</v>
      </c>
      <c r="Q101" s="34">
        <f t="shared" si="92"/>
        <v>0</v>
      </c>
      <c r="R101" s="33">
        <f t="shared" si="93"/>
        <v>1</v>
      </c>
      <c r="S101" s="34">
        <f t="shared" si="87"/>
        <v>8000</v>
      </c>
      <c r="T101" s="34">
        <f t="shared" si="94"/>
        <v>1</v>
      </c>
      <c r="U101" s="34">
        <f t="shared" si="95"/>
        <v>0</v>
      </c>
      <c r="V101" s="34">
        <f t="shared" si="96"/>
        <v>1</v>
      </c>
      <c r="W101" s="34" t="str">
        <f t="shared" si="97"/>
        <v>BKN</v>
      </c>
      <c r="X101" s="34">
        <f t="shared" si="98"/>
        <v>1</v>
      </c>
      <c r="Y101" s="34">
        <f t="shared" si="99"/>
        <v>800</v>
      </c>
      <c r="Z101" s="34">
        <f t="shared" si="100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34</v>
      </c>
      <c r="D102" s="52"/>
      <c r="E102" s="51">
        <v>330</v>
      </c>
      <c r="F102" s="51">
        <v>3</v>
      </c>
      <c r="G102" s="51">
        <v>0</v>
      </c>
      <c r="H102" s="51">
        <v>7000</v>
      </c>
      <c r="I102" s="51">
        <v>0</v>
      </c>
      <c r="J102" s="51" t="s">
        <v>58</v>
      </c>
      <c r="K102" s="51">
        <v>900</v>
      </c>
      <c r="L102" t="s">
        <v>703</v>
      </c>
      <c r="M102" s="32">
        <f t="shared" si="88"/>
        <v>0</v>
      </c>
      <c r="N102" s="33">
        <f t="shared" si="89"/>
        <v>1</v>
      </c>
      <c r="O102" s="33">
        <f t="shared" si="90"/>
        <v>0</v>
      </c>
      <c r="P102" s="33">
        <f t="shared" si="91"/>
        <v>1</v>
      </c>
      <c r="Q102" s="34">
        <f t="shared" si="92"/>
        <v>0</v>
      </c>
      <c r="R102" s="33">
        <f t="shared" si="93"/>
        <v>1</v>
      </c>
      <c r="S102" s="34">
        <f t="shared" si="87"/>
        <v>8000</v>
      </c>
      <c r="T102" s="34">
        <f t="shared" si="94"/>
        <v>1</v>
      </c>
      <c r="U102" s="34">
        <f t="shared" si="95"/>
        <v>0</v>
      </c>
      <c r="V102" s="34">
        <f t="shared" si="96"/>
        <v>1</v>
      </c>
      <c r="W102" s="34" t="str">
        <f t="shared" si="97"/>
        <v>BKN</v>
      </c>
      <c r="X102" s="34">
        <f t="shared" si="98"/>
        <v>1</v>
      </c>
      <c r="Y102" s="34">
        <f t="shared" si="99"/>
        <v>800</v>
      </c>
      <c r="Z102" s="34">
        <f t="shared" si="100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34</v>
      </c>
      <c r="D103" s="52"/>
      <c r="E103" s="51">
        <v>330</v>
      </c>
      <c r="F103" s="51">
        <v>3</v>
      </c>
      <c r="G103" s="51">
        <v>0</v>
      </c>
      <c r="H103" s="51">
        <v>7000</v>
      </c>
      <c r="I103" s="51">
        <v>0</v>
      </c>
      <c r="J103" s="51" t="s">
        <v>58</v>
      </c>
      <c r="K103" s="51">
        <v>900</v>
      </c>
      <c r="L103" t="s">
        <v>704</v>
      </c>
      <c r="M103" s="32">
        <f t="shared" ref="M103:M104" si="101">IF(ISNUMBER(VALUE(FIND("VRB",L103))),999,VALUE(MID(L103,20,3)))</f>
        <v>0</v>
      </c>
      <c r="N103" s="33">
        <f t="shared" ref="N103:N104" si="102">IF(OR(ABS(E103-M103)&lt;61,AND(ABS(E103-M103)&gt;60,O103&lt;10),E103=M103,AND(E103=999,ISNUMBER(VALUE(FIND("TS",L103)))),AND(E103=999,ISNUMBER(VALUE(FIND("CB",L103)))),AND(E103=999,O103&lt;10),AND(F103&lt;10,M103=999,O103&lt;10)),1,0)</f>
        <v>1</v>
      </c>
      <c r="O103" s="33">
        <f t="shared" ref="O103:O104" si="103">VALUE(MID(L103,23,2))</f>
        <v>0</v>
      </c>
      <c r="P103" s="33">
        <f t="shared" ref="P103:P104" si="104">IF(ABS(O103-F103)&lt;11,1,0)</f>
        <v>1</v>
      </c>
      <c r="Q103" s="34">
        <f t="shared" ref="Q103:Q104" si="105">IF(MID(L103,25,1)="G","GUST",0)</f>
        <v>0</v>
      </c>
      <c r="R103" s="33">
        <f t="shared" ref="R103:R104" si="106">IF(G103=Q103,1,0)</f>
        <v>1</v>
      </c>
      <c r="S103" s="34">
        <f t="shared" si="87"/>
        <v>8000</v>
      </c>
      <c r="T103" s="34">
        <f t="shared" si="94"/>
        <v>1</v>
      </c>
      <c r="U103" s="34">
        <f>IF(AND(IFERROR(FIND("RA",#REF!),0)&gt;0, IFERROR(FIND("RA",#REF!),0)&lt;38),"RA",0)</f>
        <v>0</v>
      </c>
      <c r="V103" s="34">
        <f t="shared" si="96"/>
        <v>1</v>
      </c>
      <c r="W103" s="34" t="str">
        <f t="shared" ref="W103:W104" si="107">IF(ISNUMBER(VALUE(FIND("FEW",L103))),"FEW",IF(ISNUMBER(VALUE(FIND("SCT",L103))),"SCT",IF(ISNUMBER(VALUE(FIND("BKN",L103))),"BKN",IF(ISNUMBER(VALUE(FIND("OVC",L103))),"OVC",IF(ISNUMBER(VALUE(FIND("SKC",L103))),"SKC",IF(ISNUMBER(VALUE(FIND("CAVOK",L103))),"SKC",IF(ISNUMBER(VALUE(FIND("NSC",L103))),"SKC","EROR")))))))</f>
        <v>BKN</v>
      </c>
      <c r="X103" s="34">
        <f t="shared" ref="X103:X104" si="108">IF(OR(AND(OR(J103="SKC",J103="FEW",J103="SCT"),OR(W103="SKC",W103="FEW",W103="SCT")),(AND(OR(J103="BKN",J103="OVC"),OR(W103="BKN",W103="OVC")))),1,0)</f>
        <v>1</v>
      </c>
      <c r="Y103" s="34">
        <f t="shared" ref="Y103:Y104" si="109">IF(ISNUMBER(VALUE(FIND("CAVOK",L103))),9999,IF(ISNUMBER(VALUE(FIND("NSC",L103))),9999,(MID(L103,(FIND(W103,L103)+4),2))*100))</f>
        <v>900</v>
      </c>
      <c r="Z103" s="34">
        <f t="shared" ref="Z103:Z104" si="110">IF(AND(Y103&lt;1001,ABS(K103-Y103)&lt;101),1,IF(AND(Y103&gt;1000,ABS(Y103-K103)/K103&lt;0.30005),1,0))</f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34</v>
      </c>
      <c r="D104" s="52"/>
      <c r="E104" s="51">
        <v>330</v>
      </c>
      <c r="F104" s="51">
        <v>3</v>
      </c>
      <c r="G104" s="51">
        <v>0</v>
      </c>
      <c r="H104" s="51">
        <v>7000</v>
      </c>
      <c r="I104" s="51">
        <v>0</v>
      </c>
      <c r="J104" s="51" t="s">
        <v>58</v>
      </c>
      <c r="K104" s="51">
        <v>900</v>
      </c>
      <c r="L104" t="s">
        <v>705</v>
      </c>
      <c r="M104" s="32">
        <f t="shared" si="101"/>
        <v>70</v>
      </c>
      <c r="N104" s="33">
        <f t="shared" si="102"/>
        <v>1</v>
      </c>
      <c r="O104" s="33">
        <f t="shared" si="103"/>
        <v>3</v>
      </c>
      <c r="P104" s="33">
        <f t="shared" si="104"/>
        <v>1</v>
      </c>
      <c r="Q104" s="34">
        <f t="shared" si="105"/>
        <v>0</v>
      </c>
      <c r="R104" s="33">
        <f t="shared" si="106"/>
        <v>1</v>
      </c>
      <c r="S104" s="34">
        <f t="shared" si="87"/>
        <v>8000</v>
      </c>
      <c r="T104" s="34">
        <f t="shared" si="94"/>
        <v>1</v>
      </c>
      <c r="U104" s="34">
        <f>IF(AND(IFERROR(FIND("RA",#REF!),0)&gt;0, IFERROR(FIND("RA",#REF!),0)&lt;38),"RA",0)</f>
        <v>0</v>
      </c>
      <c r="V104" s="34">
        <f t="shared" si="96"/>
        <v>1</v>
      </c>
      <c r="W104" s="34" t="str">
        <f t="shared" si="107"/>
        <v>BKN</v>
      </c>
      <c r="X104" s="34">
        <f t="shared" si="108"/>
        <v>1</v>
      </c>
      <c r="Y104" s="34">
        <f t="shared" si="109"/>
        <v>900</v>
      </c>
      <c r="Z104" s="34">
        <f t="shared" si="110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8</v>
      </c>
      <c r="U109" s="25"/>
      <c r="V109" s="25">
        <f>SUM(V93:V104)</f>
        <v>10</v>
      </c>
      <c r="W109" s="25"/>
      <c r="X109" s="25">
        <f>SUM(X93:X104)</f>
        <v>9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8</v>
      </c>
      <c r="O110" s="25"/>
      <c r="P110" s="25">
        <f>SUMIF($C93:$C104,"GENERAL",P93:P104)</f>
        <v>8</v>
      </c>
      <c r="Q110" s="25"/>
      <c r="R110" s="25">
        <f>SUMIF($C93:$C104,"GENERAL",R93:R104)</f>
        <v>8</v>
      </c>
      <c r="S110" s="25"/>
      <c r="T110" s="25">
        <f>SUMIF($C93:$C104,"GENERAL",T93:T104)</f>
        <v>4</v>
      </c>
      <c r="U110" s="25"/>
      <c r="V110" s="25">
        <f>SUMIF($C93:$C104,"GENERAL",V93:V104)</f>
        <v>6</v>
      </c>
      <c r="W110" s="25"/>
      <c r="X110" s="25">
        <f>SUMIF($C93:$C104,"GENERAL",X93:X104)</f>
        <v>5</v>
      </c>
      <c r="Y110" s="25"/>
      <c r="Z110" s="25">
        <f>SUMIF($C93:$C104,"GENERAL",Z93:Z104)</f>
        <v>8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4</v>
      </c>
      <c r="O111" s="25"/>
      <c r="P111" s="25">
        <f>SUMIF($C93:$C104,"BECMG",P93:P104)</f>
        <v>4</v>
      </c>
      <c r="Q111" s="25"/>
      <c r="R111" s="25">
        <f>SUMIF($C93:$C104,"BECMG",R93:R104)</f>
        <v>4</v>
      </c>
      <c r="S111" s="25"/>
      <c r="T111" s="25">
        <f>SUMIF($C93:$C104,"BECMG",T93:T104)</f>
        <v>4</v>
      </c>
      <c r="U111" s="25"/>
      <c r="V111" s="25">
        <f>SUMIF($C93:$C104,"BECMG",V93:V104)</f>
        <v>4</v>
      </c>
      <c r="W111" s="25"/>
      <c r="X111" s="25">
        <f>SUMIF($C93:$C104,"BECMG",X93:X104)</f>
        <v>4</v>
      </c>
      <c r="Y111" s="25"/>
      <c r="Z111" s="25">
        <f>SUMIF($C93:$C104,"BECMG",Z93:Z104)</f>
        <v>4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66.666666666666657</v>
      </c>
      <c r="U114" s="38"/>
      <c r="V114" s="38">
        <f>(SUM(V110:V113)/COUNTA(V93:V104))*100</f>
        <v>83.333333333333343</v>
      </c>
      <c r="W114" s="38"/>
      <c r="X114" s="38">
        <f>(SUM(X110:X113)/COUNTA(X93:X104))*100</f>
        <v>75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23BFB-65D9-1342-B1B1-EFC94246C8E0}">
  <sheetPr>
    <tabColor theme="0"/>
  </sheetPr>
  <dimension ref="A1:AE115"/>
  <sheetViews>
    <sheetView topLeftCell="A43" zoomScale="85" zoomScaleNormal="85" workbookViewId="0">
      <selection activeCell="E69" sqref="E69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707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25</v>
      </c>
      <c r="B7" s="28">
        <v>0</v>
      </c>
      <c r="C7" s="29" t="s">
        <v>39</v>
      </c>
      <c r="D7" s="29"/>
      <c r="E7" s="29">
        <v>0</v>
      </c>
      <c r="F7" s="29">
        <v>0</v>
      </c>
      <c r="G7" s="29">
        <v>0</v>
      </c>
      <c r="H7" s="29">
        <v>3000</v>
      </c>
      <c r="I7" s="29" t="s">
        <v>52</v>
      </c>
      <c r="J7" s="29" t="s">
        <v>51</v>
      </c>
      <c r="K7" s="29">
        <v>800</v>
      </c>
      <c r="L7" t="s">
        <v>700</v>
      </c>
      <c r="M7" s="32">
        <f t="shared" ref="M7:M12" si="0">IF(ISNUMBER(VALUE(FIND("VRB",L7))),999,VALUE(MID(L7,20,3)))</f>
        <v>0</v>
      </c>
      <c r="N7" s="33">
        <f t="shared" ref="N7:N12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2" si="2">VALUE(MID(L7,23,2))</f>
        <v>0</v>
      </c>
      <c r="P7" s="33">
        <f t="shared" ref="P7:P12" si="3">IF(ABS(O7-F7)&lt;11,1,0)</f>
        <v>1</v>
      </c>
      <c r="Q7" s="34">
        <f t="shared" ref="Q7:Q12" si="4">IF(MID(L7,25,1)="G","GUST",0)</f>
        <v>0</v>
      </c>
      <c r="R7" s="33">
        <f t="shared" ref="R7:R12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2000</v>
      </c>
      <c r="T7" s="34">
        <f t="shared" ref="T7:T13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2" si="7">IF(AND(IFERROR(FIND("RA",L7),0)&gt;0, IFERROR(FIND("RA",L7),0)&lt;38),"RA",0)</f>
        <v>0</v>
      </c>
      <c r="V7" s="34">
        <f t="shared" ref="V7:V13" si="8">IF(U7=I7,1,0)</f>
        <v>0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OVC</v>
      </c>
      <c r="X7" s="34">
        <f t="shared" ref="X7:X12" si="10">IF(OR(AND(OR(J7="SKC",J7="FEW",J7="SCT"),OR(W7="SKC",W7="FEW",W7="SCT")),(AND(OR(J7="BKN",J7="OVC"),OR(W7="BKN",W7="OVC")))),1,0)</f>
        <v>0</v>
      </c>
      <c r="Y7" s="34">
        <f t="shared" ref="Y7:Y12" si="11">IF(ISNUMBER(VALUE(FIND("CAVOK",L7))),9999,IF(ISNUMBER(VALUE(FIND("NSC",L7))),9999,(MID(L7,(FIND(W7,L7)+4),2))*100))</f>
        <v>800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0</v>
      </c>
      <c r="F8" s="29">
        <v>0</v>
      </c>
      <c r="G8" s="29">
        <v>0</v>
      </c>
      <c r="H8" s="29">
        <v>3000</v>
      </c>
      <c r="I8" s="29" t="s">
        <v>52</v>
      </c>
      <c r="J8" s="29" t="s">
        <v>51</v>
      </c>
      <c r="K8" s="29">
        <v>800</v>
      </c>
      <c r="L8" t="s">
        <v>701</v>
      </c>
      <c r="M8" s="32">
        <f t="shared" si="0"/>
        <v>300</v>
      </c>
      <c r="N8" s="33">
        <f t="shared" si="1"/>
        <v>1</v>
      </c>
      <c r="O8" s="33">
        <f t="shared" si="2"/>
        <v>2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3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0</v>
      </c>
      <c r="U8" s="34">
        <f t="shared" si="7"/>
        <v>0</v>
      </c>
      <c r="V8" s="34">
        <f t="shared" si="8"/>
        <v>0</v>
      </c>
      <c r="W8" s="34" t="str">
        <f t="shared" si="9"/>
        <v>BKN</v>
      </c>
      <c r="X8" s="34">
        <f t="shared" si="10"/>
        <v>0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0</v>
      </c>
      <c r="F9" s="29">
        <v>0</v>
      </c>
      <c r="G9" s="29">
        <v>0</v>
      </c>
      <c r="H9" s="29">
        <v>3000</v>
      </c>
      <c r="I9" s="29" t="s">
        <v>52</v>
      </c>
      <c r="J9" s="29" t="s">
        <v>51</v>
      </c>
      <c r="K9" s="29">
        <v>800</v>
      </c>
      <c r="L9" t="s">
        <v>702</v>
      </c>
      <c r="M9" s="32">
        <f t="shared" si="0"/>
        <v>0</v>
      </c>
      <c r="N9" s="33">
        <f t="shared" si="1"/>
        <v>1</v>
      </c>
      <c r="O9" s="33">
        <f t="shared" si="2"/>
        <v>0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0</v>
      </c>
      <c r="U9" s="34">
        <f t="shared" si="7"/>
        <v>0</v>
      </c>
      <c r="V9" s="34">
        <f t="shared" si="8"/>
        <v>0</v>
      </c>
      <c r="W9" s="34" t="str">
        <f t="shared" si="9"/>
        <v>BKN</v>
      </c>
      <c r="X9" s="34">
        <f t="shared" si="10"/>
        <v>0</v>
      </c>
      <c r="Y9" s="34">
        <f t="shared" si="11"/>
        <v>800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0</v>
      </c>
      <c r="F10" s="29">
        <v>0</v>
      </c>
      <c r="G10" s="29">
        <v>0</v>
      </c>
      <c r="H10" s="29">
        <v>3000</v>
      </c>
      <c r="I10" s="29" t="s">
        <v>52</v>
      </c>
      <c r="J10" s="29" t="s">
        <v>51</v>
      </c>
      <c r="K10" s="29">
        <v>800</v>
      </c>
      <c r="L10" t="s">
        <v>703</v>
      </c>
      <c r="M10" s="32">
        <f t="shared" si="0"/>
        <v>0</v>
      </c>
      <c r="N10" s="33">
        <f t="shared" si="1"/>
        <v>1</v>
      </c>
      <c r="O10" s="33">
        <f t="shared" si="2"/>
        <v>0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0</v>
      </c>
      <c r="U10" s="34">
        <f t="shared" si="7"/>
        <v>0</v>
      </c>
      <c r="V10" s="34">
        <f t="shared" si="8"/>
        <v>0</v>
      </c>
      <c r="W10" s="34" t="str">
        <f t="shared" si="9"/>
        <v>BKN</v>
      </c>
      <c r="X10" s="34">
        <f t="shared" si="10"/>
        <v>0</v>
      </c>
      <c r="Y10" s="34">
        <f t="shared" si="11"/>
        <v>800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0</v>
      </c>
      <c r="F11" s="29">
        <v>0</v>
      </c>
      <c r="G11" s="29">
        <v>0</v>
      </c>
      <c r="H11" s="29">
        <v>3000</v>
      </c>
      <c r="I11" s="29" t="s">
        <v>52</v>
      </c>
      <c r="J11" s="29" t="s">
        <v>51</v>
      </c>
      <c r="K11" s="29">
        <v>800</v>
      </c>
      <c r="L11" t="s">
        <v>704</v>
      </c>
      <c r="M11" s="32">
        <f t="shared" si="0"/>
        <v>0</v>
      </c>
      <c r="N11" s="33">
        <f t="shared" si="1"/>
        <v>1</v>
      </c>
      <c r="O11" s="33">
        <f t="shared" si="2"/>
        <v>0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0</v>
      </c>
      <c r="U11" s="34">
        <f t="shared" si="7"/>
        <v>0</v>
      </c>
      <c r="V11" s="34">
        <f t="shared" si="8"/>
        <v>0</v>
      </c>
      <c r="W11" s="34" t="str">
        <f t="shared" si="9"/>
        <v>BKN</v>
      </c>
      <c r="X11" s="34">
        <f t="shared" si="10"/>
        <v>0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0</v>
      </c>
      <c r="F12" s="29">
        <v>0</v>
      </c>
      <c r="G12" s="29">
        <v>0</v>
      </c>
      <c r="H12" s="29">
        <v>3000</v>
      </c>
      <c r="I12" s="29" t="s">
        <v>52</v>
      </c>
      <c r="J12" s="29" t="s">
        <v>51</v>
      </c>
      <c r="K12" s="29">
        <v>800</v>
      </c>
      <c r="L12" t="s">
        <v>705</v>
      </c>
      <c r="M12" s="32">
        <f t="shared" si="0"/>
        <v>70</v>
      </c>
      <c r="N12" s="33">
        <f t="shared" si="1"/>
        <v>1</v>
      </c>
      <c r="O12" s="33">
        <f t="shared" si="2"/>
        <v>3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0</v>
      </c>
      <c r="U12" s="34">
        <f t="shared" si="7"/>
        <v>0</v>
      </c>
      <c r="V12" s="34">
        <f t="shared" si="8"/>
        <v>0</v>
      </c>
      <c r="W12" s="34" t="str">
        <f t="shared" si="9"/>
        <v>BKN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34</v>
      </c>
      <c r="D13" s="29"/>
      <c r="E13" s="29">
        <v>0</v>
      </c>
      <c r="F13" s="29">
        <v>0</v>
      </c>
      <c r="G13" s="29">
        <v>0</v>
      </c>
      <c r="H13" s="29">
        <v>7000</v>
      </c>
      <c r="I13" s="29">
        <v>0</v>
      </c>
      <c r="J13" s="29" t="s">
        <v>58</v>
      </c>
      <c r="K13" s="29">
        <v>900</v>
      </c>
      <c r="L13" s="29" t="s">
        <v>710</v>
      </c>
      <c r="M13" s="32">
        <f t="shared" ref="M13" si="14">IF(ISNUMBER(VALUE(FIND("VRB",L13))),999,VALUE(MID(L13,20,3)))</f>
        <v>7</v>
      </c>
      <c r="N13" s="33">
        <f t="shared" ref="N13" si="15">IF(OR(ABS(E13-M13)&lt;61,AND(ABS(E13-M13)&gt;60,O13&lt;10),E13=M13,AND(E13=999,ISNUMBER(VALUE(FIND("TS",L13)))),AND(E13=999,ISNUMBER(VALUE(FIND("CB",L13)))),AND(E13=999,O13&lt;10),AND(F13&lt;10,M13=999,O13&lt;10)),1,0)</f>
        <v>1</v>
      </c>
      <c r="O13" s="33">
        <f t="shared" ref="O13" si="16">VALUE(MID(L13,23,2))</f>
        <v>0</v>
      </c>
      <c r="P13" s="33">
        <f t="shared" ref="P13" si="17">IF(ABS(O13-F13)&lt;11,1,0)</f>
        <v>1</v>
      </c>
      <c r="Q13" s="34">
        <f t="shared" ref="Q13" si="18">IF(MID(L13,25,1)="G","GUST",0)</f>
        <v>0</v>
      </c>
      <c r="R13" s="33">
        <f t="shared" ref="R13" si="19">IF(G13=Q13,1,0)</f>
        <v>1</v>
      </c>
      <c r="S13" s="34">
        <f t="shared" si="13"/>
        <v>8000</v>
      </c>
      <c r="T13" s="34">
        <f t="shared" si="6"/>
        <v>1</v>
      </c>
      <c r="U13" s="34">
        <f>IF(AND(IFERROR(FIND("RA",#REF!),0)&gt;0, IFERROR(FIND("RA",#REF!),0)&lt;38),"RA",0)</f>
        <v>0</v>
      </c>
      <c r="V13" s="34">
        <f t="shared" si="8"/>
        <v>1</v>
      </c>
      <c r="W13" s="34" t="str">
        <f t="shared" ref="W13" si="20"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BKN</v>
      </c>
      <c r="X13" s="34">
        <f t="shared" ref="X13" si="21">IF(OR(AND(OR(J13="SKC",J13="FEW",J13="SCT"),OR(W13="SKC",W13="FEW",W13="SCT")),(AND(OR(J13="BKN",J13="OVC"),OR(W13="BKN",W13="OVC")))),1,0)</f>
        <v>1</v>
      </c>
      <c r="Y13" s="34">
        <f t="shared" ref="Y13" si="22">IF(ISNUMBER(VALUE(FIND("CAVOK",L13))),9999,IF(ISNUMBER(VALUE(FIND("NSC",L13))),9999,(MID(L13,(FIND(W13,L13)+4),2))*100))</f>
        <v>900</v>
      </c>
      <c r="Z13" s="34">
        <f t="shared" ref="Z13" si="23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34</v>
      </c>
      <c r="D14" s="29"/>
      <c r="E14" s="29">
        <v>0</v>
      </c>
      <c r="F14" s="29">
        <v>0</v>
      </c>
      <c r="G14" s="29">
        <v>0</v>
      </c>
      <c r="H14" s="29">
        <v>7000</v>
      </c>
      <c r="I14" s="29">
        <v>0</v>
      </c>
      <c r="J14" s="29" t="s">
        <v>58</v>
      </c>
      <c r="K14" s="29">
        <v>900</v>
      </c>
      <c r="L14" t="s">
        <v>715</v>
      </c>
      <c r="M14" s="32">
        <f t="shared" ref="M14:M18" si="24">IF(ISNUMBER(VALUE(FIND("VRB",L14))),999,VALUE(MID(L14,20,3)))</f>
        <v>70</v>
      </c>
      <c r="N14" s="33">
        <f t="shared" ref="N14:N18" si="25">IF(OR(ABS(E14-M14)&lt;61,AND(ABS(E14-M14)&gt;60,O14&lt;10),E14=M14,AND(E14=999,ISNUMBER(VALUE(FIND("TS",L14)))),AND(E14=999,ISNUMBER(VALUE(FIND("CB",L14)))),AND(E14=999,O14&lt;10),AND(F14&lt;10,M14=999,O14&lt;10)),1,0)</f>
        <v>1</v>
      </c>
      <c r="O14" s="33">
        <f t="shared" ref="O14:O18" si="26">VALUE(MID(L14,23,2))</f>
        <v>2</v>
      </c>
      <c r="P14" s="33">
        <f t="shared" ref="P14:P18" si="27">IF(ABS(O14-F14)&lt;11,1,0)</f>
        <v>1</v>
      </c>
      <c r="Q14" s="34">
        <f t="shared" ref="Q14:Q18" si="28">IF(MID(L14,25,1)="G","GUST",0)</f>
        <v>0</v>
      </c>
      <c r="R14" s="33">
        <f t="shared" ref="R14:R18" si="29">IF(G14=Q14,1,0)</f>
        <v>1</v>
      </c>
      <c r="S14" s="34">
        <f t="shared" ref="S14:S18" si="30">IF(ISNUMBER(VALUE(MID(L14,(FIND("KT",L14,FIND("Z",L14))+3),4))),VALUE(MID(L14,(FIND("KT",L14,FIND("Z",L14))+3),4)),IF(ISNUMBER(VALUE(MID(L14,(FIND("0V",L14)+6),4))),VALUE(MID(L14,(FIND("0V",L14)+6),4)),9999))</f>
        <v>8000</v>
      </c>
      <c r="T14" s="34">
        <f t="shared" ref="T14:T18" si="31">IF(OR(AND(H14&lt;801,S14&lt;801),AND(H14&gt;799,H14&lt;1501,S14&gt;799,S14&lt;1502),AND(H14&gt;1499,H14&lt;3001,S14&gt;1499,S14&lt;3001),AND(H14&gt;2999,H14&lt;5001,S14&gt;2999,S14&lt;5001),AND(H14&gt;4999,S14&gt;4999)),1,0)</f>
        <v>1</v>
      </c>
      <c r="U14" s="34">
        <f>IF(AND(IFERROR(FIND("RA",#REF!),0)&gt;0, IFERROR(FIND("RA",#REF!),0)&lt;38),"RA",0)</f>
        <v>0</v>
      </c>
      <c r="V14" s="34">
        <f t="shared" ref="V14:V18" si="32">IF(U14=I14,1,0)</f>
        <v>1</v>
      </c>
      <c r="W14" s="34" t="str">
        <f t="shared" ref="W14:W18" si="33">IF(ISNUMBER(VALUE(FIND("FEW",L14))),"FEW",IF(ISNUMBER(VALUE(FIND("SCT",L14))),"SCT",IF(ISNUMBER(VALUE(FIND("BKN",L14))),"BKN",IF(ISNUMBER(VALUE(FIND("OVC",L14))),"OVC",IF(ISNUMBER(VALUE(FIND("SKC",L14))),"SKC",IF(ISNUMBER(VALUE(FIND("CAVOK",L14))),"SKC",IF(ISNUMBER(VALUE(FIND("NSC",L14))),"SKC","EROR")))))))</f>
        <v>BKN</v>
      </c>
      <c r="X14" s="34">
        <f t="shared" ref="X14:X18" si="34">IF(OR(AND(OR(J14="SKC",J14="FEW",J14="SCT"),OR(W14="SKC",W14="FEW",W14="SCT")),(AND(OR(J14="BKN",J14="OVC"),OR(W14="BKN",W14="OVC")))),1,0)</f>
        <v>1</v>
      </c>
      <c r="Y14" s="34">
        <f t="shared" ref="Y14:Y18" si="35">IF(ISNUMBER(VALUE(FIND("CAVOK",L14))),9999,IF(ISNUMBER(VALUE(FIND("NSC",L14))),9999,(MID(L14,(FIND(W14,L14)+4),2))*100))</f>
        <v>800</v>
      </c>
      <c r="Z14" s="34">
        <f t="shared" ref="Z14:Z18" si="36">IF(AND(Y14&lt;1001,ABS(K14-Y14)&lt;101),1,IF(AND(Y14&gt;1000,ABS(Y14-K14)/K14&lt;0.30005),1,0))</f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34</v>
      </c>
      <c r="D15" s="29"/>
      <c r="E15" s="29">
        <v>0</v>
      </c>
      <c r="F15" s="29">
        <v>0</v>
      </c>
      <c r="G15" s="29">
        <v>0</v>
      </c>
      <c r="H15" s="29">
        <v>7000</v>
      </c>
      <c r="I15" s="29">
        <v>0</v>
      </c>
      <c r="J15" s="29" t="s">
        <v>58</v>
      </c>
      <c r="K15" s="29">
        <v>900</v>
      </c>
      <c r="L15" t="s">
        <v>714</v>
      </c>
      <c r="M15" s="32">
        <f t="shared" si="24"/>
        <v>0</v>
      </c>
      <c r="N15" s="33">
        <f t="shared" si="25"/>
        <v>1</v>
      </c>
      <c r="O15" s="33">
        <f t="shared" si="26"/>
        <v>0</v>
      </c>
      <c r="P15" s="33">
        <f t="shared" si="27"/>
        <v>1</v>
      </c>
      <c r="Q15" s="34">
        <f t="shared" si="28"/>
        <v>0</v>
      </c>
      <c r="R15" s="33">
        <f t="shared" si="29"/>
        <v>1</v>
      </c>
      <c r="S15" s="34">
        <f t="shared" si="30"/>
        <v>8000</v>
      </c>
      <c r="T15" s="34">
        <f t="shared" si="31"/>
        <v>1</v>
      </c>
      <c r="U15" s="34">
        <f>IF(AND(IFERROR(FIND("RA",#REF!),0)&gt;0, IFERROR(FIND("RA",#REF!),0)&lt;38),"RA",0)</f>
        <v>0</v>
      </c>
      <c r="V15" s="34">
        <f t="shared" si="32"/>
        <v>1</v>
      </c>
      <c r="W15" s="34" t="str">
        <f t="shared" si="33"/>
        <v>BKN</v>
      </c>
      <c r="X15" s="34">
        <f t="shared" si="34"/>
        <v>1</v>
      </c>
      <c r="Y15" s="34">
        <f t="shared" si="35"/>
        <v>900</v>
      </c>
      <c r="Z15" s="34">
        <f t="shared" si="36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34</v>
      </c>
      <c r="D16" s="29"/>
      <c r="E16" s="29">
        <v>0</v>
      </c>
      <c r="F16" s="29">
        <v>0</v>
      </c>
      <c r="G16" s="29">
        <v>0</v>
      </c>
      <c r="H16" s="29">
        <v>7000</v>
      </c>
      <c r="I16" s="29">
        <v>0</v>
      </c>
      <c r="J16" s="29" t="s">
        <v>58</v>
      </c>
      <c r="K16" s="29">
        <v>900</v>
      </c>
      <c r="L16" t="s">
        <v>713</v>
      </c>
      <c r="M16" s="32">
        <f t="shared" si="24"/>
        <v>0</v>
      </c>
      <c r="N16" s="33">
        <f t="shared" si="25"/>
        <v>1</v>
      </c>
      <c r="O16" s="33">
        <f t="shared" si="26"/>
        <v>0</v>
      </c>
      <c r="P16" s="33">
        <f t="shared" si="27"/>
        <v>1</v>
      </c>
      <c r="Q16" s="34">
        <f t="shared" si="28"/>
        <v>0</v>
      </c>
      <c r="R16" s="33">
        <f t="shared" si="29"/>
        <v>1</v>
      </c>
      <c r="S16" s="34">
        <f t="shared" si="30"/>
        <v>8000</v>
      </c>
      <c r="T16" s="34">
        <f t="shared" si="31"/>
        <v>1</v>
      </c>
      <c r="U16" s="34">
        <f>IF(AND(IFERROR(FIND("RA",#REF!),0)&gt;0, IFERROR(FIND("RA",#REF!),0)&lt;38),"RA",0)</f>
        <v>0</v>
      </c>
      <c r="V16" s="34">
        <f t="shared" si="32"/>
        <v>1</v>
      </c>
      <c r="W16" s="34" t="str">
        <f t="shared" si="33"/>
        <v>BKN</v>
      </c>
      <c r="X16" s="34">
        <f t="shared" si="34"/>
        <v>1</v>
      </c>
      <c r="Y16" s="34">
        <f t="shared" si="35"/>
        <v>900</v>
      </c>
      <c r="Z16" s="34">
        <f t="shared" si="36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34</v>
      </c>
      <c r="D17" s="29"/>
      <c r="E17" s="29">
        <v>0</v>
      </c>
      <c r="F17" s="29">
        <v>0</v>
      </c>
      <c r="G17" s="29">
        <v>0</v>
      </c>
      <c r="H17" s="29">
        <v>7000</v>
      </c>
      <c r="I17" s="29">
        <v>0</v>
      </c>
      <c r="J17" s="29" t="s">
        <v>58</v>
      </c>
      <c r="K17" s="29">
        <v>900</v>
      </c>
      <c r="L17" t="s">
        <v>712</v>
      </c>
      <c r="M17" s="32">
        <f t="shared" si="24"/>
        <v>0</v>
      </c>
      <c r="N17" s="33">
        <f t="shared" si="25"/>
        <v>1</v>
      </c>
      <c r="O17" s="33">
        <f t="shared" si="26"/>
        <v>0</v>
      </c>
      <c r="P17" s="33">
        <f t="shared" si="27"/>
        <v>1</v>
      </c>
      <c r="Q17" s="34">
        <f t="shared" si="28"/>
        <v>0</v>
      </c>
      <c r="R17" s="33">
        <f t="shared" si="29"/>
        <v>1</v>
      </c>
      <c r="S17" s="34">
        <f t="shared" si="30"/>
        <v>8000</v>
      </c>
      <c r="T17" s="34">
        <f t="shared" si="31"/>
        <v>1</v>
      </c>
      <c r="U17" s="34">
        <f>IF(AND(IFERROR(FIND("RA",#REF!),0)&gt;0, IFERROR(FIND("RA",#REF!),0)&lt;38),"RA",0)</f>
        <v>0</v>
      </c>
      <c r="V17" s="34">
        <f t="shared" si="32"/>
        <v>1</v>
      </c>
      <c r="W17" s="34" t="str">
        <f t="shared" si="33"/>
        <v>FEW</v>
      </c>
      <c r="X17" s="34">
        <f t="shared" si="34"/>
        <v>0</v>
      </c>
      <c r="Y17" s="34">
        <f t="shared" si="35"/>
        <v>800</v>
      </c>
      <c r="Z17" s="34">
        <f t="shared" si="36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34</v>
      </c>
      <c r="D18" s="29"/>
      <c r="E18" s="29">
        <v>0</v>
      </c>
      <c r="F18" s="29">
        <v>0</v>
      </c>
      <c r="G18" s="29">
        <v>0</v>
      </c>
      <c r="H18" s="29">
        <v>7000</v>
      </c>
      <c r="I18" s="29">
        <v>0</v>
      </c>
      <c r="J18" s="29" t="s">
        <v>58</v>
      </c>
      <c r="K18" s="29">
        <v>900</v>
      </c>
      <c r="L18" t="s">
        <v>711</v>
      </c>
      <c r="M18" s="32">
        <f t="shared" si="24"/>
        <v>0</v>
      </c>
      <c r="N18" s="33">
        <f t="shared" si="25"/>
        <v>1</v>
      </c>
      <c r="O18" s="33">
        <f t="shared" si="26"/>
        <v>0</v>
      </c>
      <c r="P18" s="33">
        <f t="shared" si="27"/>
        <v>1</v>
      </c>
      <c r="Q18" s="34">
        <f t="shared" si="28"/>
        <v>0</v>
      </c>
      <c r="R18" s="33">
        <f t="shared" si="29"/>
        <v>1</v>
      </c>
      <c r="S18" s="34">
        <f t="shared" si="30"/>
        <v>7000</v>
      </c>
      <c r="T18" s="34">
        <f t="shared" si="31"/>
        <v>1</v>
      </c>
      <c r="U18" s="34">
        <f>IF(AND(IFERROR(FIND("RA",#REF!),0)&gt;0, IFERROR(FIND("RA",#REF!),0)&lt;38),"RA",0)</f>
        <v>0</v>
      </c>
      <c r="V18" s="34">
        <f t="shared" si="32"/>
        <v>1</v>
      </c>
      <c r="W18" s="34" t="str">
        <f t="shared" si="33"/>
        <v>BKN</v>
      </c>
      <c r="X18" s="34">
        <f t="shared" si="34"/>
        <v>1</v>
      </c>
      <c r="Y18" s="34">
        <f t="shared" si="35"/>
        <v>900</v>
      </c>
      <c r="Z18" s="34">
        <f t="shared" si="36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7</v>
      </c>
      <c r="U23" s="25"/>
      <c r="V23" s="25">
        <f>SUM(V7:V18)</f>
        <v>6</v>
      </c>
      <c r="W23" s="25"/>
      <c r="X23" s="25">
        <f>SUM(X7:X18)</f>
        <v>5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6</v>
      </c>
      <c r="O24" s="25"/>
      <c r="P24" s="25">
        <f>SUMIF($C7:$C18,"GENERAL",P7:P18)</f>
        <v>6</v>
      </c>
      <c r="Q24" s="25"/>
      <c r="R24" s="25">
        <f>SUMIF($C7:$C18,"GENERAL",R7:R18)</f>
        <v>6</v>
      </c>
      <c r="S24" s="25"/>
      <c r="T24" s="25">
        <f>SUMIF($C7:$C18,"GENERAL",T7:T18)</f>
        <v>1</v>
      </c>
      <c r="U24" s="25"/>
      <c r="V24" s="25">
        <f>SUMIF($C7:$C18,"GENERAL",V7:V18)</f>
        <v>0</v>
      </c>
      <c r="W24" s="25"/>
      <c r="X24" s="25">
        <f>SUMIF($C7:$C18,"GENERAL",X7:X18)</f>
        <v>0</v>
      </c>
      <c r="Y24" s="25"/>
      <c r="Z24" s="25">
        <f>SUMIF($C7:$C18,"GENERAL",Z7:Z18)</f>
        <v>6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6</v>
      </c>
      <c r="O25" s="25"/>
      <c r="P25" s="25">
        <f>SUMIF($C7:$C18,"BECMG",P7:P18)</f>
        <v>6</v>
      </c>
      <c r="Q25" s="25"/>
      <c r="R25" s="25">
        <f>SUMIF($C7:$C18,"BECMG",R7:R18)</f>
        <v>6</v>
      </c>
      <c r="S25" s="25"/>
      <c r="T25" s="25">
        <f>SUMIF($C7:$C18,"BECMG",T7:T18)</f>
        <v>6</v>
      </c>
      <c r="U25" s="25"/>
      <c r="V25" s="25">
        <f>SUMIF($C7:$C18,"BECMG",V7:V18)</f>
        <v>6</v>
      </c>
      <c r="W25" s="25"/>
      <c r="X25" s="25">
        <f>SUMIF($C7:$C18,"BECMG",X7:X18)</f>
        <v>5</v>
      </c>
      <c r="Y25" s="25"/>
      <c r="Z25" s="25">
        <f>SUMIF($C7:$C18,"BECMG",Z7:Z18)</f>
        <v>6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58.333333333333336</v>
      </c>
      <c r="U28" s="38"/>
      <c r="V28" s="38">
        <f>(SUM(V24:V27)/COUNTA(V7:V18))*100</f>
        <v>50</v>
      </c>
      <c r="W28" s="38"/>
      <c r="X28" s="38">
        <f>(SUM(X24:X27)/COUNTA(X7:X18))*100</f>
        <v>41.666666666666671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708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25</v>
      </c>
      <c r="B36" s="28">
        <v>0.25</v>
      </c>
      <c r="C36" s="29" t="s">
        <v>39</v>
      </c>
      <c r="D36" s="30"/>
      <c r="E36" s="29">
        <v>0</v>
      </c>
      <c r="F36" s="29">
        <v>0</v>
      </c>
      <c r="G36" s="29">
        <v>0</v>
      </c>
      <c r="H36" s="29">
        <v>8000</v>
      </c>
      <c r="I36" s="29">
        <v>0</v>
      </c>
      <c r="J36" s="29" t="s">
        <v>53</v>
      </c>
      <c r="K36" s="29">
        <v>900</v>
      </c>
      <c r="L36" s="29" t="s">
        <v>710</v>
      </c>
      <c r="M36" s="32">
        <f t="shared" ref="M36:M41" si="37">IF(ISNUMBER(VALUE(FIND("VRB",L36))),999,VALUE(MID(L36,20,3)))</f>
        <v>7</v>
      </c>
      <c r="N36" s="33">
        <f t="shared" ref="N36:N41" si="3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39">VALUE(MID(L36,23,2))</f>
        <v>0</v>
      </c>
      <c r="P36" s="33">
        <f t="shared" ref="P36:P41" si="40">IF(ABS(O36-F36)&lt;11,1,0)</f>
        <v>1</v>
      </c>
      <c r="Q36" s="34">
        <f t="shared" ref="Q36:Q41" si="41">IF(MID(L36,25,1)="G","GUST",0)</f>
        <v>0</v>
      </c>
      <c r="R36" s="33">
        <f t="shared" ref="R36:R41" si="42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43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44">IF(AND(IFERROR(FIND("RA",L36),0)&gt;0, IFERROR(FIND("RA",L36),0)&lt;38),"RA",0)</f>
        <v>0</v>
      </c>
      <c r="V36" s="34">
        <f t="shared" ref="V36:V41" si="45">IF(U36=I36,1,0)</f>
        <v>1</v>
      </c>
      <c r="W36" s="34" t="str">
        <f t="shared" ref="W36:W41" si="46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1" si="47">IF(OR(AND(OR(J36="SKC",J36="FEW",J36="SCT"),OR(W36="SKC",W36="FEW",W36="SCT")),(AND(OR(J36="BKN",J36="OVC"),OR(W36="BKN",W36="OVC")))),1,0)</f>
        <v>0</v>
      </c>
      <c r="Y36" s="34">
        <f t="shared" ref="Y36:Y41" si="48">IF(ISNUMBER(VALUE(FIND("CAVOK",L36))),9999,IF(ISNUMBER(VALUE(FIND("NSC",L36))),9999,(MID(L36,(FIND(W36,L36)+4),2))*100))</f>
        <v>900</v>
      </c>
      <c r="Z36" s="34">
        <f t="shared" ref="Z36:Z41" si="49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0</v>
      </c>
      <c r="F37" s="29">
        <v>0</v>
      </c>
      <c r="G37" s="29">
        <v>0</v>
      </c>
      <c r="H37" s="29">
        <v>8000</v>
      </c>
      <c r="I37" s="29">
        <v>0</v>
      </c>
      <c r="J37" s="29" t="s">
        <v>53</v>
      </c>
      <c r="K37" s="29">
        <v>900</v>
      </c>
      <c r="L37" t="s">
        <v>715</v>
      </c>
      <c r="M37" s="32">
        <f t="shared" si="37"/>
        <v>70</v>
      </c>
      <c r="N37" s="33">
        <f t="shared" si="38"/>
        <v>1</v>
      </c>
      <c r="O37" s="33">
        <f t="shared" si="39"/>
        <v>2</v>
      </c>
      <c r="P37" s="33">
        <f t="shared" si="40"/>
        <v>1</v>
      </c>
      <c r="Q37" s="34">
        <f t="shared" si="41"/>
        <v>0</v>
      </c>
      <c r="R37" s="33">
        <f t="shared" si="42"/>
        <v>1</v>
      </c>
      <c r="S37" s="34">
        <f t="shared" ref="S37:S41" si="50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43"/>
        <v>1</v>
      </c>
      <c r="U37" s="34">
        <f t="shared" si="44"/>
        <v>0</v>
      </c>
      <c r="V37" s="34">
        <f t="shared" si="45"/>
        <v>1</v>
      </c>
      <c r="W37" s="34" t="str">
        <f t="shared" si="46"/>
        <v>BKN</v>
      </c>
      <c r="X37" s="34">
        <f t="shared" si="47"/>
        <v>0</v>
      </c>
      <c r="Y37" s="34">
        <f t="shared" si="48"/>
        <v>800</v>
      </c>
      <c r="Z37" s="34">
        <f t="shared" si="49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0</v>
      </c>
      <c r="F38" s="29">
        <v>0</v>
      </c>
      <c r="G38" s="29">
        <v>0</v>
      </c>
      <c r="H38" s="29">
        <v>8000</v>
      </c>
      <c r="I38" s="29">
        <v>0</v>
      </c>
      <c r="J38" s="29" t="s">
        <v>53</v>
      </c>
      <c r="K38" s="29">
        <v>900</v>
      </c>
      <c r="L38" t="s">
        <v>714</v>
      </c>
      <c r="M38" s="32">
        <f t="shared" si="37"/>
        <v>0</v>
      </c>
      <c r="N38" s="33">
        <f t="shared" si="38"/>
        <v>1</v>
      </c>
      <c r="O38" s="33">
        <f t="shared" si="39"/>
        <v>0</v>
      </c>
      <c r="P38" s="33">
        <f t="shared" si="40"/>
        <v>1</v>
      </c>
      <c r="Q38" s="34">
        <f t="shared" si="41"/>
        <v>0</v>
      </c>
      <c r="R38" s="33">
        <f t="shared" si="42"/>
        <v>1</v>
      </c>
      <c r="S38" s="34">
        <f t="shared" si="50"/>
        <v>8000</v>
      </c>
      <c r="T38" s="34">
        <f t="shared" si="43"/>
        <v>1</v>
      </c>
      <c r="U38" s="34">
        <f t="shared" si="44"/>
        <v>0</v>
      </c>
      <c r="V38" s="34">
        <f t="shared" si="45"/>
        <v>1</v>
      </c>
      <c r="W38" s="34" t="str">
        <f t="shared" si="46"/>
        <v>BKN</v>
      </c>
      <c r="X38" s="34">
        <f t="shared" si="47"/>
        <v>0</v>
      </c>
      <c r="Y38" s="34">
        <f t="shared" si="48"/>
        <v>900</v>
      </c>
      <c r="Z38" s="34">
        <f t="shared" si="49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0</v>
      </c>
      <c r="F39" s="29">
        <v>0</v>
      </c>
      <c r="G39" s="29">
        <v>0</v>
      </c>
      <c r="H39" s="29">
        <v>8000</v>
      </c>
      <c r="I39" s="29">
        <v>0</v>
      </c>
      <c r="J39" s="29" t="s">
        <v>53</v>
      </c>
      <c r="K39" s="29">
        <v>900</v>
      </c>
      <c r="L39" t="s">
        <v>713</v>
      </c>
      <c r="M39" s="32">
        <f t="shared" si="37"/>
        <v>0</v>
      </c>
      <c r="N39" s="33">
        <f t="shared" si="38"/>
        <v>1</v>
      </c>
      <c r="O39" s="33">
        <f t="shared" si="39"/>
        <v>0</v>
      </c>
      <c r="P39" s="33">
        <f t="shared" si="40"/>
        <v>1</v>
      </c>
      <c r="Q39" s="34">
        <f t="shared" si="41"/>
        <v>0</v>
      </c>
      <c r="R39" s="33">
        <f t="shared" si="42"/>
        <v>1</v>
      </c>
      <c r="S39" s="34">
        <f t="shared" si="50"/>
        <v>8000</v>
      </c>
      <c r="T39" s="34">
        <f t="shared" si="43"/>
        <v>1</v>
      </c>
      <c r="U39" s="34">
        <f t="shared" si="44"/>
        <v>0</v>
      </c>
      <c r="V39" s="34">
        <f t="shared" si="45"/>
        <v>1</v>
      </c>
      <c r="W39" s="34" t="str">
        <f t="shared" si="46"/>
        <v>BKN</v>
      </c>
      <c r="X39" s="34">
        <f t="shared" si="47"/>
        <v>0</v>
      </c>
      <c r="Y39" s="34">
        <f t="shared" si="48"/>
        <v>900</v>
      </c>
      <c r="Z39" s="34">
        <f t="shared" si="49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40</v>
      </c>
      <c r="D40" s="30"/>
      <c r="E40" s="29">
        <v>0</v>
      </c>
      <c r="F40" s="29">
        <v>0</v>
      </c>
      <c r="G40" s="29">
        <v>0</v>
      </c>
      <c r="H40" s="29">
        <v>3000</v>
      </c>
      <c r="I40" s="29" t="s">
        <v>52</v>
      </c>
      <c r="J40" s="29" t="s">
        <v>51</v>
      </c>
      <c r="K40" s="29">
        <v>800</v>
      </c>
      <c r="L40" t="s">
        <v>712</v>
      </c>
      <c r="M40" s="32">
        <f t="shared" si="37"/>
        <v>0</v>
      </c>
      <c r="N40" s="33">
        <f t="shared" si="38"/>
        <v>1</v>
      </c>
      <c r="O40" s="33">
        <f t="shared" si="39"/>
        <v>0</v>
      </c>
      <c r="P40" s="33">
        <f t="shared" si="40"/>
        <v>1</v>
      </c>
      <c r="Q40" s="34">
        <f t="shared" si="41"/>
        <v>0</v>
      </c>
      <c r="R40" s="33">
        <f t="shared" si="42"/>
        <v>1</v>
      </c>
      <c r="S40" s="34">
        <f t="shared" si="50"/>
        <v>8000</v>
      </c>
      <c r="T40" s="34">
        <f t="shared" si="43"/>
        <v>0</v>
      </c>
      <c r="U40" s="34">
        <f t="shared" si="44"/>
        <v>0</v>
      </c>
      <c r="V40" s="34">
        <f t="shared" si="45"/>
        <v>0</v>
      </c>
      <c r="W40" s="34" t="str">
        <f t="shared" si="46"/>
        <v>FEW</v>
      </c>
      <c r="X40" s="34">
        <f t="shared" si="47"/>
        <v>1</v>
      </c>
      <c r="Y40" s="34">
        <f t="shared" si="48"/>
        <v>800</v>
      </c>
      <c r="Z40" s="34">
        <f t="shared" si="49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40</v>
      </c>
      <c r="D41" s="30"/>
      <c r="E41" s="29">
        <v>0</v>
      </c>
      <c r="F41" s="29">
        <v>0</v>
      </c>
      <c r="G41" s="29">
        <v>0</v>
      </c>
      <c r="H41" s="29">
        <v>3000</v>
      </c>
      <c r="I41" s="29" t="s">
        <v>52</v>
      </c>
      <c r="J41" s="29" t="s">
        <v>51</v>
      </c>
      <c r="K41" s="29">
        <v>800</v>
      </c>
      <c r="L41" t="s">
        <v>711</v>
      </c>
      <c r="M41" s="32">
        <f t="shared" si="37"/>
        <v>0</v>
      </c>
      <c r="N41" s="33">
        <f t="shared" si="38"/>
        <v>1</v>
      </c>
      <c r="O41" s="33">
        <f t="shared" si="39"/>
        <v>0</v>
      </c>
      <c r="P41" s="33">
        <f t="shared" si="40"/>
        <v>1</v>
      </c>
      <c r="Q41" s="34">
        <f t="shared" si="41"/>
        <v>0</v>
      </c>
      <c r="R41" s="33">
        <f t="shared" si="42"/>
        <v>1</v>
      </c>
      <c r="S41" s="34">
        <f t="shared" si="50"/>
        <v>7000</v>
      </c>
      <c r="T41" s="34">
        <f t="shared" si="43"/>
        <v>0</v>
      </c>
      <c r="U41" s="34">
        <f t="shared" si="44"/>
        <v>0</v>
      </c>
      <c r="V41" s="34">
        <f t="shared" si="45"/>
        <v>0</v>
      </c>
      <c r="W41" s="34" t="str">
        <f t="shared" si="46"/>
        <v>BKN</v>
      </c>
      <c r="X41" s="34">
        <f t="shared" si="47"/>
        <v>0</v>
      </c>
      <c r="Y41" s="34">
        <f t="shared" si="48"/>
        <v>900</v>
      </c>
      <c r="Z41" s="34">
        <f t="shared" si="49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40</v>
      </c>
      <c r="D42" s="30"/>
      <c r="E42" s="29">
        <v>0</v>
      </c>
      <c r="F42" s="29">
        <v>0</v>
      </c>
      <c r="G42" s="29">
        <v>0</v>
      </c>
      <c r="H42" s="29">
        <v>3000</v>
      </c>
      <c r="I42" s="29" t="s">
        <v>52</v>
      </c>
      <c r="J42" s="29" t="s">
        <v>51</v>
      </c>
      <c r="K42" s="29">
        <v>800</v>
      </c>
      <c r="L42" t="s">
        <v>721</v>
      </c>
      <c r="M42" s="32">
        <f t="shared" ref="M42:M47" si="51">IF(ISNUMBER(VALUE(FIND("VRB",L42))),999,VALUE(MID(L42,20,3)))</f>
        <v>0</v>
      </c>
      <c r="N42" s="33">
        <f t="shared" ref="N42:N47" si="52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53">VALUE(MID(L42,23,2))</f>
        <v>0</v>
      </c>
      <c r="P42" s="33">
        <f t="shared" ref="P42:P47" si="54">IF(ABS(O42-F42)&lt;11,1,0)</f>
        <v>1</v>
      </c>
      <c r="Q42" s="34">
        <f t="shared" ref="Q42:Q47" si="55">IF(MID(L42,25,1)="G","GUST",0)</f>
        <v>0</v>
      </c>
      <c r="R42" s="33">
        <f t="shared" ref="R42:R47" si="56">IF(G42=Q42,1,0)</f>
        <v>1</v>
      </c>
      <c r="S42" s="34">
        <f t="shared" ref="S42:S47" si="57">IF(ISNUMBER(VALUE(MID(L42,(FIND("KT",L42,FIND("Z",L42))+3),4))),VALUE(MID(L42,(FIND("KT",L42,FIND("Z",L42))+3),4)),IF(ISNUMBER(VALUE(MID(L42,(FIND("0V",L42)+6),4))),VALUE(MID(L42,(FIND("0V",L42)+6),4)),9999))</f>
        <v>8000</v>
      </c>
      <c r="T42" s="34">
        <f t="shared" ref="T42:T47" si="58">IF(OR(AND(H42&lt;801,S42&lt;801),AND(H42&gt;799,H42&lt;1501,S42&gt;799,S42&lt;1502),AND(H42&gt;1499,H42&lt;3001,S42&gt;1499,S42&lt;3001),AND(H42&gt;2999,H42&lt;5001,S42&gt;2999,S42&lt;5001),AND(H42&gt;4999,S42&gt;4999)),1,0)</f>
        <v>0</v>
      </c>
      <c r="U42" s="34">
        <f t="shared" ref="U42:U47" si="59">IF(AND(IFERROR(FIND("RA",L42),0)&gt;0, IFERROR(FIND("RA",L42),0)&lt;38),"RA",0)</f>
        <v>0</v>
      </c>
      <c r="V42" s="34">
        <f t="shared" ref="V42:V47" si="60">IF(U42=I42,1,0)</f>
        <v>0</v>
      </c>
      <c r="W42" s="34" t="str">
        <f t="shared" ref="W42:W47" si="61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SCT</v>
      </c>
      <c r="X42" s="34">
        <f t="shared" ref="X42:X47" si="62">IF(OR(AND(OR(J42="SKC",J42="FEW",J42="SCT"),OR(W42="SKC",W42="FEW",W42="SCT")),(AND(OR(J42="BKN",J42="OVC"),OR(W42="BKN",W42="OVC")))),1,0)</f>
        <v>1</v>
      </c>
      <c r="Y42" s="34">
        <f t="shared" ref="Y42:Y47" si="63">IF(ISNUMBER(VALUE(FIND("CAVOK",L42))),9999,IF(ISNUMBER(VALUE(FIND("NSC",L42))),9999,(MID(L42,(FIND(W42,L42)+4),2))*100))</f>
        <v>800</v>
      </c>
      <c r="Z42" s="34">
        <f t="shared" ref="Z42:Z47" si="64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0</v>
      </c>
      <c r="F43" s="29">
        <v>0</v>
      </c>
      <c r="G43" s="29">
        <v>0</v>
      </c>
      <c r="H43" s="29">
        <v>8000</v>
      </c>
      <c r="I43" s="29">
        <v>0</v>
      </c>
      <c r="J43" s="29" t="s">
        <v>53</v>
      </c>
      <c r="K43" s="29">
        <v>900</v>
      </c>
      <c r="L43" t="s">
        <v>720</v>
      </c>
      <c r="M43" s="32">
        <f t="shared" si="51"/>
        <v>0</v>
      </c>
      <c r="N43" s="33">
        <f t="shared" si="52"/>
        <v>1</v>
      </c>
      <c r="O43" s="33">
        <f t="shared" si="53"/>
        <v>0</v>
      </c>
      <c r="P43" s="33">
        <f t="shared" si="54"/>
        <v>1</v>
      </c>
      <c r="Q43" s="34">
        <f t="shared" si="55"/>
        <v>0</v>
      </c>
      <c r="R43" s="33">
        <f t="shared" si="56"/>
        <v>1</v>
      </c>
      <c r="S43" s="34">
        <f t="shared" si="57"/>
        <v>8000</v>
      </c>
      <c r="T43" s="34">
        <f t="shared" si="58"/>
        <v>1</v>
      </c>
      <c r="U43" s="34">
        <f t="shared" si="59"/>
        <v>0</v>
      </c>
      <c r="V43" s="34">
        <f t="shared" si="60"/>
        <v>1</v>
      </c>
      <c r="W43" s="34" t="str">
        <f t="shared" si="61"/>
        <v>BKN</v>
      </c>
      <c r="X43" s="34">
        <f t="shared" si="62"/>
        <v>0</v>
      </c>
      <c r="Y43" s="34">
        <f t="shared" si="63"/>
        <v>900</v>
      </c>
      <c r="Z43" s="34">
        <f t="shared" si="64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0</v>
      </c>
      <c r="F44" s="29">
        <v>0</v>
      </c>
      <c r="G44" s="29">
        <v>0</v>
      </c>
      <c r="H44" s="29">
        <v>8000</v>
      </c>
      <c r="I44" s="29">
        <v>0</v>
      </c>
      <c r="J44" s="29" t="s">
        <v>53</v>
      </c>
      <c r="K44" s="29">
        <v>900</v>
      </c>
      <c r="L44" t="s">
        <v>719</v>
      </c>
      <c r="M44" s="32">
        <f t="shared" si="51"/>
        <v>0</v>
      </c>
      <c r="N44" s="33">
        <f t="shared" si="52"/>
        <v>1</v>
      </c>
      <c r="O44" s="33">
        <f t="shared" si="53"/>
        <v>0</v>
      </c>
      <c r="P44" s="33">
        <f t="shared" si="54"/>
        <v>1</v>
      </c>
      <c r="Q44" s="34">
        <f t="shared" si="55"/>
        <v>0</v>
      </c>
      <c r="R44" s="33">
        <f t="shared" si="56"/>
        <v>1</v>
      </c>
      <c r="S44" s="34">
        <f t="shared" si="57"/>
        <v>8000</v>
      </c>
      <c r="T44" s="34">
        <f t="shared" si="58"/>
        <v>1</v>
      </c>
      <c r="U44" s="34">
        <f t="shared" si="59"/>
        <v>0</v>
      </c>
      <c r="V44" s="34">
        <f t="shared" si="60"/>
        <v>1</v>
      </c>
      <c r="W44" s="34" t="str">
        <f t="shared" si="61"/>
        <v>BKN</v>
      </c>
      <c r="X44" s="34">
        <f t="shared" si="62"/>
        <v>0</v>
      </c>
      <c r="Y44" s="34">
        <f t="shared" si="63"/>
        <v>900</v>
      </c>
      <c r="Z44" s="34">
        <f t="shared" si="64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0</v>
      </c>
      <c r="F45" s="29">
        <v>0</v>
      </c>
      <c r="G45" s="29">
        <v>0</v>
      </c>
      <c r="H45" s="29">
        <v>8000</v>
      </c>
      <c r="I45" s="29">
        <v>0</v>
      </c>
      <c r="J45" s="29" t="s">
        <v>53</v>
      </c>
      <c r="K45" s="29">
        <v>900</v>
      </c>
      <c r="L45" t="s">
        <v>718</v>
      </c>
      <c r="M45" s="32">
        <f t="shared" si="51"/>
        <v>0</v>
      </c>
      <c r="N45" s="33">
        <f t="shared" si="52"/>
        <v>1</v>
      </c>
      <c r="O45" s="33">
        <f t="shared" si="53"/>
        <v>0</v>
      </c>
      <c r="P45" s="33">
        <f t="shared" si="54"/>
        <v>1</v>
      </c>
      <c r="Q45" s="34">
        <f t="shared" si="55"/>
        <v>0</v>
      </c>
      <c r="R45" s="33">
        <f t="shared" si="56"/>
        <v>1</v>
      </c>
      <c r="S45" s="34">
        <f t="shared" si="57"/>
        <v>8000</v>
      </c>
      <c r="T45" s="34">
        <f t="shared" si="58"/>
        <v>1</v>
      </c>
      <c r="U45" s="34">
        <f t="shared" si="59"/>
        <v>0</v>
      </c>
      <c r="V45" s="34">
        <f t="shared" si="60"/>
        <v>1</v>
      </c>
      <c r="W45" s="34" t="str">
        <f t="shared" si="61"/>
        <v>BKN</v>
      </c>
      <c r="X45" s="34">
        <f t="shared" si="62"/>
        <v>0</v>
      </c>
      <c r="Y45" s="34">
        <f t="shared" si="63"/>
        <v>900</v>
      </c>
      <c r="Z45" s="34">
        <f t="shared" si="64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0</v>
      </c>
      <c r="F46" s="29">
        <v>0</v>
      </c>
      <c r="G46" s="29">
        <v>0</v>
      </c>
      <c r="H46" s="29">
        <v>8000</v>
      </c>
      <c r="I46" s="29">
        <v>0</v>
      </c>
      <c r="J46" s="29" t="s">
        <v>53</v>
      </c>
      <c r="K46" s="29">
        <v>900</v>
      </c>
      <c r="L46" t="s">
        <v>717</v>
      </c>
      <c r="M46" s="32">
        <f t="shared" si="51"/>
        <v>0</v>
      </c>
      <c r="N46" s="33">
        <f t="shared" si="52"/>
        <v>1</v>
      </c>
      <c r="O46" s="33">
        <f t="shared" si="53"/>
        <v>0</v>
      </c>
      <c r="P46" s="33">
        <f t="shared" si="54"/>
        <v>1</v>
      </c>
      <c r="Q46" s="34">
        <f t="shared" si="55"/>
        <v>0</v>
      </c>
      <c r="R46" s="33">
        <f t="shared" si="56"/>
        <v>1</v>
      </c>
      <c r="S46" s="34">
        <f t="shared" si="57"/>
        <v>5000</v>
      </c>
      <c r="T46" s="34">
        <f t="shared" si="58"/>
        <v>1</v>
      </c>
      <c r="U46" s="34">
        <f t="shared" si="59"/>
        <v>0</v>
      </c>
      <c r="V46" s="34">
        <f t="shared" si="60"/>
        <v>1</v>
      </c>
      <c r="W46" s="34" t="str">
        <f t="shared" si="61"/>
        <v>BKN</v>
      </c>
      <c r="X46" s="34">
        <f t="shared" si="62"/>
        <v>0</v>
      </c>
      <c r="Y46" s="34">
        <f t="shared" si="63"/>
        <v>900</v>
      </c>
      <c r="Z46" s="34">
        <f t="shared" si="64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0</v>
      </c>
      <c r="F47" s="29">
        <v>0</v>
      </c>
      <c r="G47" s="29">
        <v>0</v>
      </c>
      <c r="H47" s="29">
        <v>8000</v>
      </c>
      <c r="I47" s="29">
        <v>0</v>
      </c>
      <c r="J47" s="29" t="s">
        <v>53</v>
      </c>
      <c r="K47" s="29">
        <v>900</v>
      </c>
      <c r="L47" t="s">
        <v>716</v>
      </c>
      <c r="M47" s="32">
        <f t="shared" si="51"/>
        <v>0</v>
      </c>
      <c r="N47" s="33">
        <f t="shared" si="52"/>
        <v>1</v>
      </c>
      <c r="O47" s="33">
        <f t="shared" si="53"/>
        <v>0</v>
      </c>
      <c r="P47" s="33">
        <f t="shared" si="54"/>
        <v>1</v>
      </c>
      <c r="Q47" s="34">
        <f t="shared" si="55"/>
        <v>0</v>
      </c>
      <c r="R47" s="33">
        <f t="shared" si="56"/>
        <v>1</v>
      </c>
      <c r="S47" s="34">
        <f t="shared" si="57"/>
        <v>8000</v>
      </c>
      <c r="T47" s="34">
        <f t="shared" si="58"/>
        <v>1</v>
      </c>
      <c r="U47" s="34">
        <f t="shared" si="59"/>
        <v>0</v>
      </c>
      <c r="V47" s="34">
        <f t="shared" si="60"/>
        <v>1</v>
      </c>
      <c r="W47" s="34" t="str">
        <f t="shared" si="61"/>
        <v>BKN</v>
      </c>
      <c r="X47" s="34">
        <f t="shared" si="62"/>
        <v>0</v>
      </c>
      <c r="Y47" s="34">
        <f t="shared" si="63"/>
        <v>900</v>
      </c>
      <c r="Z47" s="34">
        <f t="shared" si="64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9</v>
      </c>
      <c r="W52" s="25"/>
      <c r="X52" s="25">
        <f>SUM(X36:X47)</f>
        <v>2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9</v>
      </c>
      <c r="U53" s="25"/>
      <c r="V53" s="25">
        <f>SUMIF($C36:$C47,"GENERAL",V36:V47)</f>
        <v>9</v>
      </c>
      <c r="W53" s="25"/>
      <c r="X53" s="25">
        <f>SUMIF($C36:$C47,"GENERAL",X36:X47)</f>
        <v>0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2</v>
      </c>
      <c r="X56" s="42">
        <f>W56</f>
        <v>2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75</v>
      </c>
      <c r="W57" s="38"/>
      <c r="X57" s="38">
        <f>(SUM(X53:X56)/COUNTA(X36:X47))*100</f>
        <v>16.666666666666664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734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25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58</v>
      </c>
      <c r="K65" s="51">
        <v>900</v>
      </c>
      <c r="L65" t="s">
        <v>721</v>
      </c>
      <c r="M65" s="32">
        <f t="shared" ref="M65:M70" si="65">IF(ISNUMBER(VALUE(FIND("VRB",L65))),999,VALUE(MID(L65,20,3)))</f>
        <v>0</v>
      </c>
      <c r="N65" s="33">
        <f t="shared" ref="N65:N70" si="66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67">VALUE(MID(L65,23,2))</f>
        <v>0</v>
      </c>
      <c r="P65" s="33">
        <f t="shared" ref="P65:P70" si="68">IF(ABS(O65-F65)&lt;11,1,0)</f>
        <v>1</v>
      </c>
      <c r="Q65" s="34">
        <f t="shared" ref="Q65:Q70" si="69">IF(MID(L65,25,1)="G","GUST",0)</f>
        <v>0</v>
      </c>
      <c r="R65" s="33">
        <f t="shared" ref="R65:R70" si="70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71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72">IF(AND(IFERROR(FIND("RA",L65),0)&gt;0, IFERROR(FIND("RA",L65),0)&lt;38),"RA",0)</f>
        <v>0</v>
      </c>
      <c r="V65" s="34">
        <f t="shared" ref="V65:V70" si="73">IF(U65=I65,1,0)</f>
        <v>1</v>
      </c>
      <c r="W65" s="34" t="str">
        <f t="shared" ref="W65:W70" si="74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SCT</v>
      </c>
      <c r="X65" s="34">
        <f t="shared" ref="X65:X70" si="75">IF(OR(AND(OR(J65="SKC",J65="FEW",J65="SCT"),OR(W65="SKC",W65="FEW",W65="SCT")),(AND(OR(J65="BKN",J65="OVC"),OR(W65="BKN",W65="OVC")))),1,0)</f>
        <v>0</v>
      </c>
      <c r="Y65" s="34">
        <f t="shared" ref="Y65:Y76" si="76">IF(ISNUMBER(VALUE(FIND("CAVOK",L65))),9999,IF(ISNUMBER(VALUE(FIND("NSC",L65))),9999,(MID(L65,(FIND(W65,L65)+4),2))*100))</f>
        <v>800</v>
      </c>
      <c r="Z65" s="34">
        <f t="shared" ref="Z65:Z76" si="77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58</v>
      </c>
      <c r="K66" s="51">
        <v>900</v>
      </c>
      <c r="L66" t="s">
        <v>720</v>
      </c>
      <c r="M66" s="32">
        <f t="shared" si="65"/>
        <v>0</v>
      </c>
      <c r="N66" s="33">
        <f t="shared" si="66"/>
        <v>1</v>
      </c>
      <c r="O66" s="33">
        <f t="shared" si="67"/>
        <v>0</v>
      </c>
      <c r="P66" s="33">
        <f t="shared" si="68"/>
        <v>1</v>
      </c>
      <c r="Q66" s="34">
        <f t="shared" si="69"/>
        <v>0</v>
      </c>
      <c r="R66" s="33">
        <f t="shared" si="70"/>
        <v>1</v>
      </c>
      <c r="S66" s="34">
        <f t="shared" ref="S66:S70" si="78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71"/>
        <v>1</v>
      </c>
      <c r="U66" s="34">
        <f t="shared" si="72"/>
        <v>0</v>
      </c>
      <c r="V66" s="34">
        <f t="shared" si="73"/>
        <v>1</v>
      </c>
      <c r="W66" s="34" t="str">
        <f t="shared" si="74"/>
        <v>BKN</v>
      </c>
      <c r="X66" s="34">
        <f t="shared" si="75"/>
        <v>1</v>
      </c>
      <c r="Y66" s="34">
        <f t="shared" si="76"/>
        <v>900</v>
      </c>
      <c r="Z66" s="34">
        <f t="shared" si="77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40</v>
      </c>
      <c r="D67" s="52"/>
      <c r="E67" s="51">
        <v>0</v>
      </c>
      <c r="F67" s="51">
        <v>0</v>
      </c>
      <c r="G67" s="51">
        <v>0</v>
      </c>
      <c r="H67" s="51">
        <v>3000</v>
      </c>
      <c r="I67" s="51" t="s">
        <v>52</v>
      </c>
      <c r="J67" s="51" t="s">
        <v>51</v>
      </c>
      <c r="K67" s="51">
        <v>800</v>
      </c>
      <c r="L67" t="s">
        <v>719</v>
      </c>
      <c r="M67" s="32">
        <f t="shared" si="65"/>
        <v>0</v>
      </c>
      <c r="N67" s="33">
        <f t="shared" si="66"/>
        <v>1</v>
      </c>
      <c r="O67" s="33">
        <f t="shared" si="67"/>
        <v>0</v>
      </c>
      <c r="P67" s="33">
        <f t="shared" si="68"/>
        <v>1</v>
      </c>
      <c r="Q67" s="34">
        <f t="shared" si="69"/>
        <v>0</v>
      </c>
      <c r="R67" s="33">
        <f t="shared" si="70"/>
        <v>1</v>
      </c>
      <c r="S67" s="34">
        <f t="shared" si="78"/>
        <v>8000</v>
      </c>
      <c r="T67" s="34">
        <f t="shared" si="71"/>
        <v>0</v>
      </c>
      <c r="U67" s="34">
        <f t="shared" si="72"/>
        <v>0</v>
      </c>
      <c r="V67" s="34">
        <f t="shared" si="73"/>
        <v>0</v>
      </c>
      <c r="W67" s="34" t="str">
        <f t="shared" si="74"/>
        <v>BKN</v>
      </c>
      <c r="X67" s="34">
        <f t="shared" si="75"/>
        <v>0</v>
      </c>
      <c r="Y67" s="34">
        <f t="shared" si="76"/>
        <v>900</v>
      </c>
      <c r="Z67" s="34">
        <f t="shared" si="77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40</v>
      </c>
      <c r="D68" s="52"/>
      <c r="E68" s="51">
        <v>0</v>
      </c>
      <c r="F68" s="51">
        <v>0</v>
      </c>
      <c r="G68" s="51">
        <v>0</v>
      </c>
      <c r="H68" s="51">
        <v>3000</v>
      </c>
      <c r="I68" s="51" t="s">
        <v>52</v>
      </c>
      <c r="J68" s="51" t="s">
        <v>51</v>
      </c>
      <c r="K68" s="51">
        <v>800</v>
      </c>
      <c r="L68" t="s">
        <v>718</v>
      </c>
      <c r="M68" s="32">
        <f t="shared" si="65"/>
        <v>0</v>
      </c>
      <c r="N68" s="33">
        <f t="shared" si="66"/>
        <v>1</v>
      </c>
      <c r="O68" s="33">
        <f t="shared" si="67"/>
        <v>0</v>
      </c>
      <c r="P68" s="33">
        <f t="shared" si="68"/>
        <v>1</v>
      </c>
      <c r="Q68" s="34">
        <f t="shared" si="69"/>
        <v>0</v>
      </c>
      <c r="R68" s="33">
        <f t="shared" si="70"/>
        <v>1</v>
      </c>
      <c r="S68" s="34">
        <f t="shared" si="78"/>
        <v>8000</v>
      </c>
      <c r="T68" s="34">
        <f t="shared" si="71"/>
        <v>0</v>
      </c>
      <c r="U68" s="34">
        <f t="shared" si="72"/>
        <v>0</v>
      </c>
      <c r="V68" s="34">
        <f t="shared" si="73"/>
        <v>0</v>
      </c>
      <c r="W68" s="34" t="str">
        <f t="shared" si="74"/>
        <v>BKN</v>
      </c>
      <c r="X68" s="34">
        <f t="shared" si="75"/>
        <v>0</v>
      </c>
      <c r="Y68" s="34">
        <f t="shared" si="76"/>
        <v>900</v>
      </c>
      <c r="Z68" s="34">
        <f t="shared" si="77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0</v>
      </c>
      <c r="F69" s="51">
        <v>0</v>
      </c>
      <c r="G69" s="51">
        <v>0</v>
      </c>
      <c r="H69" s="51">
        <v>3000</v>
      </c>
      <c r="I69" s="51" t="s">
        <v>52</v>
      </c>
      <c r="J69" s="51" t="s">
        <v>51</v>
      </c>
      <c r="K69" s="51">
        <v>800</v>
      </c>
      <c r="L69" t="s">
        <v>717</v>
      </c>
      <c r="M69" s="32">
        <f t="shared" si="65"/>
        <v>0</v>
      </c>
      <c r="N69" s="33">
        <f t="shared" si="66"/>
        <v>1</v>
      </c>
      <c r="O69" s="33">
        <f t="shared" si="67"/>
        <v>0</v>
      </c>
      <c r="P69" s="33">
        <f t="shared" si="68"/>
        <v>1</v>
      </c>
      <c r="Q69" s="34">
        <f t="shared" si="69"/>
        <v>0</v>
      </c>
      <c r="R69" s="33">
        <f t="shared" si="70"/>
        <v>1</v>
      </c>
      <c r="S69" s="34">
        <f t="shared" si="78"/>
        <v>5000</v>
      </c>
      <c r="T69" s="34">
        <f t="shared" si="71"/>
        <v>1</v>
      </c>
      <c r="U69" s="34">
        <f t="shared" si="72"/>
        <v>0</v>
      </c>
      <c r="V69" s="34">
        <f t="shared" si="73"/>
        <v>0</v>
      </c>
      <c r="W69" s="34" t="str">
        <f t="shared" si="74"/>
        <v>BKN</v>
      </c>
      <c r="X69" s="34">
        <f t="shared" si="75"/>
        <v>0</v>
      </c>
      <c r="Y69" s="34">
        <f t="shared" si="76"/>
        <v>900</v>
      </c>
      <c r="Z69" s="34">
        <f t="shared" si="77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1" t="s">
        <v>58</v>
      </c>
      <c r="K70" s="51">
        <v>900</v>
      </c>
      <c r="L70" t="s">
        <v>716</v>
      </c>
      <c r="M70" s="32">
        <f t="shared" si="65"/>
        <v>0</v>
      </c>
      <c r="N70" s="33">
        <f t="shared" si="66"/>
        <v>1</v>
      </c>
      <c r="O70" s="33">
        <f t="shared" si="67"/>
        <v>0</v>
      </c>
      <c r="P70" s="33">
        <f t="shared" si="68"/>
        <v>1</v>
      </c>
      <c r="Q70" s="34">
        <f t="shared" si="69"/>
        <v>0</v>
      </c>
      <c r="R70" s="33">
        <f t="shared" si="70"/>
        <v>1</v>
      </c>
      <c r="S70" s="34">
        <f t="shared" si="78"/>
        <v>8000</v>
      </c>
      <c r="T70" s="34">
        <f t="shared" si="71"/>
        <v>1</v>
      </c>
      <c r="U70" s="34">
        <f t="shared" si="72"/>
        <v>0</v>
      </c>
      <c r="V70" s="34">
        <f t="shared" si="73"/>
        <v>1</v>
      </c>
      <c r="W70" s="34" t="str">
        <f t="shared" si="74"/>
        <v>BKN</v>
      </c>
      <c r="X70" s="34">
        <f t="shared" si="75"/>
        <v>1</v>
      </c>
      <c r="Y70" s="34">
        <f t="shared" si="76"/>
        <v>900</v>
      </c>
      <c r="Z70" s="34">
        <f t="shared" si="77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t="s">
        <v>727</v>
      </c>
      <c r="M71" s="32">
        <f t="shared" ref="M71:M76" si="79">IF(ISNUMBER(VALUE(FIND("VRB",L71))),999,VALUE(MID(L71,20,3)))</f>
        <v>0</v>
      </c>
      <c r="N71" s="33">
        <f t="shared" ref="N71:N76" si="80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81">VALUE(MID(L71,23,2))</f>
        <v>0</v>
      </c>
      <c r="P71" s="33">
        <f t="shared" ref="P71:P76" si="82">IF(ABS(O71-F71)&lt;11,1,0)</f>
        <v>1</v>
      </c>
      <c r="Q71" s="34">
        <f t="shared" ref="Q71:Q76" si="83">IF(MID(L71,25,1)="G","GUST",0)</f>
        <v>0</v>
      </c>
      <c r="R71" s="33">
        <f t="shared" ref="R71:R76" si="84">IF(G71=Q71,1,0)</f>
        <v>1</v>
      </c>
      <c r="S71" s="34">
        <f t="shared" ref="S71:S76" si="85">IF(ISNUMBER(VALUE(MID(L71,(FIND("KT",L71,FIND("Z",L71))+3),4))),VALUE(MID(L71,(FIND("KT",L71,FIND("Z",L71))+3),4)),IF(ISNUMBER(VALUE(MID(L71,(FIND("0V",L71)+6),4))),VALUE(MID(L71,(FIND("0V",L71)+6),4)),9999))</f>
        <v>5000</v>
      </c>
      <c r="T71" s="34">
        <f t="shared" ref="T71:T76" si="86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 t="str">
        <f t="shared" ref="U71:U76" si="87">IF(AND(IFERROR(FIND("RA",L71),0)&gt;0, IFERROR(FIND("RA",L71),0)&lt;38),"RA",0)</f>
        <v>RA</v>
      </c>
      <c r="V71" s="34">
        <f t="shared" ref="V71:V76" si="88">IF(U71=I71,1,0)</f>
        <v>0</v>
      </c>
      <c r="W71" s="34" t="str">
        <f t="shared" ref="W71:W76" si="89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90">IF(OR(AND(OR(J71="SKC",J71="FEW",J71="SCT"),OR(W71="SKC",W71="FEW",W71="SCT")),(AND(OR(J71="BKN",J71="OVC"),OR(W71="BKN",W71="OVC")))),1,0)</f>
        <v>1</v>
      </c>
      <c r="Y71" s="34">
        <f t="shared" si="76"/>
        <v>800</v>
      </c>
      <c r="Z71" s="34">
        <f t="shared" si="77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t="s">
        <v>726</v>
      </c>
      <c r="M72" s="32">
        <f t="shared" si="79"/>
        <v>0</v>
      </c>
      <c r="N72" s="33">
        <f t="shared" si="80"/>
        <v>1</v>
      </c>
      <c r="O72" s="33">
        <f t="shared" si="81"/>
        <v>0</v>
      </c>
      <c r="P72" s="33">
        <f t="shared" si="82"/>
        <v>1</v>
      </c>
      <c r="Q72" s="34">
        <f t="shared" si="83"/>
        <v>0</v>
      </c>
      <c r="R72" s="33">
        <f t="shared" si="84"/>
        <v>1</v>
      </c>
      <c r="S72" s="34">
        <f t="shared" si="85"/>
        <v>7000</v>
      </c>
      <c r="T72" s="34">
        <f t="shared" si="86"/>
        <v>1</v>
      </c>
      <c r="U72" s="34">
        <f t="shared" si="87"/>
        <v>0</v>
      </c>
      <c r="V72" s="34">
        <f t="shared" si="88"/>
        <v>1</v>
      </c>
      <c r="W72" s="34" t="str">
        <f t="shared" si="89"/>
        <v>BKN</v>
      </c>
      <c r="X72" s="34">
        <f t="shared" si="90"/>
        <v>1</v>
      </c>
      <c r="Y72" s="34">
        <f t="shared" si="76"/>
        <v>900</v>
      </c>
      <c r="Z72" s="34">
        <f t="shared" si="77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t="s">
        <v>725</v>
      </c>
      <c r="M73" s="32">
        <f t="shared" si="79"/>
        <v>0</v>
      </c>
      <c r="N73" s="33">
        <f t="shared" si="80"/>
        <v>1</v>
      </c>
      <c r="O73" s="33">
        <f t="shared" si="81"/>
        <v>0</v>
      </c>
      <c r="P73" s="33">
        <f t="shared" si="82"/>
        <v>1</v>
      </c>
      <c r="Q73" s="34">
        <f t="shared" si="83"/>
        <v>0</v>
      </c>
      <c r="R73" s="33">
        <f t="shared" si="84"/>
        <v>1</v>
      </c>
      <c r="S73" s="34">
        <f t="shared" si="85"/>
        <v>7000</v>
      </c>
      <c r="T73" s="34">
        <f t="shared" si="86"/>
        <v>1</v>
      </c>
      <c r="U73" s="34">
        <f t="shared" si="87"/>
        <v>0</v>
      </c>
      <c r="V73" s="34">
        <f t="shared" si="88"/>
        <v>1</v>
      </c>
      <c r="W73" s="34" t="str">
        <f t="shared" si="89"/>
        <v>BKN</v>
      </c>
      <c r="X73" s="34">
        <f t="shared" si="90"/>
        <v>1</v>
      </c>
      <c r="Y73" s="34">
        <f t="shared" si="76"/>
        <v>900</v>
      </c>
      <c r="Z73" s="34">
        <f t="shared" si="77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t="s">
        <v>724</v>
      </c>
      <c r="M74" s="32">
        <f t="shared" si="79"/>
        <v>0</v>
      </c>
      <c r="N74" s="33">
        <f t="shared" si="80"/>
        <v>1</v>
      </c>
      <c r="O74" s="33">
        <f t="shared" si="81"/>
        <v>0</v>
      </c>
      <c r="P74" s="33">
        <f t="shared" si="82"/>
        <v>1</v>
      </c>
      <c r="Q74" s="34">
        <f t="shared" si="83"/>
        <v>0</v>
      </c>
      <c r="R74" s="33">
        <f t="shared" si="84"/>
        <v>1</v>
      </c>
      <c r="S74" s="34">
        <f t="shared" si="85"/>
        <v>8000</v>
      </c>
      <c r="T74" s="34">
        <f t="shared" si="86"/>
        <v>1</v>
      </c>
      <c r="U74" s="34">
        <f t="shared" si="87"/>
        <v>0</v>
      </c>
      <c r="V74" s="34">
        <f t="shared" si="88"/>
        <v>1</v>
      </c>
      <c r="W74" s="34" t="str">
        <f t="shared" si="89"/>
        <v>BKN</v>
      </c>
      <c r="X74" s="34">
        <f t="shared" si="90"/>
        <v>1</v>
      </c>
      <c r="Y74" s="34">
        <f t="shared" si="76"/>
        <v>900</v>
      </c>
      <c r="Z74" s="34">
        <f t="shared" si="77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t="s">
        <v>723</v>
      </c>
      <c r="M75" s="32">
        <f t="shared" si="79"/>
        <v>0</v>
      </c>
      <c r="N75" s="33">
        <f t="shared" si="80"/>
        <v>1</v>
      </c>
      <c r="O75" s="33">
        <f t="shared" si="81"/>
        <v>0</v>
      </c>
      <c r="P75" s="33">
        <f t="shared" si="82"/>
        <v>1</v>
      </c>
      <c r="Q75" s="34">
        <f t="shared" si="83"/>
        <v>0</v>
      </c>
      <c r="R75" s="33">
        <f t="shared" si="84"/>
        <v>1</v>
      </c>
      <c r="S75" s="34">
        <f t="shared" si="85"/>
        <v>7000</v>
      </c>
      <c r="T75" s="34">
        <f t="shared" si="86"/>
        <v>1</v>
      </c>
      <c r="U75" s="34">
        <f t="shared" si="87"/>
        <v>0</v>
      </c>
      <c r="V75" s="34">
        <f t="shared" si="88"/>
        <v>1</v>
      </c>
      <c r="W75" s="34" t="str">
        <f t="shared" si="89"/>
        <v>BKN</v>
      </c>
      <c r="X75" s="34">
        <f t="shared" si="90"/>
        <v>1</v>
      </c>
      <c r="Y75" s="34">
        <f t="shared" si="76"/>
        <v>900</v>
      </c>
      <c r="Z75" s="34">
        <f t="shared" si="77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t="s">
        <v>722</v>
      </c>
      <c r="M76" s="32">
        <f t="shared" si="79"/>
        <v>0</v>
      </c>
      <c r="N76" s="33">
        <f t="shared" si="80"/>
        <v>1</v>
      </c>
      <c r="O76" s="33">
        <f t="shared" si="81"/>
        <v>0</v>
      </c>
      <c r="P76" s="33">
        <f t="shared" si="82"/>
        <v>1</v>
      </c>
      <c r="Q76" s="34">
        <f t="shared" si="83"/>
        <v>0</v>
      </c>
      <c r="R76" s="33">
        <f t="shared" si="84"/>
        <v>1</v>
      </c>
      <c r="S76" s="34">
        <f t="shared" si="85"/>
        <v>7000</v>
      </c>
      <c r="T76" s="34">
        <f t="shared" si="86"/>
        <v>1</v>
      </c>
      <c r="U76" s="34">
        <f t="shared" si="87"/>
        <v>0</v>
      </c>
      <c r="V76" s="34">
        <f t="shared" si="88"/>
        <v>1</v>
      </c>
      <c r="W76" s="34" t="str">
        <f t="shared" si="89"/>
        <v>BKN</v>
      </c>
      <c r="X76" s="34">
        <f t="shared" si="90"/>
        <v>1</v>
      </c>
      <c r="Y76" s="34">
        <f t="shared" si="76"/>
        <v>900</v>
      </c>
      <c r="Z76" s="34">
        <f t="shared" si="77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 ht="20.25">
      <c r="A79" s="25"/>
      <c r="B79" s="25"/>
      <c r="C79" s="41"/>
      <c r="D79" s="56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10</v>
      </c>
      <c r="U80" s="25"/>
      <c r="V80" s="25">
        <f>SUM(V64:V76)</f>
        <v>8</v>
      </c>
      <c r="W80" s="25"/>
      <c r="X80" s="25">
        <f>SUM(X64:X76)</f>
        <v>8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9</v>
      </c>
      <c r="O81" s="25"/>
      <c r="P81" s="25">
        <f>SUMIF($C64:$C76,"GENERAL",P64:P76)</f>
        <v>9</v>
      </c>
      <c r="Q81" s="25"/>
      <c r="R81" s="25">
        <f>SUMIF($C64:$C76,"GENERAL",R64:R76)</f>
        <v>9</v>
      </c>
      <c r="S81" s="25"/>
      <c r="T81" s="25">
        <f>SUMIF($C64:$C76,"GENERAL",T64:T76)</f>
        <v>9</v>
      </c>
      <c r="U81" s="25"/>
      <c r="V81" s="25">
        <f>SUMIF($C64:$C76,"GENERAL",V64:V76)</f>
        <v>8</v>
      </c>
      <c r="W81" s="25"/>
      <c r="X81" s="25">
        <f>SUMIF($C64:$C76,"GENERAL",X64:X76)</f>
        <v>8</v>
      </c>
      <c r="Y81" s="25"/>
      <c r="Z81" s="25">
        <f>SUMIF($C64:$C76,"GENERAL",Z64:Z76)</f>
        <v>9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3</v>
      </c>
      <c r="M84" s="42">
        <f>SUMIF($C64:$C76,"TEMPO",N64:N76)</f>
        <v>3</v>
      </c>
      <c r="N84" s="42">
        <f>M84</f>
        <v>3</v>
      </c>
      <c r="O84" s="42">
        <f>SUMIF($C64:$C76,"TEMPO",P64:P76)</f>
        <v>3</v>
      </c>
      <c r="P84" s="42">
        <f>O84</f>
        <v>3</v>
      </c>
      <c r="Q84" s="42">
        <f>SUMIF($C64:$C76,"TEMPO",R64:R76)</f>
        <v>3</v>
      </c>
      <c r="R84" s="42">
        <f>Q84</f>
        <v>3</v>
      </c>
      <c r="S84" s="42">
        <f>SUMIF($C64:$C76,"TEMPO",T64:T76)</f>
        <v>1</v>
      </c>
      <c r="T84" s="42">
        <f>S84</f>
        <v>1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3</v>
      </c>
      <c r="Z84" s="42">
        <f>Y84</f>
        <v>3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83.333333333333343</v>
      </c>
      <c r="U85" s="38"/>
      <c r="V85" s="38">
        <f>(SUM(V81:V84)/COUNTA(V64:V76))*100</f>
        <v>66.666666666666657</v>
      </c>
      <c r="W85" s="38"/>
      <c r="X85" s="38">
        <f>(SUM(X81:X84)/COUNTA(X64:X76))*100</f>
        <v>66.666666666666657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735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25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t="s">
        <v>727</v>
      </c>
      <c r="M93" s="32">
        <f t="shared" ref="M93:M98" si="91">IF(ISNUMBER(VALUE(FIND("VRB",L93))),999,VALUE(MID(L93,20,3)))</f>
        <v>0</v>
      </c>
      <c r="N93" s="33">
        <f t="shared" ref="N93:N98" si="92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93">VALUE(MID(L93,23,2))</f>
        <v>0</v>
      </c>
      <c r="P93" s="33">
        <f t="shared" ref="P93:P98" si="94">IF(ABS(O93-F93)&lt;11,1,0)</f>
        <v>1</v>
      </c>
      <c r="Q93" s="34">
        <f t="shared" ref="Q93:Q98" si="95">IF(MID(L93,25,1)="G","GUST",0)</f>
        <v>0</v>
      </c>
      <c r="R93" s="33">
        <f t="shared" ref="R93:R98" si="96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5000</v>
      </c>
      <c r="T93" s="34">
        <f t="shared" ref="T93:T98" si="97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 t="str">
        <f t="shared" ref="U93:U98" si="98">IF(AND(IFERROR(FIND("RA",L93),0)&gt;0, IFERROR(FIND("RA",L93),0)&lt;38),"RA",0)</f>
        <v>RA</v>
      </c>
      <c r="V93" s="34">
        <f t="shared" ref="V93:V98" si="99">IF(U93=I93,1,0)</f>
        <v>0</v>
      </c>
      <c r="W93" s="34" t="str">
        <f t="shared" ref="W93:W98" si="100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101">IF(OR(AND(OR(J93="SKC",J93="FEW",J93="SCT"),OR(W93="SKC",W93="FEW",W93="SCT")),(AND(OR(J93="BKN",J93="OVC"),OR(W93="BKN",W93="OVC")))),1,0)</f>
        <v>1</v>
      </c>
      <c r="Y93" s="34">
        <f t="shared" ref="Y93:Y98" si="102">IF(ISNUMBER(VALUE(FIND("CAVOK",L93))),9999,IF(ISNUMBER(VALUE(FIND("NSC",L93))),9999,(MID(L93,(FIND(W93,L93)+4),2))*100))</f>
        <v>800</v>
      </c>
      <c r="Z93" s="34">
        <f t="shared" ref="Z93:Z98" si="103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t="s">
        <v>726</v>
      </c>
      <c r="M94" s="32">
        <f t="shared" si="91"/>
        <v>0</v>
      </c>
      <c r="N94" s="33">
        <f t="shared" si="92"/>
        <v>1</v>
      </c>
      <c r="O94" s="33">
        <f t="shared" si="93"/>
        <v>0</v>
      </c>
      <c r="P94" s="33">
        <f t="shared" si="94"/>
        <v>1</v>
      </c>
      <c r="Q94" s="34">
        <f t="shared" si="95"/>
        <v>0</v>
      </c>
      <c r="R94" s="33">
        <f t="shared" si="96"/>
        <v>1</v>
      </c>
      <c r="S94" s="34">
        <f t="shared" ref="S94:S98" si="104">IF(ISNUMBER(VALUE(MID(L94,(FIND("KT",L94,FIND("Z",L94))+3),4))),VALUE(MID(L94,(FIND("KT",L94,FIND("Z",L94))+3),4)),IF(ISNUMBER(VALUE(MID(L94,(FIND("0V",L94)+6),4))),VALUE(MID(L94,(FIND("0V",L94)+6),4)),9999))</f>
        <v>7000</v>
      </c>
      <c r="T94" s="34">
        <f t="shared" si="97"/>
        <v>1</v>
      </c>
      <c r="U94" s="34">
        <f t="shared" si="98"/>
        <v>0</v>
      </c>
      <c r="V94" s="34">
        <f t="shared" si="99"/>
        <v>1</v>
      </c>
      <c r="W94" s="34" t="str">
        <f t="shared" si="100"/>
        <v>BKN</v>
      </c>
      <c r="X94" s="34">
        <f t="shared" si="101"/>
        <v>1</v>
      </c>
      <c r="Y94" s="34">
        <f t="shared" si="102"/>
        <v>900</v>
      </c>
      <c r="Z94" s="34">
        <f t="shared" si="103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t="s">
        <v>725</v>
      </c>
      <c r="M95" s="32">
        <f t="shared" si="91"/>
        <v>0</v>
      </c>
      <c r="N95" s="33">
        <f t="shared" si="92"/>
        <v>1</v>
      </c>
      <c r="O95" s="33">
        <f t="shared" si="93"/>
        <v>0</v>
      </c>
      <c r="P95" s="33">
        <f t="shared" si="94"/>
        <v>1</v>
      </c>
      <c r="Q95" s="34">
        <f t="shared" si="95"/>
        <v>0</v>
      </c>
      <c r="R95" s="33">
        <f t="shared" si="96"/>
        <v>1</v>
      </c>
      <c r="S95" s="34">
        <f t="shared" si="104"/>
        <v>7000</v>
      </c>
      <c r="T95" s="34">
        <f t="shared" si="97"/>
        <v>1</v>
      </c>
      <c r="U95" s="34">
        <f t="shared" si="98"/>
        <v>0</v>
      </c>
      <c r="V95" s="34">
        <f t="shared" si="99"/>
        <v>1</v>
      </c>
      <c r="W95" s="34" t="str">
        <f t="shared" si="100"/>
        <v>BKN</v>
      </c>
      <c r="X95" s="34">
        <f t="shared" si="101"/>
        <v>1</v>
      </c>
      <c r="Y95" s="34">
        <f t="shared" si="102"/>
        <v>900</v>
      </c>
      <c r="Z95" s="34">
        <f t="shared" si="103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t="s">
        <v>724</v>
      </c>
      <c r="M96" s="32">
        <f t="shared" si="91"/>
        <v>0</v>
      </c>
      <c r="N96" s="33">
        <f t="shared" si="92"/>
        <v>1</v>
      </c>
      <c r="O96" s="33">
        <f t="shared" si="93"/>
        <v>0</v>
      </c>
      <c r="P96" s="33">
        <f t="shared" si="94"/>
        <v>1</v>
      </c>
      <c r="Q96" s="34">
        <f t="shared" si="95"/>
        <v>0</v>
      </c>
      <c r="R96" s="33">
        <f t="shared" si="96"/>
        <v>1</v>
      </c>
      <c r="S96" s="34">
        <f t="shared" si="104"/>
        <v>8000</v>
      </c>
      <c r="T96" s="34">
        <f t="shared" si="97"/>
        <v>1</v>
      </c>
      <c r="U96" s="34">
        <f t="shared" si="98"/>
        <v>0</v>
      </c>
      <c r="V96" s="34">
        <f t="shared" si="99"/>
        <v>1</v>
      </c>
      <c r="W96" s="34" t="str">
        <f t="shared" si="100"/>
        <v>BKN</v>
      </c>
      <c r="X96" s="34">
        <f t="shared" si="101"/>
        <v>1</v>
      </c>
      <c r="Y96" s="34">
        <f t="shared" si="102"/>
        <v>900</v>
      </c>
      <c r="Z96" s="34">
        <f t="shared" si="103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t="s">
        <v>723</v>
      </c>
      <c r="M97" s="32">
        <f t="shared" si="91"/>
        <v>0</v>
      </c>
      <c r="N97" s="33">
        <f t="shared" si="92"/>
        <v>1</v>
      </c>
      <c r="O97" s="33">
        <f t="shared" si="93"/>
        <v>0</v>
      </c>
      <c r="P97" s="33">
        <f t="shared" si="94"/>
        <v>1</v>
      </c>
      <c r="Q97" s="34">
        <f t="shared" si="95"/>
        <v>0</v>
      </c>
      <c r="R97" s="33">
        <f t="shared" si="96"/>
        <v>1</v>
      </c>
      <c r="S97" s="34">
        <f t="shared" si="104"/>
        <v>7000</v>
      </c>
      <c r="T97" s="34">
        <f t="shared" si="97"/>
        <v>1</v>
      </c>
      <c r="U97" s="34">
        <f t="shared" si="98"/>
        <v>0</v>
      </c>
      <c r="V97" s="34">
        <f t="shared" si="99"/>
        <v>1</v>
      </c>
      <c r="W97" s="34" t="str">
        <f t="shared" si="100"/>
        <v>BKN</v>
      </c>
      <c r="X97" s="34">
        <f t="shared" si="101"/>
        <v>1</v>
      </c>
      <c r="Y97" s="34">
        <f t="shared" si="102"/>
        <v>900</v>
      </c>
      <c r="Z97" s="34">
        <f t="shared" si="103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t="s">
        <v>722</v>
      </c>
      <c r="M98" s="32">
        <f t="shared" si="91"/>
        <v>0</v>
      </c>
      <c r="N98" s="33">
        <f t="shared" si="92"/>
        <v>1</v>
      </c>
      <c r="O98" s="33">
        <f t="shared" si="93"/>
        <v>0</v>
      </c>
      <c r="P98" s="33">
        <f t="shared" si="94"/>
        <v>1</v>
      </c>
      <c r="Q98" s="34">
        <f t="shared" si="95"/>
        <v>0</v>
      </c>
      <c r="R98" s="33">
        <f t="shared" si="96"/>
        <v>1</v>
      </c>
      <c r="S98" s="34">
        <f t="shared" si="104"/>
        <v>7000</v>
      </c>
      <c r="T98" s="34">
        <f t="shared" si="97"/>
        <v>1</v>
      </c>
      <c r="U98" s="34">
        <f t="shared" si="98"/>
        <v>0</v>
      </c>
      <c r="V98" s="34">
        <f t="shared" si="99"/>
        <v>1</v>
      </c>
      <c r="W98" s="34" t="str">
        <f t="shared" si="100"/>
        <v>BKN</v>
      </c>
      <c r="X98" s="34">
        <f t="shared" si="101"/>
        <v>1</v>
      </c>
      <c r="Y98" s="34">
        <f t="shared" si="102"/>
        <v>900</v>
      </c>
      <c r="Z98" s="34">
        <f t="shared" si="103"/>
        <v>1</v>
      </c>
      <c r="AA98" s="25"/>
      <c r="AB98" s="25"/>
      <c r="AC98" s="25"/>
      <c r="AD98" s="25"/>
      <c r="AE98" s="25"/>
    </row>
    <row r="99" spans="1:31" ht="16.5">
      <c r="A99" s="55">
        <v>26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t="s">
        <v>733</v>
      </c>
      <c r="M99" s="32">
        <f t="shared" ref="M99:M104" si="105">IF(ISNUMBER(VALUE(FIND("VRB",L99))),999,VALUE(MID(L99,20,3)))</f>
        <v>270</v>
      </c>
      <c r="N99" s="33">
        <f t="shared" ref="N99:N104" si="106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107">VALUE(MID(L99,23,2))</f>
        <v>3</v>
      </c>
      <c r="P99" s="33">
        <f t="shared" ref="P99:P104" si="108">IF(ABS(O99-F99)&lt;11,1,0)</f>
        <v>1</v>
      </c>
      <c r="Q99" s="34">
        <f t="shared" ref="Q99:Q104" si="109">IF(MID(L99,25,1)="G","GUST",0)</f>
        <v>0</v>
      </c>
      <c r="R99" s="33">
        <f t="shared" ref="R99:R104" si="110">IF(G99=Q99,1,0)</f>
        <v>1</v>
      </c>
      <c r="S99" s="34">
        <f t="shared" ref="S99:S104" si="111">IF(ISNUMBER(VALUE(MID(L99,(FIND("KT",L99,FIND("Z",L99))+3),4))),VALUE(MID(L99,(FIND("KT",L99,FIND("Z",L99))+3),4)),IF(ISNUMBER(VALUE(MID(L99,(FIND("0V",L99)+6),4))),VALUE(MID(L99,(FIND("0V",L99)+6),4)),9999))</f>
        <v>8000</v>
      </c>
      <c r="T99" s="34">
        <f t="shared" ref="T99:T104" si="112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13">IF(AND(IFERROR(FIND("RA",L99),0)&gt;0, IFERROR(FIND("RA",L99),0)&lt;38),"RA",0)</f>
        <v>0</v>
      </c>
      <c r="V99" s="34">
        <f t="shared" ref="V99:V104" si="114">IF(U99=I99,1,0)</f>
        <v>1</v>
      </c>
      <c r="W99" s="34" t="str">
        <f t="shared" ref="W99:W104" si="115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FEW</v>
      </c>
      <c r="X99" s="34">
        <f t="shared" ref="X99:X104" si="116">IF(OR(AND(OR(J99="SKC",J99="FEW",J99="SCT"),OR(W99="SKC",W99="FEW",W99="SCT")),(AND(OR(J99="BKN",J99="OVC"),OR(W99="BKN",W99="OVC")))),1,0)</f>
        <v>0</v>
      </c>
      <c r="Y99" s="34">
        <f t="shared" ref="Y99:Y104" si="117">IF(ISNUMBER(VALUE(FIND("CAVOK",L99))),9999,IF(ISNUMBER(VALUE(FIND("NSC",L99))),9999,(MID(L99,(FIND(W99,L99)+4),2))*100))</f>
        <v>800</v>
      </c>
      <c r="Z99" s="34">
        <f t="shared" ref="Z99:Z104" si="118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t="s">
        <v>732</v>
      </c>
      <c r="M100" s="32">
        <f t="shared" si="105"/>
        <v>240</v>
      </c>
      <c r="N100" s="33">
        <f t="shared" si="106"/>
        <v>1</v>
      </c>
      <c r="O100" s="33">
        <f t="shared" si="107"/>
        <v>4</v>
      </c>
      <c r="P100" s="33">
        <f t="shared" si="108"/>
        <v>1</v>
      </c>
      <c r="Q100" s="34">
        <f t="shared" si="109"/>
        <v>0</v>
      </c>
      <c r="R100" s="33">
        <f t="shared" si="110"/>
        <v>1</v>
      </c>
      <c r="S100" s="34">
        <f t="shared" si="111"/>
        <v>8000</v>
      </c>
      <c r="T100" s="34">
        <f t="shared" si="112"/>
        <v>1</v>
      </c>
      <c r="U100" s="34">
        <f t="shared" si="113"/>
        <v>0</v>
      </c>
      <c r="V100" s="34">
        <f t="shared" si="114"/>
        <v>1</v>
      </c>
      <c r="W100" s="34" t="str">
        <f t="shared" si="115"/>
        <v>FEW</v>
      </c>
      <c r="X100" s="34">
        <f t="shared" si="116"/>
        <v>0</v>
      </c>
      <c r="Y100" s="34">
        <f t="shared" si="117"/>
        <v>800</v>
      </c>
      <c r="Z100" s="34">
        <f t="shared" si="118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t="s">
        <v>731</v>
      </c>
      <c r="M101" s="32">
        <f t="shared" si="105"/>
        <v>290</v>
      </c>
      <c r="N101" s="33">
        <f t="shared" si="106"/>
        <v>1</v>
      </c>
      <c r="O101" s="33">
        <f t="shared" si="107"/>
        <v>3</v>
      </c>
      <c r="P101" s="33">
        <f t="shared" si="108"/>
        <v>1</v>
      </c>
      <c r="Q101" s="34">
        <f t="shared" si="109"/>
        <v>0</v>
      </c>
      <c r="R101" s="33">
        <f t="shared" si="110"/>
        <v>1</v>
      </c>
      <c r="S101" s="34">
        <f t="shared" si="111"/>
        <v>8000</v>
      </c>
      <c r="T101" s="34">
        <f t="shared" si="112"/>
        <v>1</v>
      </c>
      <c r="U101" s="34">
        <f t="shared" si="113"/>
        <v>0</v>
      </c>
      <c r="V101" s="34">
        <f t="shared" si="114"/>
        <v>1</v>
      </c>
      <c r="W101" s="34" t="str">
        <f t="shared" si="115"/>
        <v>BKN</v>
      </c>
      <c r="X101" s="34">
        <f t="shared" si="116"/>
        <v>1</v>
      </c>
      <c r="Y101" s="34">
        <f t="shared" si="117"/>
        <v>900</v>
      </c>
      <c r="Z101" s="34">
        <f t="shared" si="118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t="s">
        <v>730</v>
      </c>
      <c r="M102" s="32">
        <f t="shared" si="105"/>
        <v>100</v>
      </c>
      <c r="N102" s="33">
        <f t="shared" si="106"/>
        <v>1</v>
      </c>
      <c r="O102" s="33">
        <f t="shared" si="107"/>
        <v>2</v>
      </c>
      <c r="P102" s="33">
        <f t="shared" si="108"/>
        <v>1</v>
      </c>
      <c r="Q102" s="34">
        <f t="shared" si="109"/>
        <v>0</v>
      </c>
      <c r="R102" s="33">
        <f t="shared" si="110"/>
        <v>1</v>
      </c>
      <c r="S102" s="34">
        <f t="shared" si="111"/>
        <v>5000</v>
      </c>
      <c r="T102" s="34">
        <f t="shared" si="112"/>
        <v>1</v>
      </c>
      <c r="U102" s="34">
        <f t="shared" si="113"/>
        <v>0</v>
      </c>
      <c r="V102" s="34">
        <f t="shared" si="114"/>
        <v>1</v>
      </c>
      <c r="W102" s="34" t="str">
        <f t="shared" si="115"/>
        <v>FEW</v>
      </c>
      <c r="X102" s="34">
        <f t="shared" si="116"/>
        <v>0</v>
      </c>
      <c r="Y102" s="34">
        <f t="shared" si="117"/>
        <v>800</v>
      </c>
      <c r="Z102" s="34">
        <f t="shared" si="118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t="s">
        <v>729</v>
      </c>
      <c r="M103" s="32">
        <f t="shared" si="105"/>
        <v>0</v>
      </c>
      <c r="N103" s="33">
        <f t="shared" si="106"/>
        <v>1</v>
      </c>
      <c r="O103" s="33">
        <f t="shared" si="107"/>
        <v>0</v>
      </c>
      <c r="P103" s="33">
        <f t="shared" si="108"/>
        <v>1</v>
      </c>
      <c r="Q103" s="34">
        <f t="shared" si="109"/>
        <v>0</v>
      </c>
      <c r="R103" s="33">
        <f t="shared" si="110"/>
        <v>1</v>
      </c>
      <c r="S103" s="34">
        <f t="shared" si="111"/>
        <v>8000</v>
      </c>
      <c r="T103" s="34">
        <f t="shared" si="112"/>
        <v>1</v>
      </c>
      <c r="U103" s="34">
        <f t="shared" si="113"/>
        <v>0</v>
      </c>
      <c r="V103" s="34">
        <f t="shared" si="114"/>
        <v>1</v>
      </c>
      <c r="W103" s="34" t="str">
        <f t="shared" si="115"/>
        <v>FEW</v>
      </c>
      <c r="X103" s="34">
        <f t="shared" si="116"/>
        <v>0</v>
      </c>
      <c r="Y103" s="34">
        <f t="shared" si="117"/>
        <v>800</v>
      </c>
      <c r="Z103" s="34">
        <f t="shared" si="118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t="s">
        <v>728</v>
      </c>
      <c r="M104" s="32">
        <f t="shared" si="105"/>
        <v>100</v>
      </c>
      <c r="N104" s="33">
        <f t="shared" si="106"/>
        <v>1</v>
      </c>
      <c r="O104" s="33">
        <f t="shared" si="107"/>
        <v>2</v>
      </c>
      <c r="P104" s="33">
        <f t="shared" si="108"/>
        <v>1</v>
      </c>
      <c r="Q104" s="34">
        <f t="shared" si="109"/>
        <v>0</v>
      </c>
      <c r="R104" s="33">
        <f t="shared" si="110"/>
        <v>1</v>
      </c>
      <c r="S104" s="34">
        <f t="shared" si="111"/>
        <v>8000</v>
      </c>
      <c r="T104" s="34">
        <f t="shared" si="112"/>
        <v>1</v>
      </c>
      <c r="U104" s="34">
        <f t="shared" si="113"/>
        <v>0</v>
      </c>
      <c r="V104" s="34">
        <f t="shared" si="114"/>
        <v>1</v>
      </c>
      <c r="W104" s="34" t="str">
        <f t="shared" si="115"/>
        <v>SCT</v>
      </c>
      <c r="X104" s="34">
        <f t="shared" si="116"/>
        <v>0</v>
      </c>
      <c r="Y104" s="34">
        <f t="shared" si="117"/>
        <v>900</v>
      </c>
      <c r="Z104" s="34">
        <f t="shared" si="118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 ht="20.25">
      <c r="A107" s="25"/>
      <c r="B107" s="25"/>
      <c r="C107" s="41"/>
      <c r="D107" s="56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 ht="20.25">
      <c r="A108" s="25"/>
      <c r="B108" s="25"/>
      <c r="C108" s="25"/>
      <c r="D108" s="56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11</v>
      </c>
      <c r="W109" s="25"/>
      <c r="X109" s="25">
        <f>SUM(X93:X104)</f>
        <v>7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11</v>
      </c>
      <c r="W110" s="25"/>
      <c r="X110" s="25">
        <f>SUMIF($C93:$C104,"GENERAL",X93:X104)</f>
        <v>7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91.666666666666657</v>
      </c>
      <c r="W114" s="38"/>
      <c r="X114" s="38">
        <f>(SUM(X110:X113)/COUNTA(X93:X104))*100</f>
        <v>58.333333333333336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F5022-E6A6-C74E-B776-91B786FE6F09}">
  <sheetPr>
    <tabColor theme="0"/>
  </sheetPr>
  <dimension ref="A1:AE115"/>
  <sheetViews>
    <sheetView topLeftCell="A49" zoomScale="85" zoomScaleNormal="85" workbookViewId="0">
      <selection activeCell="L80" sqref="L80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736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26</v>
      </c>
      <c r="B7" s="28">
        <v>0</v>
      </c>
      <c r="C7" s="51" t="s">
        <v>39</v>
      </c>
      <c r="D7" s="52"/>
      <c r="E7" s="51">
        <v>110</v>
      </c>
      <c r="F7" s="51">
        <v>3</v>
      </c>
      <c r="G7" s="51">
        <v>0</v>
      </c>
      <c r="H7" s="51">
        <v>8000</v>
      </c>
      <c r="I7" s="51">
        <v>0</v>
      </c>
      <c r="J7" s="51" t="s">
        <v>58</v>
      </c>
      <c r="K7" s="51">
        <v>900</v>
      </c>
      <c r="L7" s="1" t="s">
        <v>733</v>
      </c>
      <c r="M7" s="32">
        <f t="shared" ref="M7:M12" si="0">IF(ISNUMBER(VALUE(FIND("VRB",L7))),999,VALUE(MID(L7,20,3)))</f>
        <v>270</v>
      </c>
      <c r="N7" s="33">
        <f t="shared" ref="N7:N12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2" si="2">VALUE(MID(L7,23,2))</f>
        <v>3</v>
      </c>
      <c r="P7" s="33">
        <f t="shared" ref="P7:P12" si="3">IF(ABS(O7-F7)&lt;11,1,0)</f>
        <v>1</v>
      </c>
      <c r="Q7" s="34">
        <f t="shared" ref="Q7:Q12" si="4">IF(MID(L7,25,1)="G","GUST",0)</f>
        <v>0</v>
      </c>
      <c r="R7" s="33">
        <f t="shared" ref="R7:R12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2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2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FEW</v>
      </c>
      <c r="X7" s="34">
        <f t="shared" ref="X7:X12" si="10">IF(OR(AND(OR(J7="SKC",J7="FEW",J7="SCT"),OR(W7="SKC",W7="FEW",W7="SCT")),(AND(OR(J7="BKN",J7="OVC"),OR(W7="BKN",W7="OVC")))),1,0)</f>
        <v>0</v>
      </c>
      <c r="Y7" s="34">
        <f t="shared" ref="Y7:Y12" si="11">IF(ISNUMBER(VALUE(FIND("CAVOK",L7))),9999,IF(ISNUMBER(VALUE(FIND("NSC",L7))),9999,(MID(L7,(FIND(W7,L7)+4),2))*100))</f>
        <v>800</v>
      </c>
      <c r="Z7" s="34">
        <f t="shared" ref="Z7:Z12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51" t="s">
        <v>39</v>
      </c>
      <c r="D8" s="52"/>
      <c r="E8" s="51">
        <v>110</v>
      </c>
      <c r="F8" s="51">
        <v>3</v>
      </c>
      <c r="G8" s="51">
        <v>0</v>
      </c>
      <c r="H8" s="51">
        <v>8000</v>
      </c>
      <c r="I8" s="51">
        <v>0</v>
      </c>
      <c r="J8" s="51" t="s">
        <v>58</v>
      </c>
      <c r="K8" s="51">
        <v>900</v>
      </c>
      <c r="L8" s="1" t="s">
        <v>732</v>
      </c>
      <c r="M8" s="32">
        <f t="shared" si="0"/>
        <v>240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FEW</v>
      </c>
      <c r="X8" s="34">
        <f t="shared" si="10"/>
        <v>0</v>
      </c>
      <c r="Y8" s="34">
        <f t="shared" si="11"/>
        <v>800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51" t="s">
        <v>39</v>
      </c>
      <c r="D9" s="52"/>
      <c r="E9" s="51">
        <v>110</v>
      </c>
      <c r="F9" s="51">
        <v>3</v>
      </c>
      <c r="G9" s="51">
        <v>0</v>
      </c>
      <c r="H9" s="51">
        <v>8000</v>
      </c>
      <c r="I9" s="51">
        <v>0</v>
      </c>
      <c r="J9" s="51" t="s">
        <v>58</v>
      </c>
      <c r="K9" s="51">
        <v>900</v>
      </c>
      <c r="L9" s="1" t="s">
        <v>731</v>
      </c>
      <c r="M9" s="32">
        <f t="shared" si="0"/>
        <v>290</v>
      </c>
      <c r="N9" s="33">
        <f t="shared" si="1"/>
        <v>1</v>
      </c>
      <c r="O9" s="33">
        <f t="shared" si="2"/>
        <v>3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51" t="s">
        <v>39</v>
      </c>
      <c r="D10" s="52"/>
      <c r="E10" s="51">
        <v>110</v>
      </c>
      <c r="F10" s="51">
        <v>3</v>
      </c>
      <c r="G10" s="51">
        <v>0</v>
      </c>
      <c r="H10" s="51">
        <v>8000</v>
      </c>
      <c r="I10" s="51">
        <v>0</v>
      </c>
      <c r="J10" s="51" t="s">
        <v>58</v>
      </c>
      <c r="K10" s="51">
        <v>900</v>
      </c>
      <c r="L10" s="1" t="s">
        <v>730</v>
      </c>
      <c r="M10" s="32">
        <f t="shared" si="0"/>
        <v>100</v>
      </c>
      <c r="N10" s="33">
        <f t="shared" si="1"/>
        <v>1</v>
      </c>
      <c r="O10" s="33">
        <f t="shared" si="2"/>
        <v>2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5000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FEW</v>
      </c>
      <c r="X10" s="34">
        <f t="shared" si="10"/>
        <v>0</v>
      </c>
      <c r="Y10" s="34">
        <f t="shared" si="11"/>
        <v>800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51" t="s">
        <v>39</v>
      </c>
      <c r="D11" s="52"/>
      <c r="E11" s="51">
        <v>110</v>
      </c>
      <c r="F11" s="51">
        <v>3</v>
      </c>
      <c r="G11" s="51">
        <v>0</v>
      </c>
      <c r="H11" s="51">
        <v>8000</v>
      </c>
      <c r="I11" s="51">
        <v>0</v>
      </c>
      <c r="J11" s="51" t="s">
        <v>58</v>
      </c>
      <c r="K11" s="51">
        <v>900</v>
      </c>
      <c r="L11" s="1" t="s">
        <v>729</v>
      </c>
      <c r="M11" s="32">
        <f t="shared" si="0"/>
        <v>0</v>
      </c>
      <c r="N11" s="33">
        <f t="shared" si="1"/>
        <v>1</v>
      </c>
      <c r="O11" s="33">
        <f t="shared" si="2"/>
        <v>0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FEW</v>
      </c>
      <c r="X11" s="34">
        <f t="shared" si="10"/>
        <v>0</v>
      </c>
      <c r="Y11" s="34">
        <f t="shared" si="11"/>
        <v>800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51" t="s">
        <v>40</v>
      </c>
      <c r="D12" s="52"/>
      <c r="E12" s="51">
        <v>110</v>
      </c>
      <c r="F12" s="51">
        <v>3</v>
      </c>
      <c r="G12" s="51">
        <v>0</v>
      </c>
      <c r="H12" s="51">
        <v>8000</v>
      </c>
      <c r="I12" s="51">
        <v>0</v>
      </c>
      <c r="J12" s="51" t="s">
        <v>58</v>
      </c>
      <c r="K12" s="51">
        <v>900</v>
      </c>
      <c r="L12" s="1" t="s">
        <v>728</v>
      </c>
      <c r="M12" s="32">
        <f t="shared" si="0"/>
        <v>100</v>
      </c>
      <c r="N12" s="33">
        <f t="shared" si="1"/>
        <v>1</v>
      </c>
      <c r="O12" s="33">
        <f t="shared" si="2"/>
        <v>2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SCT</v>
      </c>
      <c r="X12" s="34">
        <f t="shared" si="10"/>
        <v>0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51" t="s">
        <v>40</v>
      </c>
      <c r="D13" s="52"/>
      <c r="E13" s="51">
        <v>110</v>
      </c>
      <c r="F13" s="51">
        <v>3</v>
      </c>
      <c r="G13" s="51">
        <v>0</v>
      </c>
      <c r="H13" s="51">
        <v>8000</v>
      </c>
      <c r="I13" s="51">
        <v>0</v>
      </c>
      <c r="J13" s="51" t="s">
        <v>58</v>
      </c>
      <c r="K13" s="51">
        <v>900</v>
      </c>
      <c r="L13" s="1" t="s">
        <v>738</v>
      </c>
      <c r="M13" s="32">
        <f t="shared" ref="M13" si="14">IF(ISNUMBER(VALUE(FIND("VRB",L13))),999,VALUE(MID(L13,20,3)))</f>
        <v>120</v>
      </c>
      <c r="N13" s="33">
        <f t="shared" ref="N13" si="15">IF(OR(ABS(E13-M13)&lt;61,AND(ABS(E13-M13)&gt;60,O13&lt;10),E13=M13,AND(E13=999,ISNUMBER(VALUE(FIND("TS",L13)))),AND(E13=999,ISNUMBER(VALUE(FIND("CB",L13)))),AND(E13=999,O13&lt;10),AND(F13&lt;10,M13=999,O13&lt;10)),1,0)</f>
        <v>1</v>
      </c>
      <c r="O13" s="33">
        <f t="shared" ref="O13" si="16">VALUE(MID(L13,23,2))</f>
        <v>2</v>
      </c>
      <c r="P13" s="33">
        <f t="shared" ref="P13" si="17">IF(ABS(O13-F13)&lt;11,1,0)</f>
        <v>1</v>
      </c>
      <c r="Q13" s="34">
        <f t="shared" ref="Q13" si="18">IF(MID(L13,25,1)="G","GUST",0)</f>
        <v>0</v>
      </c>
      <c r="R13" s="33">
        <f t="shared" ref="R13" si="19">IF(G13=Q13,1,0)</f>
        <v>1</v>
      </c>
      <c r="S13" s="34">
        <f t="shared" si="13"/>
        <v>8000</v>
      </c>
      <c r="T13" s="34">
        <f t="shared" si="6"/>
        <v>1</v>
      </c>
      <c r="U13" s="34">
        <f>IF(AND(IFERROR(FIND("RA",#REF!),0)&gt;0, IFERROR(FIND("RA",#REF!),0)&lt;38),"RA",0)</f>
        <v>0</v>
      </c>
      <c r="V13" s="34">
        <f t="shared" si="8"/>
        <v>1</v>
      </c>
      <c r="W13" s="34" t="str">
        <f t="shared" ref="W13:W18" si="20">IF(ISNUMBER(VALUE(FIND("FEW",L13))),"FEW",IF(ISNUMBER(VALUE(FIND("SCT",L13))),"SCT",IF(ISNUMBER(VALUE(FIND("BKN",L13))),"BKN",IF(ISNUMBER(VALUE(FIND("OVC",L13))),"OVC",IF(ISNUMBER(VALUE(FIND("SKC",L13))),"SKC",IF(ISNUMBER(VALUE(FIND("CAVOK",L13))),"SKC",IF(ISNUMBER(VALUE(FIND("NSC",L13))),"SKC","EROR")))))))</f>
        <v>SCT</v>
      </c>
      <c r="X13" s="34">
        <f t="shared" ref="X13:X18" si="21">IF(OR(AND(OR(J13="SKC",J13="FEW",J13="SCT"),OR(W13="SKC",W13="FEW",W13="SCT")),(AND(OR(J13="BKN",J13="OVC"),OR(W13="BKN",W13="OVC")))),1,0)</f>
        <v>0</v>
      </c>
      <c r="Y13" s="34">
        <f t="shared" ref="Y13:Y18" si="22">IF(ISNUMBER(VALUE(FIND("CAVOK",L13))),9999,IF(ISNUMBER(VALUE(FIND("NSC",L13))),9999,(MID(L13,(FIND(W13,L13)+4),2))*100))</f>
        <v>900</v>
      </c>
      <c r="Z13" s="34">
        <f t="shared" ref="Z13:Z18" si="23">IF(AND(Y13&lt;1001,ABS(K13-Y13)&lt;101),1,IF(AND(Y13&gt;1000,ABS(Y13-K13)/K13&lt;0.30005),1,0))</f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51" t="s">
        <v>40</v>
      </c>
      <c r="D14" s="52"/>
      <c r="E14" s="51">
        <v>110</v>
      </c>
      <c r="F14" s="51">
        <v>3</v>
      </c>
      <c r="G14" s="51">
        <v>0</v>
      </c>
      <c r="H14" s="51">
        <v>8000</v>
      </c>
      <c r="I14" s="51">
        <v>0</v>
      </c>
      <c r="J14" s="51" t="s">
        <v>58</v>
      </c>
      <c r="K14" s="51">
        <v>900</v>
      </c>
      <c r="L14" s="1" t="s">
        <v>739</v>
      </c>
      <c r="M14" s="32">
        <f t="shared" ref="M14:M18" si="24">IF(ISNUMBER(VALUE(FIND("VRB",L14))),999,VALUE(MID(L14,20,3)))</f>
        <v>0</v>
      </c>
      <c r="N14" s="33">
        <f t="shared" ref="N14:N18" si="25">IF(OR(ABS(E14-M14)&lt;61,AND(ABS(E14-M14)&gt;60,O14&lt;10),E14=M14,AND(E14=999,ISNUMBER(VALUE(FIND("TS",L14)))),AND(E14=999,ISNUMBER(VALUE(FIND("CB",L14)))),AND(E14=999,O14&lt;10),AND(F14&lt;10,M14=999,O14&lt;10)),1,0)</f>
        <v>1</v>
      </c>
      <c r="O14" s="33">
        <f t="shared" ref="O14:O18" si="26">VALUE(MID(L14,23,2))</f>
        <v>0</v>
      </c>
      <c r="P14" s="33">
        <f t="shared" ref="P14:P18" si="27">IF(ABS(O14-F14)&lt;11,1,0)</f>
        <v>1</v>
      </c>
      <c r="Q14" s="34">
        <f t="shared" ref="Q14:Q18" si="28">IF(MID(L14,25,1)="G","GUST",0)</f>
        <v>0</v>
      </c>
      <c r="R14" s="33">
        <f t="shared" ref="R14:R18" si="29">IF(G14=Q14,1,0)</f>
        <v>1</v>
      </c>
      <c r="S14" s="34">
        <f t="shared" si="13"/>
        <v>5000</v>
      </c>
      <c r="T14" s="34">
        <f t="shared" si="6"/>
        <v>1</v>
      </c>
      <c r="U14" s="34">
        <f>IF(AND(IFERROR(FIND("RA",#REF!),0)&gt;0, IFERROR(FIND("RA",#REF!),0)&lt;38),"RA",0)</f>
        <v>0</v>
      </c>
      <c r="V14" s="34">
        <f t="shared" si="8"/>
        <v>1</v>
      </c>
      <c r="W14" s="34" t="str">
        <f t="shared" si="20"/>
        <v>SCT</v>
      </c>
      <c r="X14" s="34">
        <f t="shared" si="21"/>
        <v>0</v>
      </c>
      <c r="Y14" s="34">
        <f t="shared" si="22"/>
        <v>900</v>
      </c>
      <c r="Z14" s="34">
        <f t="shared" si="23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51" t="s">
        <v>40</v>
      </c>
      <c r="D15" s="52"/>
      <c r="E15" s="51">
        <v>110</v>
      </c>
      <c r="F15" s="51">
        <v>3</v>
      </c>
      <c r="G15" s="51">
        <v>0</v>
      </c>
      <c r="H15" s="51">
        <v>8000</v>
      </c>
      <c r="I15" s="51">
        <v>0</v>
      </c>
      <c r="J15" s="51" t="s">
        <v>58</v>
      </c>
      <c r="K15" s="51">
        <v>900</v>
      </c>
      <c r="L15" s="1" t="s">
        <v>771</v>
      </c>
      <c r="M15" s="32">
        <f t="shared" si="24"/>
        <v>0</v>
      </c>
      <c r="N15" s="33">
        <f t="shared" si="25"/>
        <v>1</v>
      </c>
      <c r="O15" s="33">
        <f t="shared" si="26"/>
        <v>0</v>
      </c>
      <c r="P15" s="33">
        <f t="shared" si="27"/>
        <v>1</v>
      </c>
      <c r="Q15" s="34">
        <f t="shared" si="28"/>
        <v>0</v>
      </c>
      <c r="R15" s="33">
        <f t="shared" si="29"/>
        <v>1</v>
      </c>
      <c r="S15" s="34">
        <f t="shared" si="13"/>
        <v>8000</v>
      </c>
      <c r="T15" s="34">
        <f t="shared" si="6"/>
        <v>1</v>
      </c>
      <c r="U15" s="34">
        <f>IF(AND(IFERROR(FIND("RA",#REF!),0)&gt;0, IFERROR(FIND("RA",#REF!),0)&lt;38),"RA",0)</f>
        <v>0</v>
      </c>
      <c r="V15" s="34">
        <f t="shared" si="8"/>
        <v>1</v>
      </c>
      <c r="W15" s="34" t="str">
        <f t="shared" si="20"/>
        <v>SCT</v>
      </c>
      <c r="X15" s="34">
        <f t="shared" si="21"/>
        <v>0</v>
      </c>
      <c r="Y15" s="34">
        <f t="shared" si="22"/>
        <v>900</v>
      </c>
      <c r="Z15" s="34">
        <f t="shared" si="23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51" t="s">
        <v>39</v>
      </c>
      <c r="D16" s="52"/>
      <c r="E16" s="51">
        <v>110</v>
      </c>
      <c r="F16" s="51">
        <v>3</v>
      </c>
      <c r="G16" s="51">
        <v>0</v>
      </c>
      <c r="H16" s="51">
        <v>8000</v>
      </c>
      <c r="I16" s="51">
        <v>0</v>
      </c>
      <c r="J16" s="51" t="s">
        <v>58</v>
      </c>
      <c r="K16" s="51">
        <v>900</v>
      </c>
      <c r="L16" s="1" t="s">
        <v>772</v>
      </c>
      <c r="M16" s="32">
        <f t="shared" si="24"/>
        <v>0</v>
      </c>
      <c r="N16" s="33">
        <f t="shared" si="25"/>
        <v>1</v>
      </c>
      <c r="O16" s="33">
        <f t="shared" si="26"/>
        <v>0</v>
      </c>
      <c r="P16" s="33">
        <f t="shared" si="27"/>
        <v>1</v>
      </c>
      <c r="Q16" s="34">
        <f t="shared" si="28"/>
        <v>0</v>
      </c>
      <c r="R16" s="33">
        <f t="shared" si="29"/>
        <v>1</v>
      </c>
      <c r="S16" s="34">
        <f t="shared" si="13"/>
        <v>8000</v>
      </c>
      <c r="T16" s="34">
        <f t="shared" si="6"/>
        <v>1</v>
      </c>
      <c r="U16" s="34">
        <f>IF(AND(IFERROR(FIND("RA",#REF!),0)&gt;0, IFERROR(FIND("RA",#REF!),0)&lt;38),"RA",0)</f>
        <v>0</v>
      </c>
      <c r="V16" s="34">
        <f t="shared" si="8"/>
        <v>1</v>
      </c>
      <c r="W16" s="34" t="str">
        <f t="shared" si="20"/>
        <v>SCT</v>
      </c>
      <c r="X16" s="34">
        <f t="shared" si="21"/>
        <v>0</v>
      </c>
      <c r="Y16" s="34">
        <f t="shared" si="22"/>
        <v>900</v>
      </c>
      <c r="Z16" s="34">
        <f t="shared" si="23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51" t="s">
        <v>39</v>
      </c>
      <c r="D17" s="52"/>
      <c r="E17" s="51">
        <v>110</v>
      </c>
      <c r="F17" s="51">
        <v>3</v>
      </c>
      <c r="G17" s="51">
        <v>0</v>
      </c>
      <c r="H17" s="51">
        <v>8000</v>
      </c>
      <c r="I17" s="51">
        <v>0</v>
      </c>
      <c r="J17" s="51" t="s">
        <v>58</v>
      </c>
      <c r="K17" s="51">
        <v>900</v>
      </c>
      <c r="L17" s="1" t="s">
        <v>773</v>
      </c>
      <c r="M17" s="32">
        <f t="shared" si="24"/>
        <v>0</v>
      </c>
      <c r="N17" s="33">
        <f t="shared" si="25"/>
        <v>1</v>
      </c>
      <c r="O17" s="33">
        <f t="shared" si="26"/>
        <v>0</v>
      </c>
      <c r="P17" s="33">
        <f t="shared" si="27"/>
        <v>1</v>
      </c>
      <c r="Q17" s="34">
        <f t="shared" si="28"/>
        <v>0</v>
      </c>
      <c r="R17" s="33">
        <f t="shared" si="29"/>
        <v>1</v>
      </c>
      <c r="S17" s="34">
        <f t="shared" si="13"/>
        <v>8000</v>
      </c>
      <c r="T17" s="34">
        <f t="shared" si="6"/>
        <v>1</v>
      </c>
      <c r="U17" s="34">
        <f>IF(AND(IFERROR(FIND("RA",#REF!),0)&gt;0, IFERROR(FIND("RA",#REF!),0)&lt;38),"RA",0)</f>
        <v>0</v>
      </c>
      <c r="V17" s="34">
        <f t="shared" si="8"/>
        <v>1</v>
      </c>
      <c r="W17" s="34" t="str">
        <f t="shared" si="20"/>
        <v>SCT</v>
      </c>
      <c r="X17" s="34">
        <f t="shared" si="21"/>
        <v>0</v>
      </c>
      <c r="Y17" s="34">
        <f t="shared" si="22"/>
        <v>900</v>
      </c>
      <c r="Z17" s="34">
        <f t="shared" si="23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51" t="s">
        <v>39</v>
      </c>
      <c r="D18" s="52"/>
      <c r="E18" s="51">
        <v>110</v>
      </c>
      <c r="F18" s="51">
        <v>3</v>
      </c>
      <c r="G18" s="51">
        <v>0</v>
      </c>
      <c r="H18" s="51">
        <v>8000</v>
      </c>
      <c r="I18" s="51">
        <v>0</v>
      </c>
      <c r="J18" s="51" t="s">
        <v>58</v>
      </c>
      <c r="K18" s="51">
        <v>900</v>
      </c>
      <c r="L18" s="1" t="s">
        <v>774</v>
      </c>
      <c r="M18" s="32">
        <f t="shared" si="24"/>
        <v>0</v>
      </c>
      <c r="N18" s="33">
        <f t="shared" si="25"/>
        <v>1</v>
      </c>
      <c r="O18" s="33">
        <f t="shared" si="26"/>
        <v>0</v>
      </c>
      <c r="P18" s="33">
        <f t="shared" si="27"/>
        <v>1</v>
      </c>
      <c r="Q18" s="34">
        <f t="shared" si="28"/>
        <v>0</v>
      </c>
      <c r="R18" s="33">
        <f t="shared" si="29"/>
        <v>1</v>
      </c>
      <c r="S18" s="34">
        <f t="shared" si="13"/>
        <v>8000</v>
      </c>
      <c r="T18" s="34">
        <f t="shared" si="6"/>
        <v>1</v>
      </c>
      <c r="U18" s="34">
        <f>IF(AND(IFERROR(FIND("RA",#REF!),0)&gt;0, IFERROR(FIND("RA",#REF!),0)&lt;38),"RA",0)</f>
        <v>0</v>
      </c>
      <c r="V18" s="34">
        <f t="shared" si="8"/>
        <v>1</v>
      </c>
      <c r="W18" s="34" t="str">
        <f t="shared" si="20"/>
        <v>BKN</v>
      </c>
      <c r="X18" s="34">
        <f t="shared" si="21"/>
        <v>1</v>
      </c>
      <c r="Y18" s="34">
        <f t="shared" si="22"/>
        <v>900</v>
      </c>
      <c r="Z18" s="34">
        <f t="shared" si="23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 ht="20.25">
      <c r="A21" s="25"/>
      <c r="B21" s="25"/>
      <c r="C21" s="41"/>
      <c r="D21" s="56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 ht="20.25">
      <c r="A22" s="25"/>
      <c r="B22" s="25"/>
      <c r="C22" s="25"/>
      <c r="D22" s="56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12</v>
      </c>
      <c r="W23" s="25"/>
      <c r="X23" s="25">
        <f>SUM(X7:X18)</f>
        <v>2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8</v>
      </c>
      <c r="O24" s="25"/>
      <c r="P24" s="25">
        <f>SUMIF($C7:$C18,"GENERAL",P7:P18)</f>
        <v>8</v>
      </c>
      <c r="Q24" s="25"/>
      <c r="R24" s="25">
        <f>SUMIF($C7:$C18,"GENERAL",R7:R18)</f>
        <v>8</v>
      </c>
      <c r="S24" s="25"/>
      <c r="T24" s="25">
        <f>SUMIF($C7:$C18,"GENERAL",T7:T18)</f>
        <v>8</v>
      </c>
      <c r="U24" s="25"/>
      <c r="V24" s="25">
        <f>SUMIF($C7:$C18,"GENERAL",V7:V18)</f>
        <v>8</v>
      </c>
      <c r="W24" s="25"/>
      <c r="X24" s="25">
        <f>SUMIF($C7:$C18,"GENERAL",X7:X18)</f>
        <v>2</v>
      </c>
      <c r="Y24" s="25"/>
      <c r="Z24" s="25">
        <f>SUMIF($C7:$C18,"GENERAL",Z7:Z18)</f>
        <v>8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4</v>
      </c>
      <c r="M27" s="42">
        <f>SUMIF($C7:$C18,"TEMPO",N7:N18)</f>
        <v>4</v>
      </c>
      <c r="N27" s="42">
        <f>M27</f>
        <v>4</v>
      </c>
      <c r="O27" s="42">
        <f>SUMIF($C7:$C18,"TEMPO",P7:P18)</f>
        <v>4</v>
      </c>
      <c r="P27" s="42">
        <f>O27</f>
        <v>4</v>
      </c>
      <c r="Q27" s="42">
        <f>SUMIF($C7:$C18,"TEMPO",R7:R18)</f>
        <v>4</v>
      </c>
      <c r="R27" s="42">
        <f>Q27</f>
        <v>4</v>
      </c>
      <c r="S27" s="42">
        <f>SUMIF($C7:$C18,"TEMPO",T7:T18)</f>
        <v>4</v>
      </c>
      <c r="T27" s="42">
        <f>S27</f>
        <v>4</v>
      </c>
      <c r="U27" s="42">
        <f>SUMIF($C7:$C18,"TEMPO",V7:V18)</f>
        <v>4</v>
      </c>
      <c r="V27" s="42">
        <f>U27</f>
        <v>4</v>
      </c>
      <c r="W27" s="42">
        <f>SUMIF($C7:$C18,"TEMPO",X7:X18)</f>
        <v>0</v>
      </c>
      <c r="X27" s="42">
        <f>W27</f>
        <v>0</v>
      </c>
      <c r="Y27" s="42">
        <f>SUMIF($C7:$C18,"TEMPO",Z7:Z18)</f>
        <v>4</v>
      </c>
      <c r="Z27" s="42">
        <f>Y27</f>
        <v>4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100</v>
      </c>
      <c r="W28" s="38"/>
      <c r="X28" s="38">
        <f>(SUM(X24:X27)/COUNTA(X7:X18))*100</f>
        <v>16.666666666666664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737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26</v>
      </c>
      <c r="B36" s="28">
        <v>0.25</v>
      </c>
      <c r="C36" s="51" t="s">
        <v>39</v>
      </c>
      <c r="D36" s="52"/>
      <c r="E36" s="51">
        <v>130</v>
      </c>
      <c r="F36" s="51">
        <v>3</v>
      </c>
      <c r="G36" s="51">
        <v>0</v>
      </c>
      <c r="H36" s="51">
        <v>8000</v>
      </c>
      <c r="I36" s="51">
        <v>0</v>
      </c>
      <c r="J36" s="51" t="s">
        <v>53</v>
      </c>
      <c r="K36" s="51">
        <v>900</v>
      </c>
      <c r="L36" s="1" t="s">
        <v>738</v>
      </c>
      <c r="M36" s="32">
        <f t="shared" ref="M36:M41" si="30">IF(ISNUMBER(VALUE(FIND("VRB",L36))),999,VALUE(MID(L36,20,3)))</f>
        <v>120</v>
      </c>
      <c r="N36" s="33">
        <f t="shared" ref="N36:N41" si="31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32">VALUE(MID(L36,23,2))</f>
        <v>2</v>
      </c>
      <c r="P36" s="33">
        <f t="shared" ref="P36:P41" si="33">IF(ABS(O36-F36)&lt;11,1,0)</f>
        <v>1</v>
      </c>
      <c r="Q36" s="34">
        <f t="shared" ref="Q36:Q41" si="34">IF(MID(L36,25,1)="G","GUST",0)</f>
        <v>0</v>
      </c>
      <c r="R36" s="33">
        <f t="shared" ref="R36:R41" si="35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36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7">IF(AND(IFERROR(FIND("RA",L36),0)&gt;0, IFERROR(FIND("RA",L36),0)&lt;38),"RA",0)</f>
        <v>0</v>
      </c>
      <c r="V36" s="34">
        <f t="shared" ref="V36:V47" si="38">IF(U36=I36,1,0)</f>
        <v>1</v>
      </c>
      <c r="W36" s="34" t="str">
        <f t="shared" ref="W36:W41" si="39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SCT</v>
      </c>
      <c r="X36" s="34">
        <f t="shared" ref="X36:X41" si="40">IF(OR(AND(OR(J36="SKC",J36="FEW",J36="SCT"),OR(W36="SKC",W36="FEW",W36="SCT")),(AND(OR(J36="BKN",J36="OVC"),OR(W36="BKN",W36="OVC")))),1,0)</f>
        <v>1</v>
      </c>
      <c r="Y36" s="34">
        <f t="shared" ref="Y36:Y41" si="41">IF(ISNUMBER(VALUE(FIND("CAVOK",L36))),9999,IF(ISNUMBER(VALUE(FIND("NSC",L36))),9999,(MID(L36,(FIND(W36,L36)+4),2))*100))</f>
        <v>900</v>
      </c>
      <c r="Z36" s="34">
        <f t="shared" ref="Z36:Z41" si="42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51" t="s">
        <v>39</v>
      </c>
      <c r="D37" s="52"/>
      <c r="E37" s="51">
        <v>130</v>
      </c>
      <c r="F37" s="51">
        <v>3</v>
      </c>
      <c r="G37" s="51">
        <v>0</v>
      </c>
      <c r="H37" s="51">
        <v>8000</v>
      </c>
      <c r="I37" s="51">
        <v>0</v>
      </c>
      <c r="J37" s="51" t="s">
        <v>53</v>
      </c>
      <c r="K37" s="51">
        <v>900</v>
      </c>
      <c r="L37" s="1" t="s">
        <v>739</v>
      </c>
      <c r="M37" s="32">
        <f t="shared" si="30"/>
        <v>0</v>
      </c>
      <c r="N37" s="33">
        <f t="shared" si="31"/>
        <v>1</v>
      </c>
      <c r="O37" s="33">
        <f t="shared" si="32"/>
        <v>0</v>
      </c>
      <c r="P37" s="33">
        <f t="shared" si="33"/>
        <v>1</v>
      </c>
      <c r="Q37" s="34">
        <f t="shared" si="34"/>
        <v>0</v>
      </c>
      <c r="R37" s="33">
        <f t="shared" si="35"/>
        <v>1</v>
      </c>
      <c r="S37" s="34">
        <f t="shared" ref="S37:S47" si="43">IF(ISNUMBER(VALUE(MID(L37,(FIND("KT",L37,FIND("Z",L37))+3),4))),VALUE(MID(L37,(FIND("KT",L37,FIND("Z",L37))+3),4)),IF(ISNUMBER(VALUE(MID(L37,(FIND("0V",L37)+6),4))),VALUE(MID(L37,(FIND("0V",L37)+6),4)),9999))</f>
        <v>5000</v>
      </c>
      <c r="T37" s="34">
        <f t="shared" si="36"/>
        <v>1</v>
      </c>
      <c r="U37" s="34">
        <f t="shared" si="37"/>
        <v>0</v>
      </c>
      <c r="V37" s="34">
        <f t="shared" si="38"/>
        <v>1</v>
      </c>
      <c r="W37" s="34" t="str">
        <f t="shared" si="39"/>
        <v>SCT</v>
      </c>
      <c r="X37" s="34">
        <f t="shared" si="40"/>
        <v>1</v>
      </c>
      <c r="Y37" s="34">
        <f t="shared" si="41"/>
        <v>900</v>
      </c>
      <c r="Z37" s="34">
        <f t="shared" si="42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51" t="s">
        <v>40</v>
      </c>
      <c r="D38" s="52"/>
      <c r="E38" s="51">
        <v>130</v>
      </c>
      <c r="F38" s="51">
        <v>3</v>
      </c>
      <c r="G38" s="51">
        <v>0</v>
      </c>
      <c r="H38" s="51">
        <v>8000</v>
      </c>
      <c r="I38" s="51">
        <v>0</v>
      </c>
      <c r="J38" s="51" t="s">
        <v>53</v>
      </c>
      <c r="K38" s="51">
        <v>900</v>
      </c>
      <c r="L38" s="1" t="s">
        <v>771</v>
      </c>
      <c r="M38" s="32">
        <f t="shared" si="30"/>
        <v>0</v>
      </c>
      <c r="N38" s="33">
        <f t="shared" si="31"/>
        <v>1</v>
      </c>
      <c r="O38" s="33">
        <f t="shared" si="32"/>
        <v>0</v>
      </c>
      <c r="P38" s="33">
        <f t="shared" si="33"/>
        <v>1</v>
      </c>
      <c r="Q38" s="34">
        <f t="shared" si="34"/>
        <v>0</v>
      </c>
      <c r="R38" s="33">
        <f t="shared" si="35"/>
        <v>1</v>
      </c>
      <c r="S38" s="34">
        <f t="shared" si="43"/>
        <v>8000</v>
      </c>
      <c r="T38" s="34">
        <f t="shared" si="36"/>
        <v>1</v>
      </c>
      <c r="U38" s="34">
        <f t="shared" si="37"/>
        <v>0</v>
      </c>
      <c r="V38" s="34">
        <f t="shared" si="38"/>
        <v>1</v>
      </c>
      <c r="W38" s="34" t="str">
        <f t="shared" si="39"/>
        <v>SCT</v>
      </c>
      <c r="X38" s="34">
        <f t="shared" si="40"/>
        <v>1</v>
      </c>
      <c r="Y38" s="34">
        <f t="shared" si="41"/>
        <v>900</v>
      </c>
      <c r="Z38" s="34">
        <f t="shared" si="42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51" t="s">
        <v>40</v>
      </c>
      <c r="D39" s="52"/>
      <c r="E39" s="51">
        <v>130</v>
      </c>
      <c r="F39" s="51">
        <v>3</v>
      </c>
      <c r="G39" s="51">
        <v>0</v>
      </c>
      <c r="H39" s="51">
        <v>8000</v>
      </c>
      <c r="I39" s="51">
        <v>0</v>
      </c>
      <c r="J39" s="51" t="s">
        <v>53</v>
      </c>
      <c r="K39" s="51">
        <v>900</v>
      </c>
      <c r="L39" s="1" t="s">
        <v>772</v>
      </c>
      <c r="M39" s="32">
        <f t="shared" si="30"/>
        <v>0</v>
      </c>
      <c r="N39" s="33">
        <f t="shared" si="31"/>
        <v>1</v>
      </c>
      <c r="O39" s="33">
        <f t="shared" si="32"/>
        <v>0</v>
      </c>
      <c r="P39" s="33">
        <f t="shared" si="33"/>
        <v>1</v>
      </c>
      <c r="Q39" s="34">
        <f t="shared" si="34"/>
        <v>0</v>
      </c>
      <c r="R39" s="33">
        <f t="shared" si="35"/>
        <v>1</v>
      </c>
      <c r="S39" s="34">
        <f t="shared" si="43"/>
        <v>8000</v>
      </c>
      <c r="T39" s="34">
        <f t="shared" si="36"/>
        <v>1</v>
      </c>
      <c r="U39" s="34">
        <f t="shared" si="37"/>
        <v>0</v>
      </c>
      <c r="V39" s="34">
        <f t="shared" si="38"/>
        <v>1</v>
      </c>
      <c r="W39" s="34" t="str">
        <f t="shared" si="39"/>
        <v>SCT</v>
      </c>
      <c r="X39" s="34">
        <f t="shared" si="40"/>
        <v>1</v>
      </c>
      <c r="Y39" s="34">
        <f t="shared" si="41"/>
        <v>900</v>
      </c>
      <c r="Z39" s="34">
        <f t="shared" si="42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51" t="s">
        <v>40</v>
      </c>
      <c r="D40" s="52"/>
      <c r="E40" s="51">
        <v>130</v>
      </c>
      <c r="F40" s="51">
        <v>3</v>
      </c>
      <c r="G40" s="51">
        <v>0</v>
      </c>
      <c r="H40" s="51">
        <v>8000</v>
      </c>
      <c r="I40" s="51">
        <v>0</v>
      </c>
      <c r="J40" s="51" t="s">
        <v>53</v>
      </c>
      <c r="K40" s="51">
        <v>900</v>
      </c>
      <c r="L40" s="1" t="s">
        <v>773</v>
      </c>
      <c r="M40" s="32">
        <f t="shared" si="30"/>
        <v>0</v>
      </c>
      <c r="N40" s="33">
        <f t="shared" si="31"/>
        <v>1</v>
      </c>
      <c r="O40" s="33">
        <f t="shared" si="32"/>
        <v>0</v>
      </c>
      <c r="P40" s="33">
        <f t="shared" si="33"/>
        <v>1</v>
      </c>
      <c r="Q40" s="34">
        <f t="shared" si="34"/>
        <v>0</v>
      </c>
      <c r="R40" s="33">
        <f t="shared" si="35"/>
        <v>1</v>
      </c>
      <c r="S40" s="34">
        <f t="shared" si="43"/>
        <v>8000</v>
      </c>
      <c r="T40" s="34">
        <f t="shared" si="36"/>
        <v>1</v>
      </c>
      <c r="U40" s="34">
        <f t="shared" si="37"/>
        <v>0</v>
      </c>
      <c r="V40" s="34">
        <f t="shared" si="38"/>
        <v>1</v>
      </c>
      <c r="W40" s="34" t="str">
        <f t="shared" si="39"/>
        <v>SCT</v>
      </c>
      <c r="X40" s="34">
        <f t="shared" si="40"/>
        <v>1</v>
      </c>
      <c r="Y40" s="34">
        <f t="shared" si="41"/>
        <v>900</v>
      </c>
      <c r="Z40" s="34">
        <f t="shared" si="42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51" t="s">
        <v>39</v>
      </c>
      <c r="D41" s="52"/>
      <c r="E41" s="51">
        <v>130</v>
      </c>
      <c r="F41" s="51">
        <v>3</v>
      </c>
      <c r="G41" s="51">
        <v>0</v>
      </c>
      <c r="H41" s="51">
        <v>4000</v>
      </c>
      <c r="I41" s="51" t="s">
        <v>52</v>
      </c>
      <c r="J41" s="51" t="s">
        <v>51</v>
      </c>
      <c r="K41" s="51">
        <v>800</v>
      </c>
      <c r="L41" s="1" t="s">
        <v>774</v>
      </c>
      <c r="M41" s="32">
        <f t="shared" si="30"/>
        <v>0</v>
      </c>
      <c r="N41" s="33">
        <f t="shared" si="31"/>
        <v>1</v>
      </c>
      <c r="O41" s="33">
        <f t="shared" si="32"/>
        <v>0</v>
      </c>
      <c r="P41" s="33">
        <f t="shared" si="33"/>
        <v>1</v>
      </c>
      <c r="Q41" s="34">
        <f t="shared" si="34"/>
        <v>0</v>
      </c>
      <c r="R41" s="33">
        <f t="shared" si="35"/>
        <v>1</v>
      </c>
      <c r="S41" s="34">
        <f t="shared" si="43"/>
        <v>8000</v>
      </c>
      <c r="T41" s="34">
        <f t="shared" si="36"/>
        <v>0</v>
      </c>
      <c r="U41" s="34">
        <f t="shared" si="37"/>
        <v>0</v>
      </c>
      <c r="V41" s="34">
        <f t="shared" si="38"/>
        <v>0</v>
      </c>
      <c r="W41" s="34" t="str">
        <f t="shared" si="39"/>
        <v>BKN</v>
      </c>
      <c r="X41" s="34">
        <f t="shared" si="40"/>
        <v>0</v>
      </c>
      <c r="Y41" s="34">
        <f t="shared" si="41"/>
        <v>900</v>
      </c>
      <c r="Z41" s="34">
        <f t="shared" si="42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51" t="s">
        <v>39</v>
      </c>
      <c r="D42" s="52"/>
      <c r="E42" s="51">
        <v>130</v>
      </c>
      <c r="F42" s="51">
        <v>3</v>
      </c>
      <c r="G42" s="51">
        <v>0</v>
      </c>
      <c r="H42" s="51">
        <v>4000</v>
      </c>
      <c r="I42" s="51" t="s">
        <v>52</v>
      </c>
      <c r="J42" s="51" t="s">
        <v>51</v>
      </c>
      <c r="K42" s="51">
        <v>800</v>
      </c>
      <c r="L42" s="1" t="s">
        <v>775</v>
      </c>
      <c r="M42" s="32">
        <f t="shared" ref="M42:M47" si="44">IF(ISNUMBER(VALUE(FIND("VRB",L42))),999,VALUE(MID(L42,20,3)))</f>
        <v>0</v>
      </c>
      <c r="N42" s="33">
        <f t="shared" ref="N42:N47" si="45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6">VALUE(MID(L42,23,2))</f>
        <v>0</v>
      </c>
      <c r="P42" s="33">
        <f t="shared" ref="P42:P47" si="47">IF(ABS(O42-F42)&lt;11,1,0)</f>
        <v>1</v>
      </c>
      <c r="Q42" s="34">
        <f t="shared" ref="Q42:Q47" si="48">IF(MID(L42,25,1)="G","GUST",0)</f>
        <v>0</v>
      </c>
      <c r="R42" s="33">
        <f t="shared" ref="R42:R47" si="49">IF(G42=Q42,1,0)</f>
        <v>1</v>
      </c>
      <c r="S42" s="34">
        <f t="shared" si="43"/>
        <v>8000</v>
      </c>
      <c r="T42" s="34">
        <f t="shared" si="36"/>
        <v>0</v>
      </c>
      <c r="U42" s="34">
        <f>IF(AND(IFERROR(FIND("RA",#REF!),0)&gt;0, IFERROR(FIND("RA",#REF!),0)&lt;38),"RA",0)</f>
        <v>0</v>
      </c>
      <c r="V42" s="34">
        <f t="shared" si="38"/>
        <v>0</v>
      </c>
      <c r="W42" s="34" t="str">
        <f t="shared" ref="W42:W47" si="50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SCT</v>
      </c>
      <c r="X42" s="34">
        <f t="shared" ref="X42:X47" si="51">IF(OR(AND(OR(J42="SKC",J42="FEW",J42="SCT"),OR(W42="SKC",W42="FEW",W42="SCT")),(AND(OR(J42="BKN",J42="OVC"),OR(W42="BKN",W42="OVC")))),1,0)</f>
        <v>1</v>
      </c>
      <c r="Y42" s="34">
        <f t="shared" ref="Y42:Y47" si="52">IF(ISNUMBER(VALUE(FIND("CAVOK",L42))),9999,IF(ISNUMBER(VALUE(FIND("NSC",L42))),9999,(MID(L42,(FIND(W42,L42)+4),2))*100))</f>
        <v>800</v>
      </c>
      <c r="Z42" s="34">
        <f t="shared" ref="Z42:Z47" si="53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51" t="s">
        <v>39</v>
      </c>
      <c r="D43" s="52"/>
      <c r="E43" s="51">
        <v>130</v>
      </c>
      <c r="F43" s="51">
        <v>3</v>
      </c>
      <c r="G43" s="51">
        <v>0</v>
      </c>
      <c r="H43" s="51">
        <v>4000</v>
      </c>
      <c r="I43" s="51" t="s">
        <v>52</v>
      </c>
      <c r="J43" s="51" t="s">
        <v>51</v>
      </c>
      <c r="K43" s="51">
        <v>800</v>
      </c>
      <c r="L43" t="s">
        <v>791</v>
      </c>
      <c r="M43" s="32">
        <f>IF(ISNUMBER(VALUE(FIND("VRB",L44))),999,VALUE(MID(L44,20,3)))</f>
        <v>0</v>
      </c>
      <c r="N43" s="33">
        <f>IF(OR(ABS(E43-M43)&lt;61,AND(ABS(E43-M43)&gt;60,O43&lt;10),E43=M43,AND(E43=999,ISNUMBER(VALUE(FIND("TS",L44)))),AND(E43=999,ISNUMBER(VALUE(FIND("CB",L44)))),AND(E43=999,O43&lt;10),AND(F43&lt;10,M43=999,O43&lt;10)),1,0)</f>
        <v>1</v>
      </c>
      <c r="O43" s="33">
        <f>VALUE(MID(L44,23,2))</f>
        <v>0</v>
      </c>
      <c r="P43" s="33">
        <f t="shared" si="47"/>
        <v>1</v>
      </c>
      <c r="Q43" s="34">
        <f>IF(MID(L44,25,1)="G","GUST",0)</f>
        <v>0</v>
      </c>
      <c r="R43" s="33">
        <f t="shared" si="49"/>
        <v>1</v>
      </c>
      <c r="S43" s="34">
        <f>IF(ISNUMBER(VALUE(MID(L44,(FIND("KT",L44,FIND("Z",L44))+3),4))),VALUE(MID(L44,(FIND("KT",L44,FIND("Z",L44))+3),4)),IF(ISNUMBER(VALUE(MID(L44,(FIND("0V",L44)+6),4))),VALUE(MID(L44,(FIND("0V",L44)+6),4)),9999))</f>
        <v>8000</v>
      </c>
      <c r="T43" s="34">
        <f t="shared" si="36"/>
        <v>0</v>
      </c>
      <c r="U43" s="34">
        <f>IF(AND(IFERROR(FIND("RA",#REF!),0)&gt;0, IFERROR(FIND("RA",#REF!),0)&lt;38),"RA",0)</f>
        <v>0</v>
      </c>
      <c r="V43" s="34">
        <f t="shared" si="38"/>
        <v>0</v>
      </c>
      <c r="W43" s="34" t="str">
        <f>IF(ISNUMBER(VALUE(FIND("FEW",L44))),"FEW",IF(ISNUMBER(VALUE(FIND("SCT",L44))),"SCT",IF(ISNUMBER(VALUE(FIND("BKN",L44))),"BKN",IF(ISNUMBER(VALUE(FIND("OVC",L44))),"OVC",IF(ISNUMBER(VALUE(FIND("SKC",L44))),"SKC",IF(ISNUMBER(VALUE(FIND("CAVOK",L44))),"SKC",IF(ISNUMBER(VALUE(FIND("NSC",L44))),"SKC","EROR")))))))</f>
        <v>BKN</v>
      </c>
      <c r="X43" s="34">
        <f t="shared" si="51"/>
        <v>0</v>
      </c>
      <c r="Y43" s="34">
        <f>IF(ISNUMBER(VALUE(FIND("CAVOK",L44))),9999,IF(ISNUMBER(VALUE(FIND("NSC",L44))),9999,(MID(L44,(FIND(W43,L44)+4),2))*100))</f>
        <v>900</v>
      </c>
      <c r="Z43" s="34">
        <f t="shared" si="53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51" t="s">
        <v>39</v>
      </c>
      <c r="D44" s="52"/>
      <c r="E44" s="51">
        <v>130</v>
      </c>
      <c r="F44" s="51">
        <v>3</v>
      </c>
      <c r="G44" s="51">
        <v>0</v>
      </c>
      <c r="H44" s="51">
        <v>4000</v>
      </c>
      <c r="I44" s="51" t="s">
        <v>52</v>
      </c>
      <c r="J44" s="51" t="s">
        <v>51</v>
      </c>
      <c r="K44" s="51">
        <v>800</v>
      </c>
      <c r="L44" s="1" t="s">
        <v>776</v>
      </c>
      <c r="M44" s="32">
        <f t="shared" ref="M44:M45" si="54">IF(ISNUMBER(VALUE(FIND("VRB",L45))),999,VALUE(MID(L45,20,3)))</f>
        <v>0</v>
      </c>
      <c r="N44" s="33">
        <f>IF(OR(ABS(E44-M44)&lt;61,AND(ABS(E44-M44)&gt;60,O44&lt;10),E44=M44,AND(E44=999,ISNUMBER(VALUE(FIND("TS",L45)))),AND(E44=999,ISNUMBER(VALUE(FIND("CB",L45)))),AND(E44=999,O44&lt;10),AND(F44&lt;10,M44=999,O44&lt;10)),1,0)</f>
        <v>1</v>
      </c>
      <c r="O44" s="33">
        <f>VALUE(MID(L45,23,2))</f>
        <v>0</v>
      </c>
      <c r="P44" s="33">
        <f t="shared" si="47"/>
        <v>1</v>
      </c>
      <c r="Q44" s="34">
        <f>IF(MID(L45,25,1)="G","GUST",0)</f>
        <v>0</v>
      </c>
      <c r="R44" s="33">
        <f t="shared" si="49"/>
        <v>1</v>
      </c>
      <c r="S44" s="34">
        <f>IF(ISNUMBER(VALUE(MID(L45,(FIND("KT",L45,FIND("Z",L45))+3),4))),VALUE(MID(L45,(FIND("KT",L45,FIND("Z",L45))+3),4)),IF(ISNUMBER(VALUE(MID(L45,(FIND("0V",L45)+6),4))),VALUE(MID(L45,(FIND("0V",L45)+6),4)),9999))</f>
        <v>8000</v>
      </c>
      <c r="T44" s="34">
        <f t="shared" si="36"/>
        <v>0</v>
      </c>
      <c r="U44" s="34">
        <f>IF(AND(IFERROR(FIND("RA",#REF!),0)&gt;0, IFERROR(FIND("RA",#REF!),0)&lt;38),"RA",0)</f>
        <v>0</v>
      </c>
      <c r="V44" s="34">
        <f t="shared" si="38"/>
        <v>0</v>
      </c>
      <c r="W44" s="34" t="str">
        <f>IF(ISNUMBER(VALUE(FIND("FEW",L45))),"FEW",IF(ISNUMBER(VALUE(FIND("SCT",L45))),"SCT",IF(ISNUMBER(VALUE(FIND("BKN",L45))),"BKN",IF(ISNUMBER(VALUE(FIND("OVC",L45))),"OVC",IF(ISNUMBER(VALUE(FIND("SKC",L45))),"SKC",IF(ISNUMBER(VALUE(FIND("CAVOK",L45))),"SKC",IF(ISNUMBER(VALUE(FIND("NSC",L45))),"SKC","EROR")))))))</f>
        <v>BKN</v>
      </c>
      <c r="X44" s="34">
        <f t="shared" si="51"/>
        <v>0</v>
      </c>
      <c r="Y44" s="34">
        <f>IF(ISNUMBER(VALUE(FIND("CAVOK",L45))),9999,IF(ISNUMBER(VALUE(FIND("NSC",L45))),9999,(MID(L45,(FIND(W44,L45)+4),2))*100))</f>
        <v>900</v>
      </c>
      <c r="Z44" s="34">
        <f t="shared" si="53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51" t="s">
        <v>39</v>
      </c>
      <c r="D45" s="52"/>
      <c r="E45" s="51">
        <v>130</v>
      </c>
      <c r="F45" s="51">
        <v>3</v>
      </c>
      <c r="G45" s="51">
        <v>0</v>
      </c>
      <c r="H45" s="51">
        <v>8000</v>
      </c>
      <c r="I45" s="51">
        <v>0</v>
      </c>
      <c r="J45" s="51" t="s">
        <v>53</v>
      </c>
      <c r="K45" s="51">
        <v>900</v>
      </c>
      <c r="L45" s="1" t="s">
        <v>777</v>
      </c>
      <c r="M45" s="32">
        <f t="shared" si="54"/>
        <v>0</v>
      </c>
      <c r="N45" s="33">
        <f>IF(OR(ABS(E45-M45)&lt;61,AND(ABS(E45-M45)&gt;60,O45&lt;10),E45=M45,AND(E45=999,ISNUMBER(VALUE(FIND("TS",L46)))),AND(E45=999,ISNUMBER(VALUE(FIND("CB",L46)))),AND(E45=999,O45&lt;10),AND(F45&lt;10,M45=999,O45&lt;10)),1,0)</f>
        <v>1</v>
      </c>
      <c r="O45" s="33">
        <f>VALUE(MID(L46,23,2))</f>
        <v>0</v>
      </c>
      <c r="P45" s="33">
        <f t="shared" si="47"/>
        <v>1</v>
      </c>
      <c r="Q45" s="34">
        <f>IF(MID(L46,25,1)="G","GUST",0)</f>
        <v>0</v>
      </c>
      <c r="R45" s="33">
        <f t="shared" si="49"/>
        <v>1</v>
      </c>
      <c r="S45" s="34">
        <f>IF(ISNUMBER(VALUE(MID(L46,(FIND("KT",L46,FIND("Z",L46))+3),4))),VALUE(MID(L46,(FIND("KT",L46,FIND("Z",L46))+3),4)),IF(ISNUMBER(VALUE(MID(L46,(FIND("0V",L46)+6),4))),VALUE(MID(L46,(FIND("0V",L46)+6),4)),9999))</f>
        <v>8000</v>
      </c>
      <c r="T45" s="34">
        <f t="shared" si="36"/>
        <v>1</v>
      </c>
      <c r="U45" s="34">
        <f>IF(AND(IFERROR(FIND("RA",#REF!),0)&gt;0, IFERROR(FIND("RA",#REF!),0)&lt;38),"RA",0)</f>
        <v>0</v>
      </c>
      <c r="V45" s="34">
        <f t="shared" si="38"/>
        <v>1</v>
      </c>
      <c r="W45" s="34" t="str">
        <f>IF(ISNUMBER(VALUE(FIND("FEW",L46))),"FEW",IF(ISNUMBER(VALUE(FIND("SCT",L46))),"SCT",IF(ISNUMBER(VALUE(FIND("BKN",L46))),"BKN",IF(ISNUMBER(VALUE(FIND("OVC",L46))),"OVC",IF(ISNUMBER(VALUE(FIND("SKC",L46))),"SKC",IF(ISNUMBER(VALUE(FIND("CAVOK",L46))),"SKC",IF(ISNUMBER(VALUE(FIND("NSC",L46))),"SKC","EROR")))))))</f>
        <v>BKN</v>
      </c>
      <c r="X45" s="34">
        <f t="shared" si="51"/>
        <v>0</v>
      </c>
      <c r="Y45" s="34">
        <f>IF(ISNUMBER(VALUE(FIND("CAVOK",L46))),9999,IF(ISNUMBER(VALUE(FIND("NSC",L46))),9999,(MID(L46,(FIND(W45,L46)+4),2))*100))</f>
        <v>900</v>
      </c>
      <c r="Z45" s="34">
        <f t="shared" si="53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51" t="s">
        <v>39</v>
      </c>
      <c r="D46" s="52"/>
      <c r="E46" s="51">
        <v>130</v>
      </c>
      <c r="F46" s="51">
        <v>3</v>
      </c>
      <c r="G46" s="51">
        <v>0</v>
      </c>
      <c r="H46" s="51">
        <v>8000</v>
      </c>
      <c r="I46" s="51">
        <v>0</v>
      </c>
      <c r="J46" s="51" t="s">
        <v>53</v>
      </c>
      <c r="K46" s="51">
        <v>900</v>
      </c>
      <c r="L46" s="1" t="s">
        <v>778</v>
      </c>
      <c r="M46" s="32">
        <f t="shared" si="44"/>
        <v>0</v>
      </c>
      <c r="N46" s="33">
        <f t="shared" si="45"/>
        <v>1</v>
      </c>
      <c r="O46" s="33">
        <f t="shared" si="46"/>
        <v>0</v>
      </c>
      <c r="P46" s="33">
        <f t="shared" si="47"/>
        <v>1</v>
      </c>
      <c r="Q46" s="34">
        <f t="shared" si="48"/>
        <v>0</v>
      </c>
      <c r="R46" s="33">
        <f t="shared" si="49"/>
        <v>1</v>
      </c>
      <c r="S46" s="34">
        <f t="shared" si="43"/>
        <v>8000</v>
      </c>
      <c r="T46" s="34">
        <f t="shared" si="36"/>
        <v>1</v>
      </c>
      <c r="U46" s="34">
        <f>IF(AND(IFERROR(FIND("RA",#REF!),0)&gt;0, IFERROR(FIND("RA",#REF!),0)&lt;38),"RA",0)</f>
        <v>0</v>
      </c>
      <c r="V46" s="34">
        <f t="shared" si="38"/>
        <v>1</v>
      </c>
      <c r="W46" s="34" t="str">
        <f t="shared" si="50"/>
        <v>BKN</v>
      </c>
      <c r="X46" s="34">
        <f t="shared" si="51"/>
        <v>0</v>
      </c>
      <c r="Y46" s="34">
        <f t="shared" si="52"/>
        <v>900</v>
      </c>
      <c r="Z46" s="34">
        <f t="shared" si="53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51" t="s">
        <v>39</v>
      </c>
      <c r="D47" s="52"/>
      <c r="E47" s="51">
        <v>130</v>
      </c>
      <c r="F47" s="51">
        <v>3</v>
      </c>
      <c r="G47" s="51">
        <v>0</v>
      </c>
      <c r="H47" s="51">
        <v>8000</v>
      </c>
      <c r="I47" s="51">
        <v>0</v>
      </c>
      <c r="J47" s="51" t="s">
        <v>53</v>
      </c>
      <c r="K47" s="51">
        <v>900</v>
      </c>
      <c r="L47" s="1" t="s">
        <v>779</v>
      </c>
      <c r="M47" s="32">
        <f t="shared" si="44"/>
        <v>90</v>
      </c>
      <c r="N47" s="33">
        <f t="shared" si="45"/>
        <v>1</v>
      </c>
      <c r="O47" s="33">
        <f t="shared" si="46"/>
        <v>2</v>
      </c>
      <c r="P47" s="33">
        <f t="shared" si="47"/>
        <v>1</v>
      </c>
      <c r="Q47" s="34">
        <f t="shared" si="48"/>
        <v>0</v>
      </c>
      <c r="R47" s="33">
        <f t="shared" si="49"/>
        <v>1</v>
      </c>
      <c r="S47" s="34">
        <f t="shared" si="43"/>
        <v>8000</v>
      </c>
      <c r="T47" s="34">
        <f t="shared" si="36"/>
        <v>1</v>
      </c>
      <c r="U47" s="34">
        <f>IF(AND(IFERROR(FIND("RA",#REF!),0)&gt;0, IFERROR(FIND("RA",#REF!),0)&lt;38),"RA",0)</f>
        <v>0</v>
      </c>
      <c r="V47" s="34">
        <f t="shared" si="38"/>
        <v>1</v>
      </c>
      <c r="W47" s="34" t="str">
        <f t="shared" si="50"/>
        <v>BKN</v>
      </c>
      <c r="X47" s="34">
        <f t="shared" si="51"/>
        <v>0</v>
      </c>
      <c r="Y47" s="34">
        <f t="shared" si="52"/>
        <v>900</v>
      </c>
      <c r="Z47" s="34">
        <f t="shared" si="53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8</v>
      </c>
      <c r="U52" s="25"/>
      <c r="V52" s="25">
        <f>SUM(V36:V47)</f>
        <v>8</v>
      </c>
      <c r="W52" s="25"/>
      <c r="X52" s="25">
        <f>SUM(X36:X47)</f>
        <v>6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5</v>
      </c>
      <c r="U53" s="25"/>
      <c r="V53" s="25">
        <f>SUMIF($C36:$C47,"GENERAL",V36:V47)</f>
        <v>5</v>
      </c>
      <c r="W53" s="25"/>
      <c r="X53" s="25">
        <f>SUMIF($C36:$C47,"GENERAL",X36:X47)</f>
        <v>3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3</v>
      </c>
      <c r="T56" s="42">
        <f>S56</f>
        <v>3</v>
      </c>
      <c r="U56" s="42">
        <f>SUMIF($C36:$C47,"TEMPO",V36:V47)</f>
        <v>3</v>
      </c>
      <c r="V56" s="42">
        <f>U56</f>
        <v>3</v>
      </c>
      <c r="W56" s="42">
        <f>SUMIF($C36:$C47,"TEMPO",X36:X47)</f>
        <v>3</v>
      </c>
      <c r="X56" s="42">
        <f>W56</f>
        <v>3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66.666666666666657</v>
      </c>
      <c r="U57" s="38"/>
      <c r="V57" s="38">
        <f>(SUM(V53:V56)/COUNTA(V36:V47))*100</f>
        <v>66.666666666666657</v>
      </c>
      <c r="W57" s="38"/>
      <c r="X57" s="38">
        <f>(SUM(X53:X56)/COUNTA(X36:X47))*100</f>
        <v>50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767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26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58</v>
      </c>
      <c r="K65" s="51">
        <v>900</v>
      </c>
      <c r="L65" s="1" t="s">
        <v>775</v>
      </c>
      <c r="M65" s="32">
        <f t="shared" ref="M65:M70" si="55">IF(ISNUMBER(VALUE(FIND("VRB",L65))),999,VALUE(MID(L65,20,3)))</f>
        <v>0</v>
      </c>
      <c r="N65" s="33">
        <f t="shared" ref="N65:N70" si="56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7">VALUE(MID(L65,23,2))</f>
        <v>0</v>
      </c>
      <c r="P65" s="33">
        <f t="shared" ref="P65:P70" si="58">IF(ABS(O65-F65)&lt;11,1,0)</f>
        <v>1</v>
      </c>
      <c r="Q65" s="34">
        <f t="shared" ref="Q65:Q70" si="59">IF(MID(L65,25,1)="G","GUST",0)</f>
        <v>0</v>
      </c>
      <c r="R65" s="33">
        <f t="shared" ref="R65:R70" si="60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61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62">IF(AND(IFERROR(FIND("RA",L65),0)&gt;0, IFERROR(FIND("RA",L65),0)&lt;38),"RA",0)</f>
        <v>0</v>
      </c>
      <c r="V65" s="34">
        <f t="shared" ref="V65:V76" si="63">IF(U65=I65,1,0)</f>
        <v>1</v>
      </c>
      <c r="W65" s="34" t="str">
        <f t="shared" ref="W65:W70" si="64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SCT</v>
      </c>
      <c r="X65" s="34">
        <f t="shared" ref="X65:X70" si="65">IF(OR(AND(OR(J65="SKC",J65="FEW",J65="SCT"),OR(W65="SKC",W65="FEW",W65="SCT")),(AND(OR(J65="BKN",J65="OVC"),OR(W65="BKN",W65="OVC")))),1,0)</f>
        <v>0</v>
      </c>
      <c r="Y65" s="34">
        <f t="shared" ref="Y65:Y70" si="66">IF(ISNUMBER(VALUE(FIND("CAVOK",L65))),9999,IF(ISNUMBER(VALUE(FIND("NSC",L65))),9999,(MID(L65,(FIND(W65,L65)+4),2))*100))</f>
        <v>800</v>
      </c>
      <c r="Z65" s="34">
        <f t="shared" ref="Z65:Z70" si="67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58</v>
      </c>
      <c r="K66" s="51">
        <v>900</v>
      </c>
      <c r="L66" s="1" t="s">
        <v>791</v>
      </c>
      <c r="M66" s="32">
        <f t="shared" si="55"/>
        <v>0</v>
      </c>
      <c r="N66" s="33">
        <f t="shared" si="56"/>
        <v>1</v>
      </c>
      <c r="O66" s="33">
        <f t="shared" si="57"/>
        <v>0</v>
      </c>
      <c r="P66" s="33">
        <f t="shared" si="58"/>
        <v>1</v>
      </c>
      <c r="Q66" s="34">
        <f t="shared" si="59"/>
        <v>0</v>
      </c>
      <c r="R66" s="33">
        <f t="shared" si="60"/>
        <v>1</v>
      </c>
      <c r="S66" s="34">
        <f t="shared" ref="S66:S76" si="68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61"/>
        <v>1</v>
      </c>
      <c r="U66" s="34">
        <f t="shared" si="62"/>
        <v>0</v>
      </c>
      <c r="V66" s="34">
        <f t="shared" si="63"/>
        <v>1</v>
      </c>
      <c r="W66" s="34" t="str">
        <f t="shared" si="64"/>
        <v>SCT</v>
      </c>
      <c r="X66" s="34">
        <f t="shared" si="65"/>
        <v>0</v>
      </c>
      <c r="Y66" s="34">
        <f t="shared" si="66"/>
        <v>900</v>
      </c>
      <c r="Z66" s="34">
        <f t="shared" si="67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1" t="s">
        <v>58</v>
      </c>
      <c r="K67" s="51">
        <v>900</v>
      </c>
      <c r="L67" s="1" t="s">
        <v>776</v>
      </c>
      <c r="M67" s="32">
        <f t="shared" si="55"/>
        <v>0</v>
      </c>
      <c r="N67" s="33">
        <f t="shared" si="56"/>
        <v>1</v>
      </c>
      <c r="O67" s="33">
        <f t="shared" si="57"/>
        <v>0</v>
      </c>
      <c r="P67" s="33">
        <f t="shared" si="58"/>
        <v>1</v>
      </c>
      <c r="Q67" s="34">
        <f t="shared" si="59"/>
        <v>0</v>
      </c>
      <c r="R67" s="33">
        <f t="shared" si="60"/>
        <v>1</v>
      </c>
      <c r="S67" s="34">
        <f t="shared" si="68"/>
        <v>8000</v>
      </c>
      <c r="T67" s="34">
        <f t="shared" si="61"/>
        <v>1</v>
      </c>
      <c r="U67" s="34">
        <f t="shared" si="62"/>
        <v>0</v>
      </c>
      <c r="V67" s="34">
        <f t="shared" si="63"/>
        <v>1</v>
      </c>
      <c r="W67" s="34" t="str">
        <f t="shared" si="64"/>
        <v>BKN</v>
      </c>
      <c r="X67" s="34">
        <f t="shared" si="65"/>
        <v>1</v>
      </c>
      <c r="Y67" s="34">
        <f t="shared" si="66"/>
        <v>900</v>
      </c>
      <c r="Z67" s="34">
        <f t="shared" si="67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39</v>
      </c>
      <c r="D68" s="52"/>
      <c r="E68" s="51">
        <v>0</v>
      </c>
      <c r="F68" s="51">
        <v>0</v>
      </c>
      <c r="G68" s="51">
        <v>0</v>
      </c>
      <c r="H68" s="51">
        <v>8000</v>
      </c>
      <c r="I68" s="51">
        <v>0</v>
      </c>
      <c r="J68" s="51" t="s">
        <v>58</v>
      </c>
      <c r="K68" s="51">
        <v>900</v>
      </c>
      <c r="L68" s="1" t="s">
        <v>777</v>
      </c>
      <c r="M68" s="32">
        <f t="shared" si="55"/>
        <v>0</v>
      </c>
      <c r="N68" s="33">
        <f t="shared" si="56"/>
        <v>1</v>
      </c>
      <c r="O68" s="33">
        <f t="shared" si="57"/>
        <v>0</v>
      </c>
      <c r="P68" s="33">
        <f t="shared" si="58"/>
        <v>1</v>
      </c>
      <c r="Q68" s="34">
        <f t="shared" si="59"/>
        <v>0</v>
      </c>
      <c r="R68" s="33">
        <f t="shared" si="60"/>
        <v>1</v>
      </c>
      <c r="S68" s="34">
        <f t="shared" si="68"/>
        <v>8000</v>
      </c>
      <c r="T68" s="34">
        <f t="shared" si="61"/>
        <v>1</v>
      </c>
      <c r="U68" s="34">
        <f t="shared" si="62"/>
        <v>0</v>
      </c>
      <c r="V68" s="34">
        <f t="shared" si="63"/>
        <v>1</v>
      </c>
      <c r="W68" s="34" t="str">
        <f t="shared" si="64"/>
        <v>BKN</v>
      </c>
      <c r="X68" s="34">
        <f t="shared" si="65"/>
        <v>1</v>
      </c>
      <c r="Y68" s="34">
        <f t="shared" si="66"/>
        <v>900</v>
      </c>
      <c r="Z68" s="34">
        <f t="shared" si="67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39</v>
      </c>
      <c r="D69" s="52"/>
      <c r="E69" s="51">
        <v>0</v>
      </c>
      <c r="F69" s="51">
        <v>0</v>
      </c>
      <c r="G69" s="51">
        <v>0</v>
      </c>
      <c r="H69" s="51">
        <v>8000</v>
      </c>
      <c r="I69" s="51">
        <v>0</v>
      </c>
      <c r="J69" s="51" t="s">
        <v>58</v>
      </c>
      <c r="K69" s="51">
        <v>900</v>
      </c>
      <c r="L69" s="1" t="s">
        <v>778</v>
      </c>
      <c r="M69" s="32">
        <f t="shared" si="55"/>
        <v>0</v>
      </c>
      <c r="N69" s="33">
        <f t="shared" si="56"/>
        <v>1</v>
      </c>
      <c r="O69" s="33">
        <f t="shared" si="57"/>
        <v>0</v>
      </c>
      <c r="P69" s="33">
        <f t="shared" si="58"/>
        <v>1</v>
      </c>
      <c r="Q69" s="34">
        <f t="shared" si="59"/>
        <v>0</v>
      </c>
      <c r="R69" s="33">
        <f t="shared" si="60"/>
        <v>1</v>
      </c>
      <c r="S69" s="34">
        <f t="shared" si="68"/>
        <v>8000</v>
      </c>
      <c r="T69" s="34">
        <f t="shared" si="61"/>
        <v>1</v>
      </c>
      <c r="U69" s="34">
        <f t="shared" si="62"/>
        <v>0</v>
      </c>
      <c r="V69" s="34">
        <f t="shared" si="63"/>
        <v>1</v>
      </c>
      <c r="W69" s="34" t="str">
        <f t="shared" si="64"/>
        <v>BKN</v>
      </c>
      <c r="X69" s="34">
        <f t="shared" si="65"/>
        <v>1</v>
      </c>
      <c r="Y69" s="34">
        <f t="shared" si="66"/>
        <v>900</v>
      </c>
      <c r="Z69" s="34">
        <f t="shared" si="67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39</v>
      </c>
      <c r="D70" s="52"/>
      <c r="E70" s="51">
        <v>0</v>
      </c>
      <c r="F70" s="51">
        <v>0</v>
      </c>
      <c r="G70" s="51">
        <v>0</v>
      </c>
      <c r="H70" s="51">
        <v>8000</v>
      </c>
      <c r="I70" s="51">
        <v>0</v>
      </c>
      <c r="J70" s="51" t="s">
        <v>58</v>
      </c>
      <c r="K70" s="51">
        <v>900</v>
      </c>
      <c r="L70" s="1" t="s">
        <v>779</v>
      </c>
      <c r="M70" s="32">
        <f t="shared" si="55"/>
        <v>90</v>
      </c>
      <c r="N70" s="33">
        <f t="shared" si="56"/>
        <v>1</v>
      </c>
      <c r="O70" s="33">
        <f t="shared" si="57"/>
        <v>2</v>
      </c>
      <c r="P70" s="33">
        <f t="shared" si="58"/>
        <v>1</v>
      </c>
      <c r="Q70" s="34">
        <f t="shared" si="59"/>
        <v>0</v>
      </c>
      <c r="R70" s="33">
        <f t="shared" si="60"/>
        <v>1</v>
      </c>
      <c r="S70" s="34">
        <f t="shared" si="68"/>
        <v>8000</v>
      </c>
      <c r="T70" s="34">
        <f t="shared" si="61"/>
        <v>1</v>
      </c>
      <c r="U70" s="34">
        <f t="shared" si="62"/>
        <v>0</v>
      </c>
      <c r="V70" s="34">
        <f t="shared" si="63"/>
        <v>1</v>
      </c>
      <c r="W70" s="34" t="str">
        <f t="shared" si="64"/>
        <v>BKN</v>
      </c>
      <c r="X70" s="34">
        <f t="shared" si="65"/>
        <v>1</v>
      </c>
      <c r="Y70" s="34">
        <f t="shared" si="66"/>
        <v>900</v>
      </c>
      <c r="Z70" s="34">
        <f t="shared" si="67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58</v>
      </c>
      <c r="K71" s="51">
        <v>900</v>
      </c>
      <c r="L71" s="1" t="s">
        <v>780</v>
      </c>
      <c r="M71" s="32">
        <f t="shared" ref="M71:M76" si="69">IF(ISNUMBER(VALUE(FIND("VRB",L71))),999,VALUE(MID(L71,20,3)))</f>
        <v>140</v>
      </c>
      <c r="N71" s="33">
        <f t="shared" ref="N71:N76" si="70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1">VALUE(MID(L71,23,2))</f>
        <v>3</v>
      </c>
      <c r="P71" s="33">
        <f t="shared" ref="P71:P76" si="72">IF(ABS(O71-F71)&lt;11,1,0)</f>
        <v>1</v>
      </c>
      <c r="Q71" s="34">
        <f t="shared" ref="Q71:Q76" si="73">IF(MID(L71,25,1)="G","GUST",0)</f>
        <v>0</v>
      </c>
      <c r="R71" s="33">
        <f t="shared" ref="R71:R76" si="74">IF(G71=Q71,1,0)</f>
        <v>1</v>
      </c>
      <c r="S71" s="34">
        <f t="shared" si="68"/>
        <v>8000</v>
      </c>
      <c r="T71" s="34">
        <f t="shared" si="61"/>
        <v>1</v>
      </c>
      <c r="U71" s="34">
        <f>IF(AND(IFERROR(FIND("RA",#REF!),0)&gt;0, IFERROR(FIND("RA",#REF!),0)&lt;38),"RA",0)</f>
        <v>0</v>
      </c>
      <c r="V71" s="34">
        <f t="shared" si="63"/>
        <v>1</v>
      </c>
      <c r="W71" s="34" t="str">
        <f t="shared" ref="W71:W76" si="75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6">IF(OR(AND(OR(J71="SKC",J71="FEW",J71="SCT"),OR(W71="SKC",W71="FEW",W71="SCT")),(AND(OR(J71="BKN",J71="OVC"),OR(W71="BKN",W71="OVC")))),1,0)</f>
        <v>1</v>
      </c>
      <c r="Y71" s="34">
        <f t="shared" ref="Y71:Y76" si="77">IF(ISNUMBER(VALUE(FIND("CAVOK",L71))),9999,IF(ISNUMBER(VALUE(FIND("NSC",L71))),9999,(MID(L71,(FIND(W71,L71)+4),2))*100))</f>
        <v>900</v>
      </c>
      <c r="Z71" s="34">
        <f t="shared" ref="Z71:Z76" si="78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58</v>
      </c>
      <c r="K72" s="51">
        <v>900</v>
      </c>
      <c r="L72" s="1" t="s">
        <v>781</v>
      </c>
      <c r="M72" s="32">
        <f t="shared" si="69"/>
        <v>120</v>
      </c>
      <c r="N72" s="33">
        <f t="shared" si="70"/>
        <v>1</v>
      </c>
      <c r="O72" s="33">
        <f t="shared" si="71"/>
        <v>3</v>
      </c>
      <c r="P72" s="33">
        <f t="shared" si="72"/>
        <v>1</v>
      </c>
      <c r="Q72" s="34">
        <f t="shared" si="73"/>
        <v>0</v>
      </c>
      <c r="R72" s="33">
        <f t="shared" si="74"/>
        <v>1</v>
      </c>
      <c r="S72" s="34">
        <f t="shared" si="68"/>
        <v>8000</v>
      </c>
      <c r="T72" s="34">
        <f t="shared" si="61"/>
        <v>1</v>
      </c>
      <c r="U72" s="34">
        <f>IF(AND(IFERROR(FIND("RA",#REF!),0)&gt;0, IFERROR(FIND("RA",#REF!),0)&lt;38),"RA",0)</f>
        <v>0</v>
      </c>
      <c r="V72" s="34">
        <f t="shared" si="63"/>
        <v>1</v>
      </c>
      <c r="W72" s="34" t="str">
        <f t="shared" si="75"/>
        <v>BKN</v>
      </c>
      <c r="X72" s="34">
        <f t="shared" si="76"/>
        <v>1</v>
      </c>
      <c r="Y72" s="34">
        <f t="shared" si="77"/>
        <v>900</v>
      </c>
      <c r="Z72" s="34">
        <f t="shared" si="78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58</v>
      </c>
      <c r="K73" s="51">
        <v>900</v>
      </c>
      <c r="L73" s="1" t="s">
        <v>782</v>
      </c>
      <c r="M73" s="32">
        <f t="shared" si="69"/>
        <v>160</v>
      </c>
      <c r="N73" s="33">
        <f t="shared" si="70"/>
        <v>1</v>
      </c>
      <c r="O73" s="33">
        <f t="shared" si="71"/>
        <v>2</v>
      </c>
      <c r="P73" s="33">
        <f t="shared" si="72"/>
        <v>1</v>
      </c>
      <c r="Q73" s="34">
        <f t="shared" si="73"/>
        <v>0</v>
      </c>
      <c r="R73" s="33">
        <f t="shared" si="74"/>
        <v>1</v>
      </c>
      <c r="S73" s="34">
        <f t="shared" si="68"/>
        <v>8000</v>
      </c>
      <c r="T73" s="34">
        <f t="shared" si="61"/>
        <v>1</v>
      </c>
      <c r="U73" s="34">
        <f>IF(AND(IFERROR(FIND("RA",#REF!),0)&gt;0, IFERROR(FIND("RA",#REF!),0)&lt;38),"RA",0)</f>
        <v>0</v>
      </c>
      <c r="V73" s="34">
        <f t="shared" si="63"/>
        <v>1</v>
      </c>
      <c r="W73" s="34" t="str">
        <f t="shared" si="75"/>
        <v>BKN</v>
      </c>
      <c r="X73" s="34">
        <f t="shared" si="76"/>
        <v>1</v>
      </c>
      <c r="Y73" s="34">
        <f t="shared" si="77"/>
        <v>900</v>
      </c>
      <c r="Z73" s="34">
        <f t="shared" si="78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0</v>
      </c>
      <c r="F74" s="51">
        <v>0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s="1" t="s">
        <v>783</v>
      </c>
      <c r="M74" s="32">
        <f t="shared" si="69"/>
        <v>0</v>
      </c>
      <c r="N74" s="33">
        <f t="shared" si="70"/>
        <v>1</v>
      </c>
      <c r="O74" s="33">
        <f t="shared" si="71"/>
        <v>0</v>
      </c>
      <c r="P74" s="33">
        <f t="shared" si="72"/>
        <v>1</v>
      </c>
      <c r="Q74" s="34">
        <f t="shared" si="73"/>
        <v>0</v>
      </c>
      <c r="R74" s="33">
        <f t="shared" si="74"/>
        <v>1</v>
      </c>
      <c r="S74" s="34">
        <f t="shared" si="68"/>
        <v>8000</v>
      </c>
      <c r="T74" s="34">
        <f t="shared" si="61"/>
        <v>1</v>
      </c>
      <c r="U74" s="34">
        <f>IF(AND(IFERROR(FIND("RA",#REF!),0)&gt;0, IFERROR(FIND("RA",#REF!),0)&lt;38),"RA",0)</f>
        <v>0</v>
      </c>
      <c r="V74" s="34">
        <f t="shared" si="63"/>
        <v>1</v>
      </c>
      <c r="W74" s="34" t="str">
        <f t="shared" si="75"/>
        <v>BKN</v>
      </c>
      <c r="X74" s="34">
        <f t="shared" si="76"/>
        <v>1</v>
      </c>
      <c r="Y74" s="34">
        <f t="shared" si="77"/>
        <v>900</v>
      </c>
      <c r="Z74" s="34">
        <f t="shared" si="78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0</v>
      </c>
      <c r="F75" s="51">
        <v>0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s="1" t="s">
        <v>784</v>
      </c>
      <c r="M75" s="32">
        <f t="shared" si="69"/>
        <v>120</v>
      </c>
      <c r="N75" s="33">
        <f t="shared" si="70"/>
        <v>1</v>
      </c>
      <c r="O75" s="33">
        <f t="shared" si="71"/>
        <v>3</v>
      </c>
      <c r="P75" s="33">
        <f t="shared" si="72"/>
        <v>1</v>
      </c>
      <c r="Q75" s="34">
        <f t="shared" si="73"/>
        <v>0</v>
      </c>
      <c r="R75" s="33">
        <f t="shared" si="74"/>
        <v>1</v>
      </c>
      <c r="S75" s="34">
        <f t="shared" si="68"/>
        <v>8000</v>
      </c>
      <c r="T75" s="34">
        <f t="shared" si="61"/>
        <v>1</v>
      </c>
      <c r="U75" s="34">
        <f>IF(AND(IFERROR(FIND("RA",#REF!),0)&gt;0, IFERROR(FIND("RA",#REF!),0)&lt;38),"RA",0)</f>
        <v>0</v>
      </c>
      <c r="V75" s="34">
        <f t="shared" si="63"/>
        <v>1</v>
      </c>
      <c r="W75" s="34" t="str">
        <f t="shared" si="75"/>
        <v>BKN</v>
      </c>
      <c r="X75" s="34">
        <f t="shared" si="76"/>
        <v>1</v>
      </c>
      <c r="Y75" s="34">
        <f t="shared" si="77"/>
        <v>900</v>
      </c>
      <c r="Z75" s="34">
        <f t="shared" si="78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0</v>
      </c>
      <c r="F76" s="51">
        <v>0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s="1" t="s">
        <v>792</v>
      </c>
      <c r="M76" s="32">
        <f t="shared" si="69"/>
        <v>0</v>
      </c>
      <c r="N76" s="33">
        <f t="shared" si="70"/>
        <v>1</v>
      </c>
      <c r="O76" s="33">
        <f t="shared" si="71"/>
        <v>0</v>
      </c>
      <c r="P76" s="33">
        <f t="shared" si="72"/>
        <v>1</v>
      </c>
      <c r="Q76" s="34">
        <f t="shared" si="73"/>
        <v>0</v>
      </c>
      <c r="R76" s="33">
        <f t="shared" si="74"/>
        <v>1</v>
      </c>
      <c r="S76" s="34">
        <f t="shared" si="68"/>
        <v>8000</v>
      </c>
      <c r="T76" s="34">
        <f t="shared" si="61"/>
        <v>1</v>
      </c>
      <c r="U76" s="34">
        <f>IF(AND(IFERROR(FIND("RA",#REF!),0)&gt;0, IFERROR(FIND("RA",#REF!),0)&lt;38),"RA",0)</f>
        <v>0</v>
      </c>
      <c r="V76" s="34">
        <f t="shared" si="63"/>
        <v>1</v>
      </c>
      <c r="W76" s="34" t="str">
        <f t="shared" si="75"/>
        <v>BKN</v>
      </c>
      <c r="X76" s="34">
        <f t="shared" si="76"/>
        <v>1</v>
      </c>
      <c r="Y76" s="34">
        <f t="shared" si="77"/>
        <v>900</v>
      </c>
      <c r="Z76" s="34">
        <f t="shared" si="78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12</v>
      </c>
      <c r="U80" s="25"/>
      <c r="V80" s="25">
        <f>SUM(V64:V76)</f>
        <v>12</v>
      </c>
      <c r="W80" s="25"/>
      <c r="X80" s="25">
        <f>SUM(X64:X76)</f>
        <v>10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12</v>
      </c>
      <c r="U81" s="25"/>
      <c r="V81" s="25">
        <f>SUMIF($C64:$C76,"GENERAL",V64:V76)</f>
        <v>12</v>
      </c>
      <c r="W81" s="25"/>
      <c r="X81" s="25">
        <f>SUMIF($C64:$C76,"GENERAL",X64:X76)</f>
        <v>10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100</v>
      </c>
      <c r="U85" s="38"/>
      <c r="V85" s="38">
        <f>(SUM(V81:V84)/COUNTA(V64:V76))*100</f>
        <v>100</v>
      </c>
      <c r="W85" s="38"/>
      <c r="X85" s="38">
        <f>(SUM(X81:X84)/COUNTA(X64:X76))*100</f>
        <v>83.333333333333343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768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26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s="1" t="s">
        <v>780</v>
      </c>
      <c r="M93" s="32">
        <f t="shared" ref="M93:M98" si="79">IF(ISNUMBER(VALUE(FIND("VRB",L93))),999,VALUE(MID(L93,20,3)))</f>
        <v>140</v>
      </c>
      <c r="N93" s="33">
        <f t="shared" ref="N93:N98" si="80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1">VALUE(MID(L93,23,2))</f>
        <v>3</v>
      </c>
      <c r="P93" s="33">
        <f t="shared" ref="P93:P98" si="82">IF(ABS(O93-F93)&lt;11,1,0)</f>
        <v>1</v>
      </c>
      <c r="Q93" s="34">
        <f t="shared" ref="Q93:Q98" si="83">IF(MID(L93,25,1)="G","GUST",0)</f>
        <v>0</v>
      </c>
      <c r="R93" s="33">
        <f t="shared" ref="R93:R98" si="84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104" si="85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6">IF(AND(IFERROR(FIND("RA",L93),0)&gt;0, IFERROR(FIND("RA",L93),0)&lt;38),"RA",0)</f>
        <v>0</v>
      </c>
      <c r="V93" s="34">
        <f t="shared" ref="V93:V104" si="87">IF(U93=I93,1,0)</f>
        <v>1</v>
      </c>
      <c r="W93" s="34" t="str">
        <f t="shared" ref="W93:W98" si="88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89">IF(OR(AND(OR(J93="SKC",J93="FEW",J93="SCT"),OR(W93="SKC",W93="FEW",W93="SCT")),(AND(OR(J93="BKN",J93="OVC"),OR(W93="BKN",W93="OVC")))),1,0)</f>
        <v>1</v>
      </c>
      <c r="Y93" s="34">
        <f t="shared" ref="Y93:Y98" si="90">IF(ISNUMBER(VALUE(FIND("CAVOK",L93))),9999,IF(ISNUMBER(VALUE(FIND("NSC",L93))),9999,(MID(L93,(FIND(W93,L93)+4),2))*100))</f>
        <v>900</v>
      </c>
      <c r="Z93" s="34">
        <f t="shared" ref="Z93:Z98" si="91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40</v>
      </c>
      <c r="D94" s="52"/>
      <c r="E94" s="51">
        <v>0</v>
      </c>
      <c r="F94" s="51">
        <v>0</v>
      </c>
      <c r="G94" s="51">
        <v>0</v>
      </c>
      <c r="H94" s="51">
        <v>4000</v>
      </c>
      <c r="I94" s="51" t="s">
        <v>52</v>
      </c>
      <c r="J94" s="51" t="s">
        <v>51</v>
      </c>
      <c r="K94" s="51">
        <v>800</v>
      </c>
      <c r="L94" s="1" t="s">
        <v>781</v>
      </c>
      <c r="M94" s="32">
        <f t="shared" si="79"/>
        <v>120</v>
      </c>
      <c r="N94" s="33">
        <f t="shared" si="80"/>
        <v>1</v>
      </c>
      <c r="O94" s="33">
        <f t="shared" si="81"/>
        <v>3</v>
      </c>
      <c r="P94" s="33">
        <f t="shared" si="82"/>
        <v>1</v>
      </c>
      <c r="Q94" s="34">
        <f t="shared" si="83"/>
        <v>0</v>
      </c>
      <c r="R94" s="33">
        <f t="shared" si="84"/>
        <v>1</v>
      </c>
      <c r="S94" s="34">
        <f t="shared" ref="S94:S104" si="92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85"/>
        <v>0</v>
      </c>
      <c r="U94" s="34">
        <f t="shared" si="86"/>
        <v>0</v>
      </c>
      <c r="V94" s="34">
        <f t="shared" si="87"/>
        <v>0</v>
      </c>
      <c r="W94" s="34" t="str">
        <f t="shared" si="88"/>
        <v>BKN</v>
      </c>
      <c r="X94" s="34">
        <f t="shared" si="89"/>
        <v>0</v>
      </c>
      <c r="Y94" s="34">
        <f t="shared" si="90"/>
        <v>900</v>
      </c>
      <c r="Z94" s="34">
        <f t="shared" si="91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40</v>
      </c>
      <c r="D95" s="52"/>
      <c r="E95" s="51">
        <v>0</v>
      </c>
      <c r="F95" s="51">
        <v>0</v>
      </c>
      <c r="G95" s="51">
        <v>0</v>
      </c>
      <c r="H95" s="51">
        <v>4000</v>
      </c>
      <c r="I95" s="51" t="s">
        <v>52</v>
      </c>
      <c r="J95" s="51" t="s">
        <v>51</v>
      </c>
      <c r="K95" s="51">
        <v>800</v>
      </c>
      <c r="L95" s="1" t="s">
        <v>782</v>
      </c>
      <c r="M95" s="32">
        <f t="shared" si="79"/>
        <v>160</v>
      </c>
      <c r="N95" s="33">
        <f t="shared" si="80"/>
        <v>1</v>
      </c>
      <c r="O95" s="33">
        <f t="shared" si="81"/>
        <v>2</v>
      </c>
      <c r="P95" s="33">
        <f t="shared" si="82"/>
        <v>1</v>
      </c>
      <c r="Q95" s="34">
        <f t="shared" si="83"/>
        <v>0</v>
      </c>
      <c r="R95" s="33">
        <f t="shared" si="84"/>
        <v>1</v>
      </c>
      <c r="S95" s="34">
        <f t="shared" si="92"/>
        <v>8000</v>
      </c>
      <c r="T95" s="34">
        <f t="shared" si="85"/>
        <v>0</v>
      </c>
      <c r="U95" s="34">
        <f t="shared" si="86"/>
        <v>0</v>
      </c>
      <c r="V95" s="34">
        <f t="shared" si="87"/>
        <v>0</v>
      </c>
      <c r="W95" s="34" t="str">
        <f t="shared" si="88"/>
        <v>BKN</v>
      </c>
      <c r="X95" s="34">
        <f t="shared" si="89"/>
        <v>0</v>
      </c>
      <c r="Y95" s="34">
        <f t="shared" si="90"/>
        <v>900</v>
      </c>
      <c r="Z95" s="34">
        <f t="shared" si="91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40</v>
      </c>
      <c r="D96" s="52"/>
      <c r="E96" s="51">
        <v>0</v>
      </c>
      <c r="F96" s="51">
        <v>0</v>
      </c>
      <c r="G96" s="51">
        <v>0</v>
      </c>
      <c r="H96" s="51">
        <v>4000</v>
      </c>
      <c r="I96" s="51" t="s">
        <v>52</v>
      </c>
      <c r="J96" s="51" t="s">
        <v>51</v>
      </c>
      <c r="K96" s="51">
        <v>800</v>
      </c>
      <c r="L96" s="1" t="s">
        <v>783</v>
      </c>
      <c r="M96" s="32">
        <f t="shared" si="79"/>
        <v>0</v>
      </c>
      <c r="N96" s="33">
        <f t="shared" si="80"/>
        <v>1</v>
      </c>
      <c r="O96" s="33">
        <f t="shared" si="81"/>
        <v>0</v>
      </c>
      <c r="P96" s="33">
        <f t="shared" si="82"/>
        <v>1</v>
      </c>
      <c r="Q96" s="34">
        <f t="shared" si="83"/>
        <v>0</v>
      </c>
      <c r="R96" s="33">
        <f t="shared" si="84"/>
        <v>1</v>
      </c>
      <c r="S96" s="34">
        <f t="shared" si="92"/>
        <v>8000</v>
      </c>
      <c r="T96" s="34">
        <f t="shared" si="85"/>
        <v>0</v>
      </c>
      <c r="U96" s="34">
        <f t="shared" si="86"/>
        <v>0</v>
      </c>
      <c r="V96" s="34">
        <f t="shared" si="87"/>
        <v>0</v>
      </c>
      <c r="W96" s="34" t="str">
        <f t="shared" si="88"/>
        <v>BKN</v>
      </c>
      <c r="X96" s="34">
        <f t="shared" si="89"/>
        <v>0</v>
      </c>
      <c r="Y96" s="34">
        <f t="shared" si="90"/>
        <v>900</v>
      </c>
      <c r="Z96" s="34">
        <f t="shared" si="91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s="1" t="s">
        <v>784</v>
      </c>
      <c r="M97" s="32">
        <f t="shared" si="79"/>
        <v>120</v>
      </c>
      <c r="N97" s="33">
        <f t="shared" si="80"/>
        <v>1</v>
      </c>
      <c r="O97" s="33">
        <f t="shared" si="81"/>
        <v>3</v>
      </c>
      <c r="P97" s="33">
        <f t="shared" si="82"/>
        <v>1</v>
      </c>
      <c r="Q97" s="34">
        <f t="shared" si="83"/>
        <v>0</v>
      </c>
      <c r="R97" s="33">
        <f t="shared" si="84"/>
        <v>1</v>
      </c>
      <c r="S97" s="34">
        <f t="shared" si="92"/>
        <v>8000</v>
      </c>
      <c r="T97" s="34">
        <f t="shared" si="85"/>
        <v>1</v>
      </c>
      <c r="U97" s="34">
        <f t="shared" si="86"/>
        <v>0</v>
      </c>
      <c r="V97" s="34">
        <f t="shared" si="87"/>
        <v>1</v>
      </c>
      <c r="W97" s="34" t="str">
        <f t="shared" si="88"/>
        <v>BKN</v>
      </c>
      <c r="X97" s="34">
        <f t="shared" si="89"/>
        <v>1</v>
      </c>
      <c r="Y97" s="34">
        <f t="shared" si="90"/>
        <v>900</v>
      </c>
      <c r="Z97" s="34">
        <f t="shared" si="91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s="1" t="s">
        <v>793</v>
      </c>
      <c r="M98" s="32">
        <f t="shared" si="79"/>
        <v>0</v>
      </c>
      <c r="N98" s="33">
        <f t="shared" si="80"/>
        <v>1</v>
      </c>
      <c r="O98" s="33">
        <f t="shared" si="81"/>
        <v>0</v>
      </c>
      <c r="P98" s="33">
        <f t="shared" si="82"/>
        <v>1</v>
      </c>
      <c r="Q98" s="34">
        <f t="shared" si="83"/>
        <v>0</v>
      </c>
      <c r="R98" s="33">
        <f t="shared" si="84"/>
        <v>1</v>
      </c>
      <c r="S98" s="34">
        <f t="shared" si="92"/>
        <v>8000</v>
      </c>
      <c r="T98" s="34">
        <f t="shared" si="85"/>
        <v>1</v>
      </c>
      <c r="U98" s="34">
        <f t="shared" si="86"/>
        <v>0</v>
      </c>
      <c r="V98" s="34">
        <f t="shared" si="87"/>
        <v>1</v>
      </c>
      <c r="W98" s="34" t="str">
        <f t="shared" si="88"/>
        <v>BKN</v>
      </c>
      <c r="X98" s="34">
        <f t="shared" si="89"/>
        <v>1</v>
      </c>
      <c r="Y98" s="34">
        <f t="shared" si="90"/>
        <v>800</v>
      </c>
      <c r="Z98" s="34">
        <f t="shared" si="91"/>
        <v>1</v>
      </c>
      <c r="AA98" s="25"/>
      <c r="AB98" s="25"/>
      <c r="AC98" s="25"/>
      <c r="AD98" s="25"/>
      <c r="AE98" s="25"/>
    </row>
    <row r="99" spans="1:31" ht="16.5">
      <c r="A99" s="55">
        <v>27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s="1" t="s">
        <v>785</v>
      </c>
      <c r="M99" s="32">
        <f t="shared" ref="M99:M104" si="93">IF(ISNUMBER(VALUE(FIND("VRB",L99))),999,VALUE(MID(L99,20,3)))</f>
        <v>120</v>
      </c>
      <c r="N99" s="33">
        <f t="shared" ref="N99:N104" si="94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5">VALUE(MID(L99,23,2))</f>
        <v>5</v>
      </c>
      <c r="P99" s="33">
        <f t="shared" ref="P99:P104" si="96">IF(ABS(O99-F99)&lt;11,1,0)</f>
        <v>1</v>
      </c>
      <c r="Q99" s="34">
        <f t="shared" ref="Q99:Q104" si="97">IF(MID(L99,25,1)="G","GUST",0)</f>
        <v>0</v>
      </c>
      <c r="R99" s="33">
        <f t="shared" ref="R99:R104" si="98">IF(G99=Q99,1,0)</f>
        <v>1</v>
      </c>
      <c r="S99" s="34">
        <f t="shared" si="92"/>
        <v>8000</v>
      </c>
      <c r="T99" s="34">
        <f t="shared" si="85"/>
        <v>1</v>
      </c>
      <c r="U99" s="34">
        <f>IF(AND(IFERROR(FIND("RA",#REF!),0)&gt;0, IFERROR(FIND("RA",#REF!),0)&lt;38),"RA",0)</f>
        <v>0</v>
      </c>
      <c r="V99" s="34">
        <f t="shared" si="87"/>
        <v>1</v>
      </c>
      <c r="W99" s="34" t="str">
        <f t="shared" ref="W99:W104" si="99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00">IF(OR(AND(OR(J99="SKC",J99="FEW",J99="SCT"),OR(W99="SKC",W99="FEW",W99="SCT")),(AND(OR(J99="BKN",J99="OVC"),OR(W99="BKN",W99="OVC")))),1,0)</f>
        <v>1</v>
      </c>
      <c r="Y99" s="34">
        <f t="shared" ref="Y99:Y104" si="101">IF(ISNUMBER(VALUE(FIND("CAVOK",L99))),9999,IF(ISNUMBER(VALUE(FIND("NSC",L99))),9999,(MID(L99,(FIND(W99,L99)+4),2))*100))</f>
        <v>800</v>
      </c>
      <c r="Z99" s="34">
        <f t="shared" ref="Z99:Z104" si="102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s="1" t="s">
        <v>786</v>
      </c>
      <c r="M100" s="32">
        <f t="shared" si="93"/>
        <v>120</v>
      </c>
      <c r="N100" s="33">
        <f t="shared" si="94"/>
        <v>1</v>
      </c>
      <c r="O100" s="33">
        <f t="shared" si="95"/>
        <v>5</v>
      </c>
      <c r="P100" s="33">
        <f t="shared" si="96"/>
        <v>1</v>
      </c>
      <c r="Q100" s="34">
        <f t="shared" si="97"/>
        <v>0</v>
      </c>
      <c r="R100" s="33">
        <f t="shared" si="98"/>
        <v>1</v>
      </c>
      <c r="S100" s="34">
        <f t="shared" si="92"/>
        <v>8000</v>
      </c>
      <c r="T100" s="34">
        <f t="shared" si="85"/>
        <v>1</v>
      </c>
      <c r="U100" s="34">
        <f>IF(AND(IFERROR(FIND("RA",#REF!),0)&gt;0, IFERROR(FIND("RA",#REF!),0)&lt;38),"RA",0)</f>
        <v>0</v>
      </c>
      <c r="V100" s="34">
        <f t="shared" si="87"/>
        <v>1</v>
      </c>
      <c r="W100" s="34" t="str">
        <f t="shared" si="99"/>
        <v>BKN</v>
      </c>
      <c r="X100" s="34">
        <f t="shared" si="100"/>
        <v>1</v>
      </c>
      <c r="Y100" s="34">
        <f t="shared" si="101"/>
        <v>800</v>
      </c>
      <c r="Z100" s="34">
        <f t="shared" si="102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s="1" t="s">
        <v>787</v>
      </c>
      <c r="M101" s="32">
        <f t="shared" si="93"/>
        <v>0</v>
      </c>
      <c r="N101" s="33">
        <f t="shared" si="94"/>
        <v>1</v>
      </c>
      <c r="O101" s="33">
        <f t="shared" si="95"/>
        <v>0</v>
      </c>
      <c r="P101" s="33">
        <f t="shared" si="96"/>
        <v>1</v>
      </c>
      <c r="Q101" s="34">
        <f t="shared" si="97"/>
        <v>0</v>
      </c>
      <c r="R101" s="33">
        <f t="shared" si="98"/>
        <v>1</v>
      </c>
      <c r="S101" s="34">
        <f t="shared" si="92"/>
        <v>8000</v>
      </c>
      <c r="T101" s="34">
        <f t="shared" si="85"/>
        <v>1</v>
      </c>
      <c r="U101" s="34">
        <f>IF(AND(IFERROR(FIND("RA",#REF!),0)&gt;0, IFERROR(FIND("RA",#REF!),0)&lt;38),"RA",0)</f>
        <v>0</v>
      </c>
      <c r="V101" s="34">
        <f t="shared" si="87"/>
        <v>1</v>
      </c>
      <c r="W101" s="34" t="str">
        <f t="shared" si="99"/>
        <v>BKN</v>
      </c>
      <c r="X101" s="34">
        <f t="shared" si="100"/>
        <v>1</v>
      </c>
      <c r="Y101" s="34">
        <f t="shared" si="101"/>
        <v>800</v>
      </c>
      <c r="Z101" s="34">
        <f t="shared" si="102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s="1" t="s">
        <v>788</v>
      </c>
      <c r="M102" s="32">
        <f t="shared" si="93"/>
        <v>160</v>
      </c>
      <c r="N102" s="33">
        <f t="shared" si="94"/>
        <v>1</v>
      </c>
      <c r="O102" s="33">
        <f t="shared" si="95"/>
        <v>6</v>
      </c>
      <c r="P102" s="33">
        <f t="shared" si="96"/>
        <v>1</v>
      </c>
      <c r="Q102" s="34">
        <f t="shared" si="97"/>
        <v>0</v>
      </c>
      <c r="R102" s="33">
        <f t="shared" si="98"/>
        <v>1</v>
      </c>
      <c r="S102" s="34">
        <f t="shared" si="92"/>
        <v>8000</v>
      </c>
      <c r="T102" s="34">
        <f t="shared" si="85"/>
        <v>1</v>
      </c>
      <c r="U102" s="34">
        <f>IF(AND(IFERROR(FIND("RA",#REF!),0)&gt;0, IFERROR(FIND("RA",#REF!),0)&lt;38),"RA",0)</f>
        <v>0</v>
      </c>
      <c r="V102" s="34">
        <f t="shared" si="87"/>
        <v>1</v>
      </c>
      <c r="W102" s="34" t="str">
        <f t="shared" si="99"/>
        <v>BKN</v>
      </c>
      <c r="X102" s="34">
        <f t="shared" si="100"/>
        <v>1</v>
      </c>
      <c r="Y102" s="34">
        <f t="shared" si="101"/>
        <v>800</v>
      </c>
      <c r="Z102" s="34">
        <f t="shared" si="102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s="1" t="s">
        <v>789</v>
      </c>
      <c r="M103" s="32">
        <f t="shared" si="93"/>
        <v>100</v>
      </c>
      <c r="N103" s="33">
        <f t="shared" si="94"/>
        <v>1</v>
      </c>
      <c r="O103" s="33">
        <f t="shared" si="95"/>
        <v>6</v>
      </c>
      <c r="P103" s="33">
        <f t="shared" si="96"/>
        <v>1</v>
      </c>
      <c r="Q103" s="34">
        <f t="shared" si="97"/>
        <v>0</v>
      </c>
      <c r="R103" s="33">
        <f t="shared" si="98"/>
        <v>1</v>
      </c>
      <c r="S103" s="34">
        <f t="shared" si="92"/>
        <v>8000</v>
      </c>
      <c r="T103" s="34">
        <f t="shared" si="85"/>
        <v>1</v>
      </c>
      <c r="U103" s="34">
        <f>IF(AND(IFERROR(FIND("RA",#REF!),0)&gt;0, IFERROR(FIND("RA",#REF!),0)&lt;38),"RA",0)</f>
        <v>0</v>
      </c>
      <c r="V103" s="34">
        <f t="shared" si="87"/>
        <v>1</v>
      </c>
      <c r="W103" s="34" t="str">
        <f t="shared" si="99"/>
        <v>FEW</v>
      </c>
      <c r="X103" s="34">
        <f t="shared" si="100"/>
        <v>0</v>
      </c>
      <c r="Y103" s="34">
        <f t="shared" si="101"/>
        <v>800</v>
      </c>
      <c r="Z103" s="34">
        <f t="shared" si="102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s="1" t="s">
        <v>790</v>
      </c>
      <c r="M104" s="32">
        <f t="shared" si="93"/>
        <v>140</v>
      </c>
      <c r="N104" s="33">
        <f t="shared" si="94"/>
        <v>1</v>
      </c>
      <c r="O104" s="33">
        <f t="shared" si="95"/>
        <v>4</v>
      </c>
      <c r="P104" s="33">
        <f t="shared" si="96"/>
        <v>1</v>
      </c>
      <c r="Q104" s="34">
        <f t="shared" si="97"/>
        <v>0</v>
      </c>
      <c r="R104" s="33">
        <f t="shared" si="98"/>
        <v>1</v>
      </c>
      <c r="S104" s="34">
        <f t="shared" si="92"/>
        <v>8000</v>
      </c>
      <c r="T104" s="34">
        <f t="shared" si="85"/>
        <v>1</v>
      </c>
      <c r="U104" s="34">
        <f>IF(AND(IFERROR(FIND("RA",#REF!),0)&gt;0, IFERROR(FIND("RA",#REF!),0)&lt;38),"RA",0)</f>
        <v>0</v>
      </c>
      <c r="V104" s="34">
        <f t="shared" si="87"/>
        <v>1</v>
      </c>
      <c r="W104" s="34" t="str">
        <f t="shared" si="99"/>
        <v>FEW</v>
      </c>
      <c r="X104" s="34">
        <f t="shared" si="100"/>
        <v>0</v>
      </c>
      <c r="Y104" s="34">
        <f t="shared" si="101"/>
        <v>800</v>
      </c>
      <c r="Z104" s="34">
        <f t="shared" si="102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9</v>
      </c>
      <c r="U109" s="25"/>
      <c r="V109" s="25">
        <f>SUM(V93:V104)</f>
        <v>9</v>
      </c>
      <c r="W109" s="25"/>
      <c r="X109" s="25">
        <f>SUM(X93:X104)</f>
        <v>7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9</v>
      </c>
      <c r="O110" s="25"/>
      <c r="P110" s="25">
        <f>SUMIF($C93:$C104,"GENERAL",P93:P104)</f>
        <v>9</v>
      </c>
      <c r="Q110" s="25"/>
      <c r="R110" s="25">
        <f>SUMIF($C93:$C104,"GENERAL",R93:R104)</f>
        <v>9</v>
      </c>
      <c r="S110" s="25"/>
      <c r="T110" s="25">
        <f>SUMIF($C93:$C104,"GENERAL",T93:T104)</f>
        <v>9</v>
      </c>
      <c r="U110" s="25"/>
      <c r="V110" s="25">
        <f>SUMIF($C93:$C104,"GENERAL",V93:V104)</f>
        <v>9</v>
      </c>
      <c r="W110" s="25"/>
      <c r="X110" s="25">
        <f>SUMIF($C93:$C104,"GENERAL",X93:X104)</f>
        <v>7</v>
      </c>
      <c r="Y110" s="25"/>
      <c r="Z110" s="25">
        <f>SUMIF($C93:$C104,"GENERAL",Z93:Z104)</f>
        <v>9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3</v>
      </c>
      <c r="M113" s="42">
        <f>SUMIF($C93:$C104,"TEMPO",N93:N104)</f>
        <v>3</v>
      </c>
      <c r="N113" s="42">
        <f>M113</f>
        <v>3</v>
      </c>
      <c r="O113" s="42">
        <f>SUMIF($C93:$C104,"TEMPO",P93:P104)</f>
        <v>3</v>
      </c>
      <c r="P113" s="42">
        <f>O113</f>
        <v>3</v>
      </c>
      <c r="Q113" s="42">
        <f>SUMIF($C93:$C104,"TEMPO",R93:R104)</f>
        <v>3</v>
      </c>
      <c r="R113" s="42">
        <f>Q113</f>
        <v>3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3</v>
      </c>
      <c r="Z113" s="42">
        <f>Y113</f>
        <v>3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75</v>
      </c>
      <c r="U114" s="38"/>
      <c r="V114" s="38">
        <f>(SUM(V110:V113)/COUNTA(V93:V104))*100</f>
        <v>75</v>
      </c>
      <c r="W114" s="38"/>
      <c r="X114" s="38">
        <f>(SUM(X110:X113)/COUNTA(X93:X104))*100</f>
        <v>58.333333333333336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77B23-5797-0447-B223-5BE00C386CCA}">
  <sheetPr>
    <tabColor theme="0"/>
  </sheetPr>
  <dimension ref="A1:AE115"/>
  <sheetViews>
    <sheetView topLeftCell="A100" workbookViewId="0">
      <selection activeCell="L107" sqref="L107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769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27</v>
      </c>
      <c r="B7" s="28">
        <v>0</v>
      </c>
      <c r="C7" s="51" t="s">
        <v>39</v>
      </c>
      <c r="D7" s="52"/>
      <c r="E7" s="51">
        <v>130</v>
      </c>
      <c r="F7" s="51">
        <v>3</v>
      </c>
      <c r="G7" s="51">
        <v>0</v>
      </c>
      <c r="H7" s="51">
        <v>8000</v>
      </c>
      <c r="I7" s="51">
        <v>0</v>
      </c>
      <c r="J7" s="51" t="s">
        <v>58</v>
      </c>
      <c r="K7" s="51">
        <v>900</v>
      </c>
      <c r="L7" s="1" t="s">
        <v>785</v>
      </c>
      <c r="M7" s="32">
        <f>IF(ISNUMBER(VALUE(FIND("VRB",L7))),999,VALUE(MID(L7,20,3)))</f>
        <v>120</v>
      </c>
      <c r="N7" s="33">
        <f>IF(OR(ABS(E7-M7)&lt;61,AND(ABS(E7-M7)&gt;60,O7&lt;10),E7=M7,AND(E7=999,ISNUMBER(VALUE(FIND("TS",L7)))),AND(E7=999,ISNUMBER(VALUE(FIND("CB",L7)))),AND(E7=999,O7&lt;10),AND(F7&lt;10,M7=999,O7&lt;10)),1,0)</f>
        <v>1</v>
      </c>
      <c r="O7" s="33">
        <f>VALUE(MID(L7,23,2))</f>
        <v>5</v>
      </c>
      <c r="P7" s="33">
        <f t="shared" ref="P7:P18" si="0">IF(ABS(O7-F7)&lt;11,1,0)</f>
        <v>1</v>
      </c>
      <c r="Q7" s="34">
        <f>IF(MID(L7,25,1)="G","GUST",0)</f>
        <v>0</v>
      </c>
      <c r="R7" s="33">
        <f t="shared" ref="R7:R18" si="1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2">IF(OR(AND(H7&lt;801,S7&lt;801),AND(H7&gt;799,H7&lt;1501,S7&gt;799,S7&lt;1502),AND(H7&gt;1499,H7&lt;3001,S7&gt;1499,S7&lt;3001),AND(H7&gt;2999,H7&lt;5001,S7&gt;2999,S7&lt;5001),AND(H7&gt;4999,S7&gt;4999)),1,0)</f>
        <v>1</v>
      </c>
      <c r="U7" s="34">
        <f>IF(AND(IFERROR(FIND("RA",L7),0)&gt;0, IFERROR(FIND("RA",L7),0)&lt;38),"RA",0)</f>
        <v>0</v>
      </c>
      <c r="V7" s="34">
        <f t="shared" ref="V7:V18" si="3">IF(U7=I7,1,0)</f>
        <v>1</v>
      </c>
      <c r="W7" s="34" t="str">
        <f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4">IF(OR(AND(OR(J7="SKC",J7="FEW",J7="SCT"),OR(W7="SKC",W7="FEW",W7="SCT")),(AND(OR(J7="BKN",J7="OVC"),OR(W7="BKN",W7="OVC")))),1,0)</f>
        <v>1</v>
      </c>
      <c r="Y7" s="34">
        <f>IF(ISNUMBER(VALUE(FIND("CAVOK",L7))),9999,IF(ISNUMBER(VALUE(FIND("NSC",L7))),9999,(MID(L7,(FIND(W7,L7)+4),2))*100))</f>
        <v>800</v>
      </c>
      <c r="Z7" s="34">
        <f t="shared" ref="Z7:Z18" si="5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51" t="s">
        <v>39</v>
      </c>
      <c r="D8" s="52"/>
      <c r="E8" s="51">
        <v>130</v>
      </c>
      <c r="F8" s="51">
        <v>3</v>
      </c>
      <c r="G8" s="51">
        <v>0</v>
      </c>
      <c r="H8" s="51">
        <v>8000</v>
      </c>
      <c r="I8" s="51">
        <v>0</v>
      </c>
      <c r="J8" s="51" t="s">
        <v>58</v>
      </c>
      <c r="K8" s="51">
        <v>900</v>
      </c>
      <c r="L8" s="1" t="s">
        <v>786</v>
      </c>
      <c r="M8" s="32">
        <f t="shared" ref="M8:M18" si="6">IF(ISNUMBER(VALUE(FIND("VRB",L8))),999,VALUE(MID(L8,20,3)))</f>
        <v>120</v>
      </c>
      <c r="N8" s="33">
        <f t="shared" ref="N8:N18" si="7">IF(OR(ABS(E8-M8)&lt;61,AND(ABS(E8-M8)&gt;60,O8&lt;10),E8=M8,AND(E8=999,ISNUMBER(VALUE(FIND("TS",L8)))),AND(E8=999,ISNUMBER(VALUE(FIND("CB",L8)))),AND(E8=999,O8&lt;10),AND(F8&lt;10,M8=999,O8&lt;10)),1,0)</f>
        <v>1</v>
      </c>
      <c r="O8" s="33">
        <f t="shared" ref="O8:O18" si="8">VALUE(MID(L8,23,2))</f>
        <v>5</v>
      </c>
      <c r="P8" s="33">
        <f t="shared" si="0"/>
        <v>1</v>
      </c>
      <c r="Q8" s="34">
        <f t="shared" ref="Q8:Q18" si="9">IF(MID(L8,25,1)="G","GUST",0)</f>
        <v>0</v>
      </c>
      <c r="R8" s="33">
        <f t="shared" si="1"/>
        <v>1</v>
      </c>
      <c r="S8" s="34">
        <f t="shared" ref="S8:S18" si="10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2"/>
        <v>1</v>
      </c>
      <c r="U8" s="34">
        <f t="shared" ref="U8:U18" si="11">IF(AND(IFERROR(FIND("RA",L8),0)&gt;0, IFERROR(FIND("RA",L8),0)&lt;38),"RA",0)</f>
        <v>0</v>
      </c>
      <c r="V8" s="34">
        <f t="shared" si="3"/>
        <v>1</v>
      </c>
      <c r="W8" s="34" t="str">
        <f t="shared" ref="W8:W18" si="12">IF(ISNUMBER(VALUE(FIND("FEW",L8))),"FEW",IF(ISNUMBER(VALUE(FIND("SCT",L8))),"SCT",IF(ISNUMBER(VALUE(FIND("BKN",L8))),"BKN",IF(ISNUMBER(VALUE(FIND("OVC",L8))),"OVC",IF(ISNUMBER(VALUE(FIND("SKC",L8))),"SKC",IF(ISNUMBER(VALUE(FIND("CAVOK",L8))),"SKC",IF(ISNUMBER(VALUE(FIND("NSC",L8))),"SKC","EROR")))))))</f>
        <v>BKN</v>
      </c>
      <c r="X8" s="34">
        <f t="shared" si="4"/>
        <v>1</v>
      </c>
      <c r="Y8" s="34">
        <f t="shared" ref="Y8:Y18" si="13">IF(ISNUMBER(VALUE(FIND("CAVOK",L8))),9999,IF(ISNUMBER(VALUE(FIND("NSC",L8))),9999,(MID(L8,(FIND(W8,L8)+4),2))*100))</f>
        <v>800</v>
      </c>
      <c r="Z8" s="34">
        <f t="shared" si="5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51" t="s">
        <v>39</v>
      </c>
      <c r="D9" s="52"/>
      <c r="E9" s="51">
        <v>130</v>
      </c>
      <c r="F9" s="51">
        <v>3</v>
      </c>
      <c r="G9" s="51">
        <v>0</v>
      </c>
      <c r="H9" s="51">
        <v>8000</v>
      </c>
      <c r="I9" s="51">
        <v>0</v>
      </c>
      <c r="J9" s="51" t="s">
        <v>58</v>
      </c>
      <c r="K9" s="51">
        <v>900</v>
      </c>
      <c r="L9" s="1" t="s">
        <v>787</v>
      </c>
      <c r="M9" s="32">
        <f t="shared" si="6"/>
        <v>0</v>
      </c>
      <c r="N9" s="33">
        <f t="shared" si="7"/>
        <v>1</v>
      </c>
      <c r="O9" s="33">
        <f t="shared" si="8"/>
        <v>0</v>
      </c>
      <c r="P9" s="33">
        <f t="shared" si="0"/>
        <v>1</v>
      </c>
      <c r="Q9" s="34">
        <f t="shared" si="9"/>
        <v>0</v>
      </c>
      <c r="R9" s="33">
        <f t="shared" si="1"/>
        <v>1</v>
      </c>
      <c r="S9" s="34">
        <f t="shared" si="10"/>
        <v>8000</v>
      </c>
      <c r="T9" s="34">
        <f t="shared" si="2"/>
        <v>1</v>
      </c>
      <c r="U9" s="34">
        <f t="shared" si="11"/>
        <v>0</v>
      </c>
      <c r="V9" s="34">
        <f t="shared" si="3"/>
        <v>1</v>
      </c>
      <c r="W9" s="34" t="str">
        <f t="shared" si="12"/>
        <v>BKN</v>
      </c>
      <c r="X9" s="34">
        <f t="shared" si="4"/>
        <v>1</v>
      </c>
      <c r="Y9" s="34">
        <f t="shared" si="13"/>
        <v>800</v>
      </c>
      <c r="Z9" s="34">
        <f t="shared" si="5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51" t="s">
        <v>39</v>
      </c>
      <c r="D10" s="52"/>
      <c r="E10" s="51">
        <v>130</v>
      </c>
      <c r="F10" s="51">
        <v>3</v>
      </c>
      <c r="G10" s="51">
        <v>0</v>
      </c>
      <c r="H10" s="51">
        <v>8000</v>
      </c>
      <c r="I10" s="51">
        <v>0</v>
      </c>
      <c r="J10" s="51" t="s">
        <v>58</v>
      </c>
      <c r="K10" s="51">
        <v>900</v>
      </c>
      <c r="L10" s="1" t="s">
        <v>788</v>
      </c>
      <c r="M10" s="32">
        <f t="shared" si="6"/>
        <v>160</v>
      </c>
      <c r="N10" s="33">
        <f t="shared" si="7"/>
        <v>1</v>
      </c>
      <c r="O10" s="33">
        <f t="shared" si="8"/>
        <v>6</v>
      </c>
      <c r="P10" s="33">
        <f t="shared" si="0"/>
        <v>1</v>
      </c>
      <c r="Q10" s="34">
        <f t="shared" si="9"/>
        <v>0</v>
      </c>
      <c r="R10" s="33">
        <f t="shared" si="1"/>
        <v>1</v>
      </c>
      <c r="S10" s="34">
        <f t="shared" si="10"/>
        <v>8000</v>
      </c>
      <c r="T10" s="34">
        <f t="shared" si="2"/>
        <v>1</v>
      </c>
      <c r="U10" s="34">
        <f t="shared" si="11"/>
        <v>0</v>
      </c>
      <c r="V10" s="34">
        <f t="shared" si="3"/>
        <v>1</v>
      </c>
      <c r="W10" s="34" t="str">
        <f t="shared" si="12"/>
        <v>BKN</v>
      </c>
      <c r="X10" s="34">
        <f t="shared" si="4"/>
        <v>1</v>
      </c>
      <c r="Y10" s="34">
        <f t="shared" si="13"/>
        <v>800</v>
      </c>
      <c r="Z10" s="34">
        <f t="shared" si="5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51" t="s">
        <v>39</v>
      </c>
      <c r="D11" s="52"/>
      <c r="E11" s="51">
        <v>130</v>
      </c>
      <c r="F11" s="51">
        <v>3</v>
      </c>
      <c r="G11" s="51">
        <v>0</v>
      </c>
      <c r="H11" s="51">
        <v>8000</v>
      </c>
      <c r="I11" s="51">
        <v>0</v>
      </c>
      <c r="J11" s="51" t="s">
        <v>58</v>
      </c>
      <c r="K11" s="51">
        <v>900</v>
      </c>
      <c r="L11" s="1" t="s">
        <v>789</v>
      </c>
      <c r="M11" s="32">
        <f t="shared" si="6"/>
        <v>100</v>
      </c>
      <c r="N11" s="33">
        <f t="shared" si="7"/>
        <v>1</v>
      </c>
      <c r="O11" s="33">
        <f t="shared" si="8"/>
        <v>6</v>
      </c>
      <c r="P11" s="33">
        <f t="shared" si="0"/>
        <v>1</v>
      </c>
      <c r="Q11" s="34">
        <f t="shared" si="9"/>
        <v>0</v>
      </c>
      <c r="R11" s="33">
        <f t="shared" si="1"/>
        <v>1</v>
      </c>
      <c r="S11" s="34">
        <f t="shared" si="10"/>
        <v>8000</v>
      </c>
      <c r="T11" s="34">
        <f t="shared" si="2"/>
        <v>1</v>
      </c>
      <c r="U11" s="34">
        <f t="shared" si="11"/>
        <v>0</v>
      </c>
      <c r="V11" s="34">
        <f t="shared" si="3"/>
        <v>1</v>
      </c>
      <c r="W11" s="34" t="str">
        <f t="shared" si="12"/>
        <v>FEW</v>
      </c>
      <c r="X11" s="34">
        <f t="shared" si="4"/>
        <v>0</v>
      </c>
      <c r="Y11" s="34">
        <f t="shared" si="13"/>
        <v>800</v>
      </c>
      <c r="Z11" s="34">
        <f t="shared" si="5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51" t="s">
        <v>39</v>
      </c>
      <c r="D12" s="52"/>
      <c r="E12" s="51">
        <v>130</v>
      </c>
      <c r="F12" s="51">
        <v>3</v>
      </c>
      <c r="G12" s="51">
        <v>0</v>
      </c>
      <c r="H12" s="51">
        <v>8000</v>
      </c>
      <c r="I12" s="51">
        <v>0</v>
      </c>
      <c r="J12" s="51" t="s">
        <v>58</v>
      </c>
      <c r="K12" s="51">
        <v>900</v>
      </c>
      <c r="L12" s="1" t="s">
        <v>790</v>
      </c>
      <c r="M12" s="32">
        <f t="shared" si="6"/>
        <v>140</v>
      </c>
      <c r="N12" s="33">
        <f t="shared" si="7"/>
        <v>1</v>
      </c>
      <c r="O12" s="33">
        <f t="shared" si="8"/>
        <v>4</v>
      </c>
      <c r="P12" s="33">
        <f t="shared" si="0"/>
        <v>1</v>
      </c>
      <c r="Q12" s="34">
        <f t="shared" si="9"/>
        <v>0</v>
      </c>
      <c r="R12" s="33">
        <f t="shared" si="1"/>
        <v>1</v>
      </c>
      <c r="S12" s="34">
        <f t="shared" si="10"/>
        <v>8000</v>
      </c>
      <c r="T12" s="34">
        <f t="shared" si="2"/>
        <v>1</v>
      </c>
      <c r="U12" s="34">
        <f t="shared" si="11"/>
        <v>0</v>
      </c>
      <c r="V12" s="34">
        <f t="shared" si="3"/>
        <v>1</v>
      </c>
      <c r="W12" s="34" t="str">
        <f t="shared" si="12"/>
        <v>FEW</v>
      </c>
      <c r="X12" s="34">
        <f t="shared" si="4"/>
        <v>0</v>
      </c>
      <c r="Y12" s="34">
        <f t="shared" si="13"/>
        <v>800</v>
      </c>
      <c r="Z12" s="34">
        <f t="shared" si="5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51" t="s">
        <v>39</v>
      </c>
      <c r="D13" s="52"/>
      <c r="E13" s="51">
        <v>130</v>
      </c>
      <c r="F13" s="51">
        <v>3</v>
      </c>
      <c r="G13" s="51">
        <v>0</v>
      </c>
      <c r="H13" s="51">
        <v>8000</v>
      </c>
      <c r="I13" s="51">
        <v>0</v>
      </c>
      <c r="J13" s="51" t="s">
        <v>58</v>
      </c>
      <c r="K13" s="51">
        <v>900</v>
      </c>
      <c r="L13" s="1" t="s">
        <v>794</v>
      </c>
      <c r="M13" s="32">
        <f t="shared" si="6"/>
        <v>150</v>
      </c>
      <c r="N13" s="33">
        <f t="shared" si="7"/>
        <v>1</v>
      </c>
      <c r="O13" s="33">
        <f t="shared" si="8"/>
        <v>4</v>
      </c>
      <c r="P13" s="33">
        <f t="shared" si="0"/>
        <v>1</v>
      </c>
      <c r="Q13" s="34">
        <f t="shared" si="9"/>
        <v>0</v>
      </c>
      <c r="R13" s="33">
        <f t="shared" si="1"/>
        <v>1</v>
      </c>
      <c r="S13" s="34">
        <f t="shared" si="10"/>
        <v>8000</v>
      </c>
      <c r="T13" s="34">
        <f t="shared" si="2"/>
        <v>1</v>
      </c>
      <c r="U13" s="34">
        <f t="shared" si="11"/>
        <v>0</v>
      </c>
      <c r="V13" s="34">
        <f t="shared" si="3"/>
        <v>1</v>
      </c>
      <c r="W13" s="34" t="str">
        <f t="shared" si="12"/>
        <v>FEW</v>
      </c>
      <c r="X13" s="34">
        <f t="shared" si="4"/>
        <v>0</v>
      </c>
      <c r="Y13" s="34">
        <f t="shared" si="13"/>
        <v>800</v>
      </c>
      <c r="Z13" s="34">
        <f t="shared" si="5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51" t="s">
        <v>39</v>
      </c>
      <c r="D14" s="52"/>
      <c r="E14" s="51">
        <v>130</v>
      </c>
      <c r="F14" s="51">
        <v>3</v>
      </c>
      <c r="G14" s="51">
        <v>0</v>
      </c>
      <c r="H14" s="51">
        <v>8000</v>
      </c>
      <c r="I14" s="51">
        <v>0</v>
      </c>
      <c r="J14" s="51" t="s">
        <v>58</v>
      </c>
      <c r="K14" s="51">
        <v>900</v>
      </c>
      <c r="L14" s="1" t="s">
        <v>795</v>
      </c>
      <c r="M14" s="32">
        <f t="shared" si="6"/>
        <v>150</v>
      </c>
      <c r="N14" s="33">
        <f t="shared" si="7"/>
        <v>1</v>
      </c>
      <c r="O14" s="33">
        <f t="shared" si="8"/>
        <v>4</v>
      </c>
      <c r="P14" s="33">
        <f t="shared" si="0"/>
        <v>1</v>
      </c>
      <c r="Q14" s="34">
        <f t="shared" si="9"/>
        <v>0</v>
      </c>
      <c r="R14" s="33">
        <f t="shared" si="1"/>
        <v>1</v>
      </c>
      <c r="S14" s="34">
        <f t="shared" si="10"/>
        <v>8000</v>
      </c>
      <c r="T14" s="34">
        <f t="shared" si="2"/>
        <v>1</v>
      </c>
      <c r="U14" s="34">
        <f t="shared" si="11"/>
        <v>0</v>
      </c>
      <c r="V14" s="34">
        <f t="shared" si="3"/>
        <v>1</v>
      </c>
      <c r="W14" s="34" t="str">
        <f t="shared" si="12"/>
        <v>FEW</v>
      </c>
      <c r="X14" s="34">
        <f t="shared" si="4"/>
        <v>0</v>
      </c>
      <c r="Y14" s="34">
        <f t="shared" si="13"/>
        <v>800</v>
      </c>
      <c r="Z14" s="34">
        <f t="shared" si="5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51" t="s">
        <v>39</v>
      </c>
      <c r="D15" s="52"/>
      <c r="E15" s="51">
        <v>130</v>
      </c>
      <c r="F15" s="51">
        <v>3</v>
      </c>
      <c r="G15" s="51">
        <v>0</v>
      </c>
      <c r="H15" s="51">
        <v>8000</v>
      </c>
      <c r="I15" s="51">
        <v>0</v>
      </c>
      <c r="J15" s="51" t="s">
        <v>58</v>
      </c>
      <c r="K15" s="51">
        <v>900</v>
      </c>
      <c r="L15" s="70" t="s">
        <v>796</v>
      </c>
      <c r="M15" s="32">
        <f t="shared" si="6"/>
        <v>90</v>
      </c>
      <c r="N15" s="33">
        <f t="shared" si="7"/>
        <v>1</v>
      </c>
      <c r="O15" s="33">
        <f t="shared" si="8"/>
        <v>4</v>
      </c>
      <c r="P15" s="33">
        <f t="shared" si="0"/>
        <v>1</v>
      </c>
      <c r="Q15" s="34">
        <f t="shared" si="9"/>
        <v>0</v>
      </c>
      <c r="R15" s="33">
        <f t="shared" si="1"/>
        <v>1</v>
      </c>
      <c r="S15" s="34">
        <f t="shared" si="10"/>
        <v>8000</v>
      </c>
      <c r="T15" s="34">
        <f t="shared" si="2"/>
        <v>1</v>
      </c>
      <c r="U15" s="34">
        <f t="shared" si="11"/>
        <v>0</v>
      </c>
      <c r="V15" s="34">
        <f t="shared" si="3"/>
        <v>1</v>
      </c>
      <c r="W15" s="34" t="str">
        <f t="shared" si="12"/>
        <v>FEW</v>
      </c>
      <c r="X15" s="34">
        <f t="shared" si="4"/>
        <v>0</v>
      </c>
      <c r="Y15" s="34">
        <f t="shared" si="13"/>
        <v>800</v>
      </c>
      <c r="Z15" s="34">
        <f t="shared" si="5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51" t="s">
        <v>39</v>
      </c>
      <c r="D16" s="52"/>
      <c r="E16" s="51">
        <v>130</v>
      </c>
      <c r="F16" s="51">
        <v>3</v>
      </c>
      <c r="G16" s="51">
        <v>0</v>
      </c>
      <c r="H16" s="51">
        <v>8000</v>
      </c>
      <c r="I16" s="51">
        <v>0</v>
      </c>
      <c r="J16" s="51" t="s">
        <v>58</v>
      </c>
      <c r="K16" s="51">
        <v>900</v>
      </c>
      <c r="L16" s="70" t="s">
        <v>797</v>
      </c>
      <c r="M16" s="32">
        <f t="shared" si="6"/>
        <v>70</v>
      </c>
      <c r="N16" s="33">
        <f t="shared" si="7"/>
        <v>1</v>
      </c>
      <c r="O16" s="33">
        <f t="shared" si="8"/>
        <v>3</v>
      </c>
      <c r="P16" s="33">
        <f t="shared" si="0"/>
        <v>1</v>
      </c>
      <c r="Q16" s="34">
        <f t="shared" si="9"/>
        <v>0</v>
      </c>
      <c r="R16" s="33">
        <f t="shared" si="1"/>
        <v>1</v>
      </c>
      <c r="S16" s="34">
        <f t="shared" si="10"/>
        <v>8000</v>
      </c>
      <c r="T16" s="34">
        <f t="shared" si="2"/>
        <v>1</v>
      </c>
      <c r="U16" s="34">
        <f t="shared" si="11"/>
        <v>0</v>
      </c>
      <c r="V16" s="34">
        <f t="shared" si="3"/>
        <v>1</v>
      </c>
      <c r="W16" s="34" t="str">
        <f t="shared" si="12"/>
        <v>FEW</v>
      </c>
      <c r="X16" s="34">
        <f t="shared" si="4"/>
        <v>0</v>
      </c>
      <c r="Y16" s="34">
        <f t="shared" si="13"/>
        <v>800</v>
      </c>
      <c r="Z16" s="34">
        <f t="shared" si="5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51" t="s">
        <v>39</v>
      </c>
      <c r="D17" s="52"/>
      <c r="E17" s="51">
        <v>130</v>
      </c>
      <c r="F17" s="51">
        <v>3</v>
      </c>
      <c r="G17" s="51">
        <v>0</v>
      </c>
      <c r="H17" s="51">
        <v>8000</v>
      </c>
      <c r="I17" s="51">
        <v>0</v>
      </c>
      <c r="J17" s="51" t="s">
        <v>58</v>
      </c>
      <c r="K17" s="51">
        <v>900</v>
      </c>
      <c r="L17" s="70" t="s">
        <v>798</v>
      </c>
      <c r="M17" s="32">
        <f t="shared" si="6"/>
        <v>0</v>
      </c>
      <c r="N17" s="33">
        <f t="shared" si="7"/>
        <v>1</v>
      </c>
      <c r="O17" s="33">
        <f t="shared" si="8"/>
        <v>0</v>
      </c>
      <c r="P17" s="33">
        <f t="shared" si="0"/>
        <v>1</v>
      </c>
      <c r="Q17" s="34">
        <f t="shared" si="9"/>
        <v>0</v>
      </c>
      <c r="R17" s="33">
        <f t="shared" si="1"/>
        <v>1</v>
      </c>
      <c r="S17" s="34">
        <f t="shared" si="10"/>
        <v>8000</v>
      </c>
      <c r="T17" s="34">
        <f t="shared" si="2"/>
        <v>1</v>
      </c>
      <c r="U17" s="34">
        <f t="shared" si="11"/>
        <v>0</v>
      </c>
      <c r="V17" s="34">
        <f t="shared" si="3"/>
        <v>1</v>
      </c>
      <c r="W17" s="34" t="str">
        <f t="shared" si="12"/>
        <v>FEW</v>
      </c>
      <c r="X17" s="34">
        <f t="shared" si="4"/>
        <v>0</v>
      </c>
      <c r="Y17" s="34">
        <f t="shared" si="13"/>
        <v>800</v>
      </c>
      <c r="Z17" s="34">
        <f t="shared" si="5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51" t="s">
        <v>39</v>
      </c>
      <c r="D18" s="52"/>
      <c r="E18" s="51">
        <v>130</v>
      </c>
      <c r="F18" s="51">
        <v>3</v>
      </c>
      <c r="G18" s="51">
        <v>0</v>
      </c>
      <c r="H18" s="51">
        <v>8000</v>
      </c>
      <c r="I18" s="51">
        <v>0</v>
      </c>
      <c r="J18" s="51" t="s">
        <v>58</v>
      </c>
      <c r="K18" s="51">
        <v>900</v>
      </c>
      <c r="L18" s="70" t="s">
        <v>799</v>
      </c>
      <c r="M18" s="32">
        <f t="shared" si="6"/>
        <v>40</v>
      </c>
      <c r="N18" s="33">
        <f t="shared" si="7"/>
        <v>1</v>
      </c>
      <c r="O18" s="33">
        <f t="shared" si="8"/>
        <v>2</v>
      </c>
      <c r="P18" s="33">
        <f t="shared" si="0"/>
        <v>1</v>
      </c>
      <c r="Q18" s="34">
        <f t="shared" si="9"/>
        <v>0</v>
      </c>
      <c r="R18" s="33">
        <f t="shared" si="1"/>
        <v>1</v>
      </c>
      <c r="S18" s="34">
        <f t="shared" si="10"/>
        <v>8000</v>
      </c>
      <c r="T18" s="34">
        <f t="shared" si="2"/>
        <v>1</v>
      </c>
      <c r="U18" s="34">
        <f t="shared" si="11"/>
        <v>0</v>
      </c>
      <c r="V18" s="34">
        <f t="shared" si="3"/>
        <v>1</v>
      </c>
      <c r="W18" s="34" t="str">
        <f t="shared" si="12"/>
        <v>FEW</v>
      </c>
      <c r="X18" s="34">
        <f t="shared" si="4"/>
        <v>0</v>
      </c>
      <c r="Y18" s="34">
        <f t="shared" si="13"/>
        <v>800</v>
      </c>
      <c r="Z18" s="34">
        <f t="shared" si="5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12</v>
      </c>
      <c r="W23" s="25"/>
      <c r="X23" s="25">
        <f>SUM(X7:X18)</f>
        <v>4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12</v>
      </c>
      <c r="U24" s="25"/>
      <c r="V24" s="25">
        <f>SUMIF($C7:$C18,"GENERAL",V7:V18)</f>
        <v>12</v>
      </c>
      <c r="W24" s="25"/>
      <c r="X24" s="25">
        <f>SUMIF($C7:$C18,"GENERAL",X7:X18)</f>
        <v>4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100</v>
      </c>
      <c r="W28" s="38"/>
      <c r="X28" s="38">
        <f>(SUM(X24:X27)/COUNTA(X7:X18))*100</f>
        <v>33.333333333333329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770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27</v>
      </c>
      <c r="B36" s="28">
        <v>0.25</v>
      </c>
      <c r="C36" s="51" t="s">
        <v>39</v>
      </c>
      <c r="D36" s="52"/>
      <c r="E36" s="51">
        <v>150</v>
      </c>
      <c r="F36" s="51">
        <v>3</v>
      </c>
      <c r="G36" s="51">
        <v>0</v>
      </c>
      <c r="H36" s="51">
        <v>8000</v>
      </c>
      <c r="I36" s="51">
        <v>0</v>
      </c>
      <c r="J36" s="51" t="s">
        <v>51</v>
      </c>
      <c r="K36" s="51">
        <v>800</v>
      </c>
      <c r="L36" s="1" t="s">
        <v>794</v>
      </c>
      <c r="M36" s="32">
        <f t="shared" ref="M36:M47" si="14">IF(ISNUMBER(VALUE(FIND("VRB",L36))),999,VALUE(MID(L36,20,3)))</f>
        <v>150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4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1">IF(AND(IFERROR(FIND("RA",L36),0)&gt;0, IFERROR(FIND("RA",L36),0)&lt;38),"RA",0)</f>
        <v>0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FEW</v>
      </c>
      <c r="X36" s="34">
        <f t="shared" ref="X36:X47" si="24">IF(OR(AND(OR(J36="SKC",J36="FEW",J36="SCT"),OR(W36="SKC",W36="FEW",W36="SCT")),(AND(OR(J36="BKN",J36="OVC"),OR(W36="BKN",W36="OVC")))),1,0)</f>
        <v>1</v>
      </c>
      <c r="Y36" s="34">
        <f t="shared" ref="Y36:Y47" si="25">IF(ISNUMBER(VALUE(FIND("CAVOK",L36))),9999,IF(ISNUMBER(VALUE(FIND("NSC",L36))),9999,(MID(L36,(FIND(W36,L36)+4),2))*100))</f>
        <v>800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51" t="s">
        <v>39</v>
      </c>
      <c r="D37" s="52"/>
      <c r="E37" s="51">
        <v>150</v>
      </c>
      <c r="F37" s="51">
        <v>3</v>
      </c>
      <c r="G37" s="51">
        <v>0</v>
      </c>
      <c r="H37" s="51">
        <v>8000</v>
      </c>
      <c r="I37" s="51">
        <v>0</v>
      </c>
      <c r="J37" s="51" t="s">
        <v>51</v>
      </c>
      <c r="K37" s="51">
        <v>800</v>
      </c>
      <c r="L37" s="1" t="s">
        <v>795</v>
      </c>
      <c r="M37" s="32">
        <f t="shared" si="14"/>
        <v>150</v>
      </c>
      <c r="N37" s="33">
        <f t="shared" si="15"/>
        <v>1</v>
      </c>
      <c r="O37" s="33">
        <f t="shared" si="16"/>
        <v>4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20"/>
        <v>1</v>
      </c>
      <c r="U37" s="34">
        <f t="shared" si="21"/>
        <v>0</v>
      </c>
      <c r="V37" s="34">
        <f t="shared" si="22"/>
        <v>1</v>
      </c>
      <c r="W37" s="34" t="str">
        <f t="shared" si="23"/>
        <v>FEW</v>
      </c>
      <c r="X37" s="34">
        <f t="shared" si="24"/>
        <v>1</v>
      </c>
      <c r="Y37" s="34">
        <f t="shared" si="25"/>
        <v>800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51" t="s">
        <v>39</v>
      </c>
      <c r="D38" s="52"/>
      <c r="E38" s="51">
        <v>150</v>
      </c>
      <c r="F38" s="51">
        <v>3</v>
      </c>
      <c r="G38" s="51">
        <v>0</v>
      </c>
      <c r="H38" s="51">
        <v>8000</v>
      </c>
      <c r="I38" s="51">
        <v>0</v>
      </c>
      <c r="J38" s="51" t="s">
        <v>51</v>
      </c>
      <c r="K38" s="51">
        <v>800</v>
      </c>
      <c r="L38" s="51" t="s">
        <v>796</v>
      </c>
      <c r="M38" s="32">
        <f t="shared" si="14"/>
        <v>90</v>
      </c>
      <c r="N38" s="33">
        <f t="shared" si="15"/>
        <v>1</v>
      </c>
      <c r="O38" s="33">
        <f t="shared" si="16"/>
        <v>4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8000</v>
      </c>
      <c r="T38" s="34">
        <f t="shared" si="20"/>
        <v>1</v>
      </c>
      <c r="U38" s="34">
        <f t="shared" si="21"/>
        <v>0</v>
      </c>
      <c r="V38" s="34">
        <f t="shared" si="22"/>
        <v>1</v>
      </c>
      <c r="W38" s="34" t="str">
        <f t="shared" si="23"/>
        <v>FEW</v>
      </c>
      <c r="X38" s="34">
        <f t="shared" si="24"/>
        <v>1</v>
      </c>
      <c r="Y38" s="34">
        <f t="shared" si="25"/>
        <v>800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51" t="s">
        <v>39</v>
      </c>
      <c r="D39" s="52"/>
      <c r="E39" s="51">
        <v>150</v>
      </c>
      <c r="F39" s="51">
        <v>3</v>
      </c>
      <c r="G39" s="51">
        <v>0</v>
      </c>
      <c r="H39" s="51">
        <v>8000</v>
      </c>
      <c r="I39" s="51">
        <v>0</v>
      </c>
      <c r="J39" s="51" t="s">
        <v>51</v>
      </c>
      <c r="K39" s="51">
        <v>800</v>
      </c>
      <c r="L39" s="51" t="s">
        <v>797</v>
      </c>
      <c r="M39" s="32">
        <f t="shared" si="14"/>
        <v>70</v>
      </c>
      <c r="N39" s="33">
        <f t="shared" si="15"/>
        <v>1</v>
      </c>
      <c r="O39" s="33">
        <f t="shared" si="16"/>
        <v>3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8000</v>
      </c>
      <c r="T39" s="34">
        <f t="shared" si="20"/>
        <v>1</v>
      </c>
      <c r="U39" s="34">
        <f t="shared" si="21"/>
        <v>0</v>
      </c>
      <c r="V39" s="34">
        <f t="shared" si="22"/>
        <v>1</v>
      </c>
      <c r="W39" s="34" t="str">
        <f t="shared" si="23"/>
        <v>FEW</v>
      </c>
      <c r="X39" s="34">
        <f t="shared" si="24"/>
        <v>1</v>
      </c>
      <c r="Y39" s="34">
        <f t="shared" si="25"/>
        <v>800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51" t="s">
        <v>39</v>
      </c>
      <c r="D40" s="52"/>
      <c r="E40" s="51">
        <v>150</v>
      </c>
      <c r="F40" s="51">
        <v>3</v>
      </c>
      <c r="G40" s="51">
        <v>0</v>
      </c>
      <c r="H40" s="51">
        <v>8000</v>
      </c>
      <c r="I40" s="51">
        <v>0</v>
      </c>
      <c r="J40" s="51" t="s">
        <v>51</v>
      </c>
      <c r="K40" s="51">
        <v>800</v>
      </c>
      <c r="L40" s="51" t="s">
        <v>798</v>
      </c>
      <c r="M40" s="32">
        <f t="shared" si="14"/>
        <v>0</v>
      </c>
      <c r="N40" s="33">
        <f t="shared" si="15"/>
        <v>1</v>
      </c>
      <c r="O40" s="33">
        <f t="shared" si="16"/>
        <v>0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8000</v>
      </c>
      <c r="T40" s="34">
        <f t="shared" si="20"/>
        <v>1</v>
      </c>
      <c r="U40" s="34">
        <f t="shared" si="21"/>
        <v>0</v>
      </c>
      <c r="V40" s="34">
        <f t="shared" si="22"/>
        <v>1</v>
      </c>
      <c r="W40" s="34" t="str">
        <f t="shared" si="23"/>
        <v>FEW</v>
      </c>
      <c r="X40" s="34">
        <f t="shared" si="24"/>
        <v>1</v>
      </c>
      <c r="Y40" s="34">
        <f t="shared" si="25"/>
        <v>800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51" t="s">
        <v>40</v>
      </c>
      <c r="D41" s="52"/>
      <c r="E41" s="51">
        <v>0</v>
      </c>
      <c r="F41" s="51">
        <v>0</v>
      </c>
      <c r="G41" s="51">
        <v>0</v>
      </c>
      <c r="H41" s="51">
        <v>4000</v>
      </c>
      <c r="I41" s="51" t="s">
        <v>52</v>
      </c>
      <c r="J41" s="51" t="s">
        <v>51</v>
      </c>
      <c r="K41" s="51">
        <v>800</v>
      </c>
      <c r="L41" s="51" t="s">
        <v>799</v>
      </c>
      <c r="M41" s="32">
        <f t="shared" si="14"/>
        <v>40</v>
      </c>
      <c r="N41" s="33">
        <f t="shared" si="15"/>
        <v>1</v>
      </c>
      <c r="O41" s="33">
        <f t="shared" si="16"/>
        <v>2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8000</v>
      </c>
      <c r="T41" s="34">
        <f t="shared" si="20"/>
        <v>0</v>
      </c>
      <c r="U41" s="34">
        <f t="shared" si="21"/>
        <v>0</v>
      </c>
      <c r="V41" s="34">
        <f t="shared" si="22"/>
        <v>0</v>
      </c>
      <c r="W41" s="34" t="str">
        <f t="shared" si="23"/>
        <v>FEW</v>
      </c>
      <c r="X41" s="34">
        <f t="shared" si="24"/>
        <v>1</v>
      </c>
      <c r="Y41" s="34">
        <f t="shared" si="25"/>
        <v>800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51" t="s">
        <v>40</v>
      </c>
      <c r="D42" s="52"/>
      <c r="E42" s="51">
        <v>0</v>
      </c>
      <c r="F42" s="51">
        <v>0</v>
      </c>
      <c r="G42" s="51">
        <v>0</v>
      </c>
      <c r="H42" s="51">
        <v>4000</v>
      </c>
      <c r="I42" s="51" t="s">
        <v>52</v>
      </c>
      <c r="J42" s="51" t="s">
        <v>51</v>
      </c>
      <c r="K42" s="51">
        <v>800</v>
      </c>
      <c r="L42" s="51" t="s">
        <v>800</v>
      </c>
      <c r="M42" s="32">
        <f t="shared" si="14"/>
        <v>40</v>
      </c>
      <c r="N42" s="33">
        <f t="shared" si="15"/>
        <v>1</v>
      </c>
      <c r="O42" s="33">
        <f t="shared" si="16"/>
        <v>2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7"/>
        <v>8000</v>
      </c>
      <c r="T42" s="34">
        <f t="shared" si="20"/>
        <v>0</v>
      </c>
      <c r="U42" s="34">
        <f t="shared" si="21"/>
        <v>0</v>
      </c>
      <c r="V42" s="34">
        <f t="shared" si="22"/>
        <v>0</v>
      </c>
      <c r="W42" s="34" t="str">
        <f t="shared" si="23"/>
        <v>FEW</v>
      </c>
      <c r="X42" s="34">
        <f t="shared" si="24"/>
        <v>1</v>
      </c>
      <c r="Y42" s="34">
        <f t="shared" si="25"/>
        <v>800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51" t="s">
        <v>40</v>
      </c>
      <c r="D43" s="52"/>
      <c r="E43" s="51">
        <v>0</v>
      </c>
      <c r="F43" s="51">
        <v>0</v>
      </c>
      <c r="G43" s="51">
        <v>0</v>
      </c>
      <c r="H43" s="51">
        <v>4000</v>
      </c>
      <c r="I43" s="51" t="s">
        <v>52</v>
      </c>
      <c r="J43" s="51" t="s">
        <v>51</v>
      </c>
      <c r="K43" s="51">
        <v>800</v>
      </c>
      <c r="L43" s="51" t="s">
        <v>801</v>
      </c>
      <c r="M43" s="32">
        <f t="shared" si="14"/>
        <v>90</v>
      </c>
      <c r="N43" s="33">
        <f t="shared" si="15"/>
        <v>1</v>
      </c>
      <c r="O43" s="33">
        <f t="shared" si="16"/>
        <v>2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7"/>
        <v>8000</v>
      </c>
      <c r="T43" s="34">
        <f t="shared" si="20"/>
        <v>0</v>
      </c>
      <c r="U43" s="34">
        <f t="shared" si="21"/>
        <v>0</v>
      </c>
      <c r="V43" s="34">
        <f t="shared" si="22"/>
        <v>0</v>
      </c>
      <c r="W43" s="34" t="str">
        <f t="shared" si="23"/>
        <v>FEW</v>
      </c>
      <c r="X43" s="34">
        <f t="shared" si="24"/>
        <v>1</v>
      </c>
      <c r="Y43" s="34">
        <f t="shared" si="25"/>
        <v>800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51" t="s">
        <v>40</v>
      </c>
      <c r="D44" s="52"/>
      <c r="E44" s="51">
        <v>0</v>
      </c>
      <c r="F44" s="51">
        <v>0</v>
      </c>
      <c r="G44" s="51">
        <v>0</v>
      </c>
      <c r="H44" s="51">
        <v>4000</v>
      </c>
      <c r="I44" s="51" t="s">
        <v>52</v>
      </c>
      <c r="J44" s="51" t="s">
        <v>51</v>
      </c>
      <c r="K44" s="51">
        <v>800</v>
      </c>
      <c r="L44" s="51" t="s">
        <v>802</v>
      </c>
      <c r="M44" s="32">
        <f t="shared" si="14"/>
        <v>0</v>
      </c>
      <c r="N44" s="33">
        <f t="shared" si="15"/>
        <v>1</v>
      </c>
      <c r="O44" s="33">
        <f t="shared" si="16"/>
        <v>0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7"/>
        <v>8000</v>
      </c>
      <c r="T44" s="34">
        <f t="shared" si="20"/>
        <v>0</v>
      </c>
      <c r="U44" s="34">
        <f t="shared" si="21"/>
        <v>0</v>
      </c>
      <c r="V44" s="34">
        <f t="shared" si="22"/>
        <v>0</v>
      </c>
      <c r="W44" s="34" t="str">
        <f t="shared" si="23"/>
        <v>FEW</v>
      </c>
      <c r="X44" s="34">
        <f t="shared" si="24"/>
        <v>1</v>
      </c>
      <c r="Y44" s="34">
        <f t="shared" si="25"/>
        <v>800</v>
      </c>
      <c r="Z44" s="34">
        <f t="shared" si="2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51" t="s">
        <v>39</v>
      </c>
      <c r="D45" s="52"/>
      <c r="E45" s="51">
        <v>150</v>
      </c>
      <c r="F45" s="51">
        <v>3</v>
      </c>
      <c r="G45" s="51">
        <v>0</v>
      </c>
      <c r="H45" s="51">
        <v>8000</v>
      </c>
      <c r="I45" s="51">
        <v>0</v>
      </c>
      <c r="J45" s="51" t="s">
        <v>51</v>
      </c>
      <c r="K45" s="51">
        <v>800</v>
      </c>
      <c r="L45" s="51" t="s">
        <v>803</v>
      </c>
      <c r="M45" s="32">
        <f t="shared" si="14"/>
        <v>90</v>
      </c>
      <c r="N45" s="33">
        <f t="shared" si="15"/>
        <v>1</v>
      </c>
      <c r="O45" s="33">
        <f t="shared" si="16"/>
        <v>3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7"/>
        <v>8000</v>
      </c>
      <c r="T45" s="34">
        <f t="shared" si="20"/>
        <v>1</v>
      </c>
      <c r="U45" s="34">
        <f t="shared" si="21"/>
        <v>0</v>
      </c>
      <c r="V45" s="34">
        <f t="shared" si="22"/>
        <v>1</v>
      </c>
      <c r="W45" s="34" t="str">
        <f t="shared" si="23"/>
        <v>FEW</v>
      </c>
      <c r="X45" s="34">
        <f t="shared" si="24"/>
        <v>1</v>
      </c>
      <c r="Y45" s="34">
        <f t="shared" si="25"/>
        <v>800</v>
      </c>
      <c r="Z45" s="34">
        <f t="shared" si="2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51" t="s">
        <v>39</v>
      </c>
      <c r="D46" s="52"/>
      <c r="E46" s="51">
        <v>150</v>
      </c>
      <c r="F46" s="51">
        <v>3</v>
      </c>
      <c r="G46" s="51">
        <v>0</v>
      </c>
      <c r="H46" s="51">
        <v>8000</v>
      </c>
      <c r="I46" s="51">
        <v>0</v>
      </c>
      <c r="J46" s="51" t="s">
        <v>51</v>
      </c>
      <c r="K46" s="51">
        <v>800</v>
      </c>
      <c r="L46" s="51" t="s">
        <v>804</v>
      </c>
      <c r="M46" s="32">
        <f t="shared" si="14"/>
        <v>100</v>
      </c>
      <c r="N46" s="33">
        <f t="shared" si="15"/>
        <v>1</v>
      </c>
      <c r="O46" s="33">
        <f t="shared" si="16"/>
        <v>3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7"/>
        <v>4000</v>
      </c>
      <c r="T46" s="34">
        <f t="shared" si="20"/>
        <v>0</v>
      </c>
      <c r="U46" s="34" t="str">
        <f t="shared" si="21"/>
        <v>RA</v>
      </c>
      <c r="V46" s="34">
        <f t="shared" si="22"/>
        <v>0</v>
      </c>
      <c r="W46" s="34" t="str">
        <f t="shared" si="23"/>
        <v>FEW</v>
      </c>
      <c r="X46" s="34">
        <f t="shared" si="24"/>
        <v>1</v>
      </c>
      <c r="Y46" s="34">
        <f t="shared" si="25"/>
        <v>800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51" t="s">
        <v>39</v>
      </c>
      <c r="D47" s="52"/>
      <c r="E47" s="51">
        <v>150</v>
      </c>
      <c r="F47" s="51">
        <v>3</v>
      </c>
      <c r="G47" s="51">
        <v>0</v>
      </c>
      <c r="H47" s="51">
        <v>8000</v>
      </c>
      <c r="I47" s="51">
        <v>0</v>
      </c>
      <c r="J47" s="51" t="s">
        <v>51</v>
      </c>
      <c r="K47" s="51">
        <v>800</v>
      </c>
      <c r="L47" s="51" t="s">
        <v>805</v>
      </c>
      <c r="M47" s="32">
        <f t="shared" si="14"/>
        <v>100</v>
      </c>
      <c r="N47" s="33">
        <f t="shared" si="15"/>
        <v>1</v>
      </c>
      <c r="O47" s="33">
        <f t="shared" si="16"/>
        <v>3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4000</v>
      </c>
      <c r="T47" s="34">
        <f t="shared" si="20"/>
        <v>0</v>
      </c>
      <c r="U47" s="34" t="str">
        <f t="shared" si="21"/>
        <v>RA</v>
      </c>
      <c r="V47" s="34">
        <f t="shared" si="22"/>
        <v>0</v>
      </c>
      <c r="W47" s="34" t="str">
        <f t="shared" si="23"/>
        <v>FEW</v>
      </c>
      <c r="X47" s="34">
        <f t="shared" si="24"/>
        <v>1</v>
      </c>
      <c r="Y47" s="34">
        <f t="shared" si="25"/>
        <v>800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6</v>
      </c>
      <c r="U52" s="25"/>
      <c r="V52" s="25">
        <f>SUM(V36:V47)</f>
        <v>6</v>
      </c>
      <c r="W52" s="25"/>
      <c r="X52" s="25">
        <f>SUM(X36:X47)</f>
        <v>12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8</v>
      </c>
      <c r="O53" s="25"/>
      <c r="P53" s="25">
        <f>SUMIF($C36:$C47,"GENERAL",P36:P47)</f>
        <v>8</v>
      </c>
      <c r="Q53" s="25"/>
      <c r="R53" s="25">
        <f>SUMIF($C36:$C47,"GENERAL",R36:R47)</f>
        <v>8</v>
      </c>
      <c r="S53" s="25"/>
      <c r="T53" s="25">
        <f>SUMIF($C36:$C47,"GENERAL",T36:T47)</f>
        <v>6</v>
      </c>
      <c r="U53" s="25"/>
      <c r="V53" s="25">
        <f>SUMIF($C36:$C47,"GENERAL",V36:V47)</f>
        <v>6</v>
      </c>
      <c r="W53" s="25"/>
      <c r="X53" s="25">
        <f>SUMIF($C36:$C47,"GENERAL",X36:X47)</f>
        <v>8</v>
      </c>
      <c r="Y53" s="25"/>
      <c r="Z53" s="25">
        <f>SUMIF($C36:$C47,"GENERAL",Z36:Z47)</f>
        <v>8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4</v>
      </c>
      <c r="M56" s="42">
        <f>SUMIF($C36:$C47,"TEMPO",N36:N47)</f>
        <v>4</v>
      </c>
      <c r="N56" s="42">
        <f>M56</f>
        <v>4</v>
      </c>
      <c r="O56" s="42">
        <f>SUMIF($C36:$C47,"TEMPO",P36:P47)</f>
        <v>4</v>
      </c>
      <c r="P56" s="42">
        <f>O56</f>
        <v>4</v>
      </c>
      <c r="Q56" s="42">
        <f>SUMIF($C36:$C47,"TEMPO",R36:R47)</f>
        <v>4</v>
      </c>
      <c r="R56" s="42">
        <f>Q56</f>
        <v>4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4</v>
      </c>
      <c r="X56" s="42">
        <f>W56</f>
        <v>4</v>
      </c>
      <c r="Y56" s="42">
        <f>SUMIF($C36:$C47,"TEMPO",Z36:Z47)</f>
        <v>4</v>
      </c>
      <c r="Z56" s="42">
        <f>Y56</f>
        <v>4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50</v>
      </c>
      <c r="U57" s="38"/>
      <c r="V57" s="38">
        <f>(SUM(V53:V56)/COUNTA(V36:V47))*100</f>
        <v>50</v>
      </c>
      <c r="W57" s="38"/>
      <c r="X57" s="38">
        <f>(SUM(X53:X56)/COUNTA(X36:X47))*100</f>
        <v>100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816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27</v>
      </c>
      <c r="B65" s="50">
        <v>0.5</v>
      </c>
      <c r="C65" s="51" t="s">
        <v>39</v>
      </c>
      <c r="D65" s="52"/>
      <c r="E65" s="51">
        <v>150</v>
      </c>
      <c r="F65" s="51">
        <v>3</v>
      </c>
      <c r="G65" s="51">
        <v>0</v>
      </c>
      <c r="H65" s="51">
        <v>8000</v>
      </c>
      <c r="I65" s="51">
        <v>0</v>
      </c>
      <c r="J65" s="51" t="s">
        <v>51</v>
      </c>
      <c r="K65" s="51">
        <v>800</v>
      </c>
      <c r="L65" s="51" t="s">
        <v>800</v>
      </c>
      <c r="M65" s="32">
        <f t="shared" ref="M65:M76" si="28">IF(ISNUMBER(VALUE(FIND("VRB",L65))),999,VALUE(MID(L65,20,3)))</f>
        <v>40</v>
      </c>
      <c r="N65" s="33">
        <f t="shared" ref="N65:N76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2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3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5">IF(AND(IFERROR(FIND("RA",L65),0)&gt;0, IFERROR(FIND("RA",L65),0)&lt;38),"RA",0)</f>
        <v>0</v>
      </c>
      <c r="V65" s="34">
        <f t="shared" ref="V65:V76" si="36">IF(U65=I65,1,0)</f>
        <v>1</v>
      </c>
      <c r="W65" s="34" t="str">
        <f t="shared" ref="W65:W76" si="3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6" si="38">IF(OR(AND(OR(J65="SKC",J65="FEW",J65="SCT"),OR(W65="SKC",W65="FEW",W65="SCT")),(AND(OR(J65="BKN",J65="OVC"),OR(W65="BKN",W65="OVC")))),1,0)</f>
        <v>1</v>
      </c>
      <c r="Y65" s="34">
        <f t="shared" ref="Y65:Y76" si="39">IF(ISNUMBER(VALUE(FIND("CAVOK",L65))),9999,IF(ISNUMBER(VALUE(FIND("NSC",L65))),9999,(MID(L65,(FIND(W65,L65)+4),2))*100))</f>
        <v>800</v>
      </c>
      <c r="Z65" s="34">
        <f t="shared" ref="Z65:Z76" si="4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150</v>
      </c>
      <c r="F66" s="51">
        <v>3</v>
      </c>
      <c r="G66" s="51">
        <v>0</v>
      </c>
      <c r="H66" s="51">
        <v>8000</v>
      </c>
      <c r="I66" s="51">
        <v>0</v>
      </c>
      <c r="J66" s="51" t="s">
        <v>51</v>
      </c>
      <c r="K66" s="51">
        <v>800</v>
      </c>
      <c r="L66" s="51" t="s">
        <v>801</v>
      </c>
      <c r="M66" s="32">
        <f t="shared" si="28"/>
        <v>90</v>
      </c>
      <c r="N66" s="33">
        <f t="shared" si="29"/>
        <v>1</v>
      </c>
      <c r="O66" s="33">
        <f t="shared" si="30"/>
        <v>2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ref="S66:S76" si="41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34"/>
        <v>1</v>
      </c>
      <c r="U66" s="34">
        <f t="shared" si="35"/>
        <v>0</v>
      </c>
      <c r="V66" s="34">
        <f t="shared" si="36"/>
        <v>1</v>
      </c>
      <c r="W66" s="34" t="str">
        <f t="shared" si="37"/>
        <v>FEW</v>
      </c>
      <c r="X66" s="34">
        <f t="shared" si="38"/>
        <v>1</v>
      </c>
      <c r="Y66" s="34">
        <f t="shared" si="39"/>
        <v>800</v>
      </c>
      <c r="Z66" s="34">
        <f t="shared" si="4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150</v>
      </c>
      <c r="F67" s="51">
        <v>3</v>
      </c>
      <c r="G67" s="51">
        <v>0</v>
      </c>
      <c r="H67" s="51">
        <v>8000</v>
      </c>
      <c r="I67" s="51">
        <v>0</v>
      </c>
      <c r="J67" s="51" t="s">
        <v>51</v>
      </c>
      <c r="K67" s="51">
        <v>800</v>
      </c>
      <c r="L67" s="51" t="s">
        <v>802</v>
      </c>
      <c r="M67" s="32">
        <f t="shared" si="28"/>
        <v>0</v>
      </c>
      <c r="N67" s="33">
        <f t="shared" si="29"/>
        <v>1</v>
      </c>
      <c r="O67" s="33">
        <f t="shared" si="30"/>
        <v>0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41"/>
        <v>8000</v>
      </c>
      <c r="T67" s="34">
        <f t="shared" si="34"/>
        <v>1</v>
      </c>
      <c r="U67" s="34">
        <f t="shared" si="35"/>
        <v>0</v>
      </c>
      <c r="V67" s="34">
        <f t="shared" si="36"/>
        <v>1</v>
      </c>
      <c r="W67" s="34" t="str">
        <f t="shared" si="37"/>
        <v>FEW</v>
      </c>
      <c r="X67" s="34">
        <f t="shared" si="38"/>
        <v>1</v>
      </c>
      <c r="Y67" s="34">
        <f t="shared" si="39"/>
        <v>800</v>
      </c>
      <c r="Z67" s="34">
        <f t="shared" si="4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40</v>
      </c>
      <c r="D68" s="52"/>
      <c r="E68" s="51">
        <v>0</v>
      </c>
      <c r="F68" s="51">
        <v>0</v>
      </c>
      <c r="G68" s="51">
        <v>0</v>
      </c>
      <c r="H68" s="51">
        <v>4000</v>
      </c>
      <c r="I68" s="51" t="s">
        <v>52</v>
      </c>
      <c r="J68" s="51" t="s">
        <v>51</v>
      </c>
      <c r="K68" s="51">
        <v>800</v>
      </c>
      <c r="L68" s="51" t="s">
        <v>803</v>
      </c>
      <c r="M68" s="32">
        <f t="shared" si="28"/>
        <v>90</v>
      </c>
      <c r="N68" s="33">
        <f t="shared" si="29"/>
        <v>1</v>
      </c>
      <c r="O68" s="33">
        <f t="shared" si="30"/>
        <v>3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41"/>
        <v>8000</v>
      </c>
      <c r="T68" s="34">
        <f t="shared" si="34"/>
        <v>0</v>
      </c>
      <c r="U68" s="34">
        <f t="shared" si="35"/>
        <v>0</v>
      </c>
      <c r="V68" s="34">
        <f t="shared" si="36"/>
        <v>0</v>
      </c>
      <c r="W68" s="34" t="str">
        <f t="shared" si="37"/>
        <v>FEW</v>
      </c>
      <c r="X68" s="34">
        <f t="shared" si="38"/>
        <v>1</v>
      </c>
      <c r="Y68" s="34">
        <f t="shared" si="39"/>
        <v>800</v>
      </c>
      <c r="Z68" s="34">
        <f t="shared" si="4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0</v>
      </c>
      <c r="F69" s="51">
        <v>0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800</v>
      </c>
      <c r="L69" s="51" t="s">
        <v>804</v>
      </c>
      <c r="M69" s="32">
        <f t="shared" si="28"/>
        <v>100</v>
      </c>
      <c r="N69" s="33">
        <f t="shared" si="29"/>
        <v>1</v>
      </c>
      <c r="O69" s="33">
        <f t="shared" si="30"/>
        <v>3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41"/>
        <v>4000</v>
      </c>
      <c r="T69" s="34">
        <f t="shared" si="34"/>
        <v>1</v>
      </c>
      <c r="U69" s="34" t="str">
        <f t="shared" si="35"/>
        <v>RA</v>
      </c>
      <c r="V69" s="34">
        <f t="shared" si="36"/>
        <v>1</v>
      </c>
      <c r="W69" s="34" t="str">
        <f t="shared" si="37"/>
        <v>FEW</v>
      </c>
      <c r="X69" s="34">
        <f t="shared" si="38"/>
        <v>1</v>
      </c>
      <c r="Y69" s="34">
        <f t="shared" si="39"/>
        <v>800</v>
      </c>
      <c r="Z69" s="34">
        <f t="shared" si="4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0</v>
      </c>
      <c r="F70" s="51">
        <v>0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800</v>
      </c>
      <c r="L70" s="51" t="s">
        <v>805</v>
      </c>
      <c r="M70" s="32">
        <f t="shared" si="28"/>
        <v>100</v>
      </c>
      <c r="N70" s="33">
        <f t="shared" si="29"/>
        <v>1</v>
      </c>
      <c r="O70" s="33">
        <f t="shared" si="30"/>
        <v>3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41"/>
        <v>4000</v>
      </c>
      <c r="T70" s="34">
        <f t="shared" si="34"/>
        <v>1</v>
      </c>
      <c r="U70" s="34" t="str">
        <f t="shared" si="35"/>
        <v>RA</v>
      </c>
      <c r="V70" s="34">
        <f t="shared" si="36"/>
        <v>1</v>
      </c>
      <c r="W70" s="34" t="str">
        <f t="shared" si="37"/>
        <v>FEW</v>
      </c>
      <c r="X70" s="34">
        <f t="shared" si="38"/>
        <v>1</v>
      </c>
      <c r="Y70" s="34">
        <f t="shared" si="39"/>
        <v>800</v>
      </c>
      <c r="Z70" s="34">
        <f t="shared" si="4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150</v>
      </c>
      <c r="F71" s="51">
        <v>3</v>
      </c>
      <c r="G71" s="51">
        <v>0</v>
      </c>
      <c r="H71" s="51">
        <v>8000</v>
      </c>
      <c r="I71" s="51">
        <v>0</v>
      </c>
      <c r="J71" s="51" t="s">
        <v>51</v>
      </c>
      <c r="K71" s="51">
        <v>800</v>
      </c>
      <c r="L71" s="51" t="s">
        <v>806</v>
      </c>
      <c r="M71" s="32">
        <f t="shared" si="28"/>
        <v>0</v>
      </c>
      <c r="N71" s="33">
        <f t="shared" si="29"/>
        <v>1</v>
      </c>
      <c r="O71" s="33">
        <f t="shared" si="30"/>
        <v>0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41"/>
        <v>4000</v>
      </c>
      <c r="T71" s="34">
        <f t="shared" si="34"/>
        <v>0</v>
      </c>
      <c r="U71" s="34">
        <f t="shared" si="35"/>
        <v>0</v>
      </c>
      <c r="V71" s="34">
        <f t="shared" si="36"/>
        <v>1</v>
      </c>
      <c r="W71" s="34" t="str">
        <f t="shared" si="37"/>
        <v>FEW</v>
      </c>
      <c r="X71" s="34">
        <f t="shared" si="38"/>
        <v>1</v>
      </c>
      <c r="Y71" s="34">
        <f t="shared" si="39"/>
        <v>800</v>
      </c>
      <c r="Z71" s="34">
        <f t="shared" si="40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150</v>
      </c>
      <c r="F72" s="51">
        <v>3</v>
      </c>
      <c r="G72" s="51">
        <v>0</v>
      </c>
      <c r="H72" s="51">
        <v>8000</v>
      </c>
      <c r="I72" s="51">
        <v>0</v>
      </c>
      <c r="J72" s="51" t="s">
        <v>51</v>
      </c>
      <c r="K72" s="51">
        <v>800</v>
      </c>
      <c r="L72" s="51" t="s">
        <v>807</v>
      </c>
      <c r="M72" s="32">
        <f t="shared" si="28"/>
        <v>0</v>
      </c>
      <c r="N72" s="33">
        <f t="shared" si="29"/>
        <v>1</v>
      </c>
      <c r="O72" s="33">
        <f t="shared" si="30"/>
        <v>0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41"/>
        <v>6000</v>
      </c>
      <c r="T72" s="34">
        <f t="shared" si="34"/>
        <v>1</v>
      </c>
      <c r="U72" s="34">
        <f t="shared" si="35"/>
        <v>0</v>
      </c>
      <c r="V72" s="34">
        <f t="shared" si="36"/>
        <v>1</v>
      </c>
      <c r="W72" s="34" t="str">
        <f t="shared" si="37"/>
        <v>FEW</v>
      </c>
      <c r="X72" s="34">
        <f t="shared" si="38"/>
        <v>1</v>
      </c>
      <c r="Y72" s="34">
        <f t="shared" si="39"/>
        <v>800</v>
      </c>
      <c r="Z72" s="34">
        <f t="shared" si="4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150</v>
      </c>
      <c r="F73" s="51">
        <v>3</v>
      </c>
      <c r="G73" s="51">
        <v>0</v>
      </c>
      <c r="H73" s="51">
        <v>8000</v>
      </c>
      <c r="I73" s="51">
        <v>0</v>
      </c>
      <c r="J73" s="51" t="s">
        <v>51</v>
      </c>
      <c r="K73" s="51">
        <v>800</v>
      </c>
      <c r="L73" s="51" t="s">
        <v>808</v>
      </c>
      <c r="M73" s="32">
        <f t="shared" si="28"/>
        <v>0</v>
      </c>
      <c r="N73" s="33">
        <f t="shared" si="29"/>
        <v>1</v>
      </c>
      <c r="O73" s="33">
        <f t="shared" si="30"/>
        <v>0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41"/>
        <v>6000</v>
      </c>
      <c r="T73" s="34">
        <f t="shared" si="34"/>
        <v>1</v>
      </c>
      <c r="U73" s="34">
        <f t="shared" si="35"/>
        <v>0</v>
      </c>
      <c r="V73" s="34">
        <f t="shared" si="36"/>
        <v>1</v>
      </c>
      <c r="W73" s="34" t="str">
        <f t="shared" si="37"/>
        <v>FEW</v>
      </c>
      <c r="X73" s="34">
        <f t="shared" si="38"/>
        <v>1</v>
      </c>
      <c r="Y73" s="34">
        <f t="shared" si="39"/>
        <v>800</v>
      </c>
      <c r="Z73" s="34">
        <f t="shared" si="4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150</v>
      </c>
      <c r="F74" s="51">
        <v>3</v>
      </c>
      <c r="G74" s="51">
        <v>0</v>
      </c>
      <c r="H74" s="51">
        <v>8000</v>
      </c>
      <c r="I74" s="51">
        <v>0</v>
      </c>
      <c r="J74" s="51" t="s">
        <v>51</v>
      </c>
      <c r="K74" s="51">
        <v>800</v>
      </c>
      <c r="L74" s="51" t="s">
        <v>809</v>
      </c>
      <c r="M74" s="32">
        <f t="shared" si="28"/>
        <v>0</v>
      </c>
      <c r="N74" s="33">
        <f t="shared" si="29"/>
        <v>1</v>
      </c>
      <c r="O74" s="33">
        <f t="shared" si="30"/>
        <v>0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41"/>
        <v>6000</v>
      </c>
      <c r="T74" s="34">
        <f t="shared" si="34"/>
        <v>1</v>
      </c>
      <c r="U74" s="34">
        <f t="shared" si="35"/>
        <v>0</v>
      </c>
      <c r="V74" s="34">
        <f t="shared" si="36"/>
        <v>1</v>
      </c>
      <c r="W74" s="34" t="str">
        <f t="shared" si="37"/>
        <v>FEW</v>
      </c>
      <c r="X74" s="34">
        <f t="shared" si="38"/>
        <v>1</v>
      </c>
      <c r="Y74" s="34">
        <f t="shared" si="39"/>
        <v>800</v>
      </c>
      <c r="Z74" s="34">
        <f t="shared" si="4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150</v>
      </c>
      <c r="F75" s="51">
        <v>3</v>
      </c>
      <c r="G75" s="51">
        <v>0</v>
      </c>
      <c r="H75" s="51">
        <v>8000</v>
      </c>
      <c r="I75" s="51">
        <v>0</v>
      </c>
      <c r="J75" s="51" t="s">
        <v>51</v>
      </c>
      <c r="K75" s="51">
        <v>800</v>
      </c>
      <c r="L75" s="51" t="s">
        <v>810</v>
      </c>
      <c r="M75" s="32">
        <f t="shared" si="28"/>
        <v>0</v>
      </c>
      <c r="N75" s="33">
        <f t="shared" si="29"/>
        <v>1</v>
      </c>
      <c r="O75" s="33">
        <f t="shared" si="30"/>
        <v>0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41"/>
        <v>8000</v>
      </c>
      <c r="T75" s="34">
        <f t="shared" si="34"/>
        <v>1</v>
      </c>
      <c r="U75" s="34">
        <f t="shared" si="35"/>
        <v>0</v>
      </c>
      <c r="V75" s="34">
        <f t="shared" si="36"/>
        <v>1</v>
      </c>
      <c r="W75" s="34" t="str">
        <f t="shared" si="37"/>
        <v>BKN</v>
      </c>
      <c r="X75" s="34">
        <f t="shared" si="38"/>
        <v>0</v>
      </c>
      <c r="Y75" s="34">
        <f t="shared" si="39"/>
        <v>900</v>
      </c>
      <c r="Z75" s="34">
        <f t="shared" si="4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34</v>
      </c>
      <c r="D76" s="52"/>
      <c r="E76" s="51">
        <v>100</v>
      </c>
      <c r="F76" s="51">
        <v>2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s="51" t="s">
        <v>811</v>
      </c>
      <c r="M76" s="32">
        <f t="shared" si="28"/>
        <v>0</v>
      </c>
      <c r="N76" s="33">
        <f t="shared" si="29"/>
        <v>1</v>
      </c>
      <c r="O76" s="33">
        <f t="shared" si="30"/>
        <v>0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41"/>
        <v>8000</v>
      </c>
      <c r="T76" s="34">
        <f t="shared" si="34"/>
        <v>1</v>
      </c>
      <c r="U76" s="34">
        <f t="shared" si="35"/>
        <v>0</v>
      </c>
      <c r="V76" s="34">
        <f t="shared" si="36"/>
        <v>1</v>
      </c>
      <c r="W76" s="34" t="str">
        <f t="shared" si="37"/>
        <v>BKN</v>
      </c>
      <c r="X76" s="34">
        <f t="shared" si="38"/>
        <v>1</v>
      </c>
      <c r="Y76" s="34">
        <f t="shared" si="39"/>
        <v>900</v>
      </c>
      <c r="Z76" s="34">
        <f t="shared" si="4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10</v>
      </c>
      <c r="U80" s="25"/>
      <c r="V80" s="25">
        <f>SUM(V64:V76)</f>
        <v>11</v>
      </c>
      <c r="W80" s="25"/>
      <c r="X80" s="25">
        <f>SUM(X64:X76)</f>
        <v>11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8</v>
      </c>
      <c r="O81" s="25"/>
      <c r="P81" s="25">
        <f>SUMIF($C64:$C76,"GENERAL",P64:P76)</f>
        <v>8</v>
      </c>
      <c r="Q81" s="25"/>
      <c r="R81" s="25">
        <f>SUMIF($C64:$C76,"GENERAL",R64:R76)</f>
        <v>8</v>
      </c>
      <c r="S81" s="25"/>
      <c r="T81" s="25">
        <f>SUMIF($C64:$C76,"GENERAL",T64:T76)</f>
        <v>7</v>
      </c>
      <c r="U81" s="25"/>
      <c r="V81" s="25">
        <f>SUMIF($C64:$C76,"GENERAL",V64:V76)</f>
        <v>8</v>
      </c>
      <c r="W81" s="25"/>
      <c r="X81" s="25">
        <f>SUMIF($C64:$C76,"GENERAL",X64:X76)</f>
        <v>7</v>
      </c>
      <c r="Y81" s="25"/>
      <c r="Z81" s="25">
        <f>SUMIF($C64:$C76,"GENERAL",Z64:Z76)</f>
        <v>8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1</v>
      </c>
      <c r="O82" s="25"/>
      <c r="P82" s="25">
        <f>SUMIF($C64:$C76,"BECMG",P64:P76)</f>
        <v>1</v>
      </c>
      <c r="Q82" s="25"/>
      <c r="R82" s="25">
        <f>SUMIF($C64:$C76,"BECMG",R64:R76)</f>
        <v>1</v>
      </c>
      <c r="S82" s="25"/>
      <c r="T82" s="25">
        <f>SUMIF($C64:$C76,"BECMG",T64:T76)</f>
        <v>1</v>
      </c>
      <c r="U82" s="25"/>
      <c r="V82" s="25">
        <f>SUMIF($C64:$C76,"BECMG",V64:V76)</f>
        <v>1</v>
      </c>
      <c r="W82" s="25"/>
      <c r="X82" s="25">
        <f>SUMIF($C64:$C76,"BECMG",X64:X76)</f>
        <v>1</v>
      </c>
      <c r="Y82" s="25"/>
      <c r="Z82" s="25">
        <f>SUMIF($C64:$C76,"BECMG",Z64:Z76)</f>
        <v>1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3</v>
      </c>
      <c r="M84" s="42">
        <f>SUMIF($C64:$C76,"TEMPO",N64:N76)</f>
        <v>3</v>
      </c>
      <c r="N84" s="42">
        <f>M84</f>
        <v>3</v>
      </c>
      <c r="O84" s="42">
        <f>SUMIF($C64:$C76,"TEMPO",P64:P76)</f>
        <v>3</v>
      </c>
      <c r="P84" s="42">
        <f>O84</f>
        <v>3</v>
      </c>
      <c r="Q84" s="42">
        <f>SUMIF($C64:$C76,"TEMPO",R64:R76)</f>
        <v>3</v>
      </c>
      <c r="R84" s="42">
        <f>Q84</f>
        <v>3</v>
      </c>
      <c r="S84" s="42">
        <f>SUMIF($C64:$C76,"TEMPO",T64:T76)</f>
        <v>2</v>
      </c>
      <c r="T84" s="42">
        <f>S84</f>
        <v>2</v>
      </c>
      <c r="U84" s="42">
        <f>SUMIF($C64:$C76,"TEMPO",V64:V76)</f>
        <v>2</v>
      </c>
      <c r="V84" s="42">
        <f>U84</f>
        <v>2</v>
      </c>
      <c r="W84" s="42">
        <f>SUMIF($C64:$C76,"TEMPO",X64:X76)</f>
        <v>3</v>
      </c>
      <c r="X84" s="42">
        <f>W84</f>
        <v>3</v>
      </c>
      <c r="Y84" s="42">
        <f>SUMIF($C64:$C76,"TEMPO",Z64:Z76)</f>
        <v>3</v>
      </c>
      <c r="Z84" s="42">
        <f>Y84</f>
        <v>3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83.333333333333343</v>
      </c>
      <c r="U85" s="38"/>
      <c r="V85" s="38">
        <f>(SUM(V81:V84)/COUNTA(V64:V76))*100</f>
        <v>91.666666666666657</v>
      </c>
      <c r="W85" s="38"/>
      <c r="X85" s="38">
        <f>(SUM(X81:X84)/COUNTA(X64:X76))*100</f>
        <v>91.666666666666657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817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27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4000</v>
      </c>
      <c r="I93" s="51" t="s">
        <v>52</v>
      </c>
      <c r="J93" s="51" t="s">
        <v>51</v>
      </c>
      <c r="K93" s="51">
        <v>800</v>
      </c>
      <c r="L93" s="51" t="s">
        <v>806</v>
      </c>
      <c r="M93" s="32">
        <f t="shared" ref="M93:M104" si="42">IF(ISNUMBER(VALUE(FIND("VRB",L93))),999,VALUE(MID(L93,20,3)))</f>
        <v>0</v>
      </c>
      <c r="N93" s="33">
        <f t="shared" ref="N93:N104" si="43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4">VALUE(MID(L93,23,2))</f>
        <v>0</v>
      </c>
      <c r="P93" s="33">
        <f t="shared" ref="P93:P104" si="45">IF(ABS(O93-F93)&lt;11,1,0)</f>
        <v>1</v>
      </c>
      <c r="Q93" s="34">
        <f t="shared" ref="Q93:Q104" si="46">IF(MID(L93,25,1)="G","GUST",0)</f>
        <v>0</v>
      </c>
      <c r="R93" s="33">
        <f t="shared" ref="R93:R104" si="47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4000</v>
      </c>
      <c r="T93" s="34">
        <f t="shared" ref="T93:T104" si="48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49">IF(AND(IFERROR(FIND("RA",L93),0)&gt;0, IFERROR(FIND("RA",L93),0)&lt;38),"RA",0)</f>
        <v>0</v>
      </c>
      <c r="V93" s="34">
        <f t="shared" ref="V93:V104" si="50">IF(U93=I93,1,0)</f>
        <v>0</v>
      </c>
      <c r="W93" s="34" t="str">
        <f t="shared" ref="W93:W104" si="51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FEW</v>
      </c>
      <c r="X93" s="34">
        <f t="shared" ref="X93:X104" si="52">IF(OR(AND(OR(J93="SKC",J93="FEW",J93="SCT"),OR(W93="SKC",W93="FEW",W93="SCT")),(AND(OR(J93="BKN",J93="OVC"),OR(W93="BKN",W93="OVC")))),1,0)</f>
        <v>1</v>
      </c>
      <c r="Y93" s="34">
        <f t="shared" ref="Y93:Y104" si="53">IF(ISNUMBER(VALUE(FIND("CAVOK",L93))),9999,IF(ISNUMBER(VALUE(FIND("NSC",L93))),9999,(MID(L93,(FIND(W93,L93)+4),2))*100))</f>
        <v>800</v>
      </c>
      <c r="Z93" s="34">
        <f t="shared" ref="Z93:Z104" si="54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4000</v>
      </c>
      <c r="I94" s="51" t="s">
        <v>52</v>
      </c>
      <c r="J94" s="51" t="s">
        <v>51</v>
      </c>
      <c r="K94" s="51">
        <v>800</v>
      </c>
      <c r="L94" s="51" t="s">
        <v>807</v>
      </c>
      <c r="M94" s="32">
        <f t="shared" si="42"/>
        <v>0</v>
      </c>
      <c r="N94" s="33">
        <f t="shared" si="43"/>
        <v>1</v>
      </c>
      <c r="O94" s="33">
        <f t="shared" si="44"/>
        <v>0</v>
      </c>
      <c r="P94" s="33">
        <f t="shared" si="45"/>
        <v>1</v>
      </c>
      <c r="Q94" s="34">
        <f t="shared" si="46"/>
        <v>0</v>
      </c>
      <c r="R94" s="33">
        <f t="shared" si="47"/>
        <v>1</v>
      </c>
      <c r="S94" s="34">
        <f t="shared" ref="S94:S104" si="55">IF(ISNUMBER(VALUE(MID(L94,(FIND("KT",L94,FIND("Z",L94))+3),4))),VALUE(MID(L94,(FIND("KT",L94,FIND("Z",L94))+3),4)),IF(ISNUMBER(VALUE(MID(L94,(FIND("0V",L94)+6),4))),VALUE(MID(L94,(FIND("0V",L94)+6),4)),9999))</f>
        <v>6000</v>
      </c>
      <c r="T94" s="34">
        <f t="shared" si="48"/>
        <v>0</v>
      </c>
      <c r="U94" s="34">
        <f t="shared" si="49"/>
        <v>0</v>
      </c>
      <c r="V94" s="34">
        <f t="shared" si="50"/>
        <v>0</v>
      </c>
      <c r="W94" s="34" t="str">
        <f t="shared" si="51"/>
        <v>FEW</v>
      </c>
      <c r="X94" s="34">
        <f t="shared" si="52"/>
        <v>1</v>
      </c>
      <c r="Y94" s="34">
        <f t="shared" si="53"/>
        <v>800</v>
      </c>
      <c r="Z94" s="34">
        <f t="shared" si="54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4000</v>
      </c>
      <c r="I95" s="51" t="s">
        <v>52</v>
      </c>
      <c r="J95" s="51" t="s">
        <v>51</v>
      </c>
      <c r="K95" s="51">
        <v>800</v>
      </c>
      <c r="L95" s="51" t="s">
        <v>808</v>
      </c>
      <c r="M95" s="32">
        <f t="shared" si="42"/>
        <v>0</v>
      </c>
      <c r="N95" s="33">
        <f t="shared" si="43"/>
        <v>1</v>
      </c>
      <c r="O95" s="33">
        <f t="shared" si="44"/>
        <v>0</v>
      </c>
      <c r="P95" s="33">
        <f t="shared" si="45"/>
        <v>1</v>
      </c>
      <c r="Q95" s="34">
        <f t="shared" si="46"/>
        <v>0</v>
      </c>
      <c r="R95" s="33">
        <f t="shared" si="47"/>
        <v>1</v>
      </c>
      <c r="S95" s="34">
        <f t="shared" si="55"/>
        <v>6000</v>
      </c>
      <c r="T95" s="34">
        <f t="shared" si="48"/>
        <v>0</v>
      </c>
      <c r="U95" s="34">
        <f t="shared" si="49"/>
        <v>0</v>
      </c>
      <c r="V95" s="34">
        <f t="shared" si="50"/>
        <v>0</v>
      </c>
      <c r="W95" s="34" t="str">
        <f t="shared" si="51"/>
        <v>FEW</v>
      </c>
      <c r="X95" s="34">
        <f t="shared" si="52"/>
        <v>1</v>
      </c>
      <c r="Y95" s="34">
        <f t="shared" si="53"/>
        <v>800</v>
      </c>
      <c r="Z95" s="34">
        <f t="shared" si="54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4000</v>
      </c>
      <c r="I96" s="51" t="s">
        <v>52</v>
      </c>
      <c r="J96" s="51" t="s">
        <v>51</v>
      </c>
      <c r="K96" s="51">
        <v>800</v>
      </c>
      <c r="L96" s="51" t="s">
        <v>809</v>
      </c>
      <c r="M96" s="32">
        <f t="shared" si="42"/>
        <v>0</v>
      </c>
      <c r="N96" s="33">
        <f t="shared" si="43"/>
        <v>1</v>
      </c>
      <c r="O96" s="33">
        <f t="shared" si="44"/>
        <v>0</v>
      </c>
      <c r="P96" s="33">
        <f t="shared" si="45"/>
        <v>1</v>
      </c>
      <c r="Q96" s="34">
        <f t="shared" si="46"/>
        <v>0</v>
      </c>
      <c r="R96" s="33">
        <f t="shared" si="47"/>
        <v>1</v>
      </c>
      <c r="S96" s="34">
        <f t="shared" si="55"/>
        <v>6000</v>
      </c>
      <c r="T96" s="34">
        <f t="shared" si="48"/>
        <v>0</v>
      </c>
      <c r="U96" s="34">
        <f t="shared" si="49"/>
        <v>0</v>
      </c>
      <c r="V96" s="34">
        <f t="shared" si="50"/>
        <v>0</v>
      </c>
      <c r="W96" s="34" t="str">
        <f t="shared" si="51"/>
        <v>FEW</v>
      </c>
      <c r="X96" s="34">
        <f t="shared" si="52"/>
        <v>1</v>
      </c>
      <c r="Y96" s="34">
        <f t="shared" si="53"/>
        <v>800</v>
      </c>
      <c r="Z96" s="34">
        <f t="shared" si="54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4000</v>
      </c>
      <c r="I97" s="51" t="s">
        <v>52</v>
      </c>
      <c r="J97" s="51" t="s">
        <v>51</v>
      </c>
      <c r="K97" s="51">
        <v>800</v>
      </c>
      <c r="L97" s="51" t="s">
        <v>810</v>
      </c>
      <c r="M97" s="32">
        <f t="shared" si="42"/>
        <v>0</v>
      </c>
      <c r="N97" s="33">
        <f t="shared" si="43"/>
        <v>1</v>
      </c>
      <c r="O97" s="33">
        <f t="shared" si="44"/>
        <v>0</v>
      </c>
      <c r="P97" s="33">
        <f t="shared" si="45"/>
        <v>1</v>
      </c>
      <c r="Q97" s="34">
        <f t="shared" si="46"/>
        <v>0</v>
      </c>
      <c r="R97" s="33">
        <f t="shared" si="47"/>
        <v>1</v>
      </c>
      <c r="S97" s="34">
        <f t="shared" si="55"/>
        <v>8000</v>
      </c>
      <c r="T97" s="34">
        <f t="shared" si="48"/>
        <v>0</v>
      </c>
      <c r="U97" s="34">
        <f t="shared" si="49"/>
        <v>0</v>
      </c>
      <c r="V97" s="34">
        <f t="shared" si="50"/>
        <v>0</v>
      </c>
      <c r="W97" s="34" t="str">
        <f t="shared" si="51"/>
        <v>BKN</v>
      </c>
      <c r="X97" s="34">
        <f t="shared" si="52"/>
        <v>0</v>
      </c>
      <c r="Y97" s="34">
        <f t="shared" si="53"/>
        <v>900</v>
      </c>
      <c r="Z97" s="34">
        <f t="shared" si="54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34</v>
      </c>
      <c r="D98" s="52"/>
      <c r="E98" s="51">
        <v>120</v>
      </c>
      <c r="F98" s="51">
        <v>3</v>
      </c>
      <c r="G98" s="51">
        <v>0</v>
      </c>
      <c r="H98" s="51">
        <v>7000</v>
      </c>
      <c r="I98" s="51">
        <v>0</v>
      </c>
      <c r="J98" s="51" t="s">
        <v>58</v>
      </c>
      <c r="K98" s="51">
        <v>900</v>
      </c>
      <c r="L98" s="51" t="s">
        <v>811</v>
      </c>
      <c r="M98" s="32">
        <f t="shared" si="42"/>
        <v>0</v>
      </c>
      <c r="N98" s="33">
        <f t="shared" si="43"/>
        <v>1</v>
      </c>
      <c r="O98" s="33">
        <f t="shared" si="44"/>
        <v>0</v>
      </c>
      <c r="P98" s="33">
        <f t="shared" si="45"/>
        <v>1</v>
      </c>
      <c r="Q98" s="34">
        <f t="shared" si="46"/>
        <v>0</v>
      </c>
      <c r="R98" s="33">
        <f t="shared" si="47"/>
        <v>1</v>
      </c>
      <c r="S98" s="34">
        <f t="shared" si="55"/>
        <v>8000</v>
      </c>
      <c r="T98" s="34">
        <f t="shared" si="48"/>
        <v>1</v>
      </c>
      <c r="U98" s="34">
        <f t="shared" si="49"/>
        <v>0</v>
      </c>
      <c r="V98" s="34">
        <f t="shared" si="50"/>
        <v>1</v>
      </c>
      <c r="W98" s="34" t="str">
        <f t="shared" si="51"/>
        <v>BKN</v>
      </c>
      <c r="X98" s="34">
        <f t="shared" si="52"/>
        <v>1</v>
      </c>
      <c r="Y98" s="34">
        <f t="shared" si="53"/>
        <v>900</v>
      </c>
      <c r="Z98" s="34">
        <f t="shared" si="54"/>
        <v>1</v>
      </c>
      <c r="AA98" s="25"/>
      <c r="AB98" s="25"/>
      <c r="AC98" s="25"/>
      <c r="AD98" s="25"/>
      <c r="AE98" s="25"/>
    </row>
    <row r="99" spans="1:31" ht="16.5">
      <c r="A99" s="55">
        <v>28</v>
      </c>
      <c r="B99" s="54">
        <v>0</v>
      </c>
      <c r="C99" s="51" t="s">
        <v>34</v>
      </c>
      <c r="D99" s="52"/>
      <c r="E99" s="51">
        <v>120</v>
      </c>
      <c r="F99" s="51">
        <v>3</v>
      </c>
      <c r="G99" s="51">
        <v>0</v>
      </c>
      <c r="H99" s="51">
        <v>7000</v>
      </c>
      <c r="I99" s="51">
        <v>0</v>
      </c>
      <c r="J99" s="51" t="s">
        <v>58</v>
      </c>
      <c r="K99" s="51">
        <v>900</v>
      </c>
      <c r="L99" s="51" t="s">
        <v>812</v>
      </c>
      <c r="M99" s="32">
        <f t="shared" si="42"/>
        <v>140</v>
      </c>
      <c r="N99" s="33">
        <f t="shared" si="43"/>
        <v>1</v>
      </c>
      <c r="O99" s="33">
        <f t="shared" si="44"/>
        <v>3</v>
      </c>
      <c r="P99" s="33">
        <f t="shared" si="45"/>
        <v>1</v>
      </c>
      <c r="Q99" s="34">
        <f t="shared" si="46"/>
        <v>0</v>
      </c>
      <c r="R99" s="33">
        <f t="shared" si="47"/>
        <v>1</v>
      </c>
      <c r="S99" s="34">
        <f t="shared" si="55"/>
        <v>8000</v>
      </c>
      <c r="T99" s="34">
        <f t="shared" si="48"/>
        <v>1</v>
      </c>
      <c r="U99" s="34">
        <f t="shared" si="49"/>
        <v>0</v>
      </c>
      <c r="V99" s="34">
        <f t="shared" si="50"/>
        <v>1</v>
      </c>
      <c r="W99" s="34" t="str">
        <f t="shared" si="51"/>
        <v>BKN</v>
      </c>
      <c r="X99" s="34">
        <f t="shared" si="52"/>
        <v>1</v>
      </c>
      <c r="Y99" s="34">
        <f t="shared" si="53"/>
        <v>900</v>
      </c>
      <c r="Z99" s="34">
        <f t="shared" si="54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34</v>
      </c>
      <c r="D100" s="52"/>
      <c r="E100" s="51">
        <v>120</v>
      </c>
      <c r="F100" s="51">
        <v>3</v>
      </c>
      <c r="G100" s="51">
        <v>0</v>
      </c>
      <c r="H100" s="51">
        <v>7000</v>
      </c>
      <c r="I100" s="51">
        <v>0</v>
      </c>
      <c r="J100" s="51" t="s">
        <v>58</v>
      </c>
      <c r="K100" s="51">
        <v>900</v>
      </c>
      <c r="L100" s="51" t="s">
        <v>813</v>
      </c>
      <c r="M100" s="32">
        <f t="shared" si="42"/>
        <v>100</v>
      </c>
      <c r="N100" s="33">
        <f t="shared" si="43"/>
        <v>1</v>
      </c>
      <c r="O100" s="33">
        <f t="shared" si="44"/>
        <v>4</v>
      </c>
      <c r="P100" s="33">
        <f t="shared" si="45"/>
        <v>1</v>
      </c>
      <c r="Q100" s="34">
        <f t="shared" si="46"/>
        <v>0</v>
      </c>
      <c r="R100" s="33">
        <f t="shared" si="47"/>
        <v>1</v>
      </c>
      <c r="S100" s="34">
        <f t="shared" si="55"/>
        <v>8000</v>
      </c>
      <c r="T100" s="34">
        <f t="shared" si="48"/>
        <v>1</v>
      </c>
      <c r="U100" s="34">
        <f t="shared" si="49"/>
        <v>0</v>
      </c>
      <c r="V100" s="34">
        <f t="shared" si="50"/>
        <v>1</v>
      </c>
      <c r="W100" s="34" t="str">
        <f t="shared" si="51"/>
        <v>BKN</v>
      </c>
      <c r="X100" s="34">
        <f t="shared" si="52"/>
        <v>1</v>
      </c>
      <c r="Y100" s="34">
        <f t="shared" si="53"/>
        <v>900</v>
      </c>
      <c r="Z100" s="34">
        <f t="shared" si="54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34</v>
      </c>
      <c r="D101" s="52"/>
      <c r="E101" s="51">
        <v>120</v>
      </c>
      <c r="F101" s="51">
        <v>3</v>
      </c>
      <c r="G101" s="51">
        <v>0</v>
      </c>
      <c r="H101" s="51">
        <v>7000</v>
      </c>
      <c r="I101" s="51">
        <v>0</v>
      </c>
      <c r="J101" s="51" t="s">
        <v>58</v>
      </c>
      <c r="K101" s="51">
        <v>900</v>
      </c>
      <c r="L101" s="51" t="s">
        <v>814</v>
      </c>
      <c r="M101" s="32">
        <f t="shared" si="42"/>
        <v>90</v>
      </c>
      <c r="N101" s="33">
        <f t="shared" si="43"/>
        <v>1</v>
      </c>
      <c r="O101" s="33">
        <f t="shared" si="44"/>
        <v>5</v>
      </c>
      <c r="P101" s="33">
        <f t="shared" si="45"/>
        <v>1</v>
      </c>
      <c r="Q101" s="34">
        <f t="shared" si="46"/>
        <v>0</v>
      </c>
      <c r="R101" s="33">
        <f t="shared" si="47"/>
        <v>1</v>
      </c>
      <c r="S101" s="34">
        <f t="shared" si="55"/>
        <v>8000</v>
      </c>
      <c r="T101" s="34">
        <f t="shared" si="48"/>
        <v>1</v>
      </c>
      <c r="U101" s="34">
        <f t="shared" si="49"/>
        <v>0</v>
      </c>
      <c r="V101" s="34">
        <f t="shared" si="50"/>
        <v>1</v>
      </c>
      <c r="W101" s="34" t="str">
        <f t="shared" si="51"/>
        <v>BKN</v>
      </c>
      <c r="X101" s="34">
        <f t="shared" si="52"/>
        <v>1</v>
      </c>
      <c r="Y101" s="34">
        <f t="shared" si="53"/>
        <v>900</v>
      </c>
      <c r="Z101" s="34">
        <f t="shared" si="54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34</v>
      </c>
      <c r="D102" s="52"/>
      <c r="E102" s="51">
        <v>120</v>
      </c>
      <c r="F102" s="51">
        <v>3</v>
      </c>
      <c r="G102" s="51">
        <v>0</v>
      </c>
      <c r="H102" s="51">
        <v>7000</v>
      </c>
      <c r="I102" s="51">
        <v>0</v>
      </c>
      <c r="J102" s="51" t="s">
        <v>58</v>
      </c>
      <c r="K102" s="51">
        <v>900</v>
      </c>
      <c r="L102" s="51" t="s">
        <v>815</v>
      </c>
      <c r="M102" s="32">
        <f t="shared" si="42"/>
        <v>100</v>
      </c>
      <c r="N102" s="33">
        <f t="shared" si="43"/>
        <v>1</v>
      </c>
      <c r="O102" s="33">
        <f t="shared" si="44"/>
        <v>3</v>
      </c>
      <c r="P102" s="33">
        <f t="shared" si="45"/>
        <v>1</v>
      </c>
      <c r="Q102" s="34">
        <f t="shared" si="46"/>
        <v>0</v>
      </c>
      <c r="R102" s="33">
        <f t="shared" si="47"/>
        <v>1</v>
      </c>
      <c r="S102" s="34">
        <f t="shared" si="55"/>
        <v>8000</v>
      </c>
      <c r="T102" s="34">
        <f t="shared" si="48"/>
        <v>1</v>
      </c>
      <c r="U102" s="34">
        <f t="shared" si="49"/>
        <v>0</v>
      </c>
      <c r="V102" s="34">
        <f t="shared" si="50"/>
        <v>1</v>
      </c>
      <c r="W102" s="34" t="str">
        <f t="shared" si="51"/>
        <v>BKN</v>
      </c>
      <c r="X102" s="34">
        <f t="shared" si="52"/>
        <v>1</v>
      </c>
      <c r="Y102" s="34">
        <f t="shared" si="53"/>
        <v>900</v>
      </c>
      <c r="Z102" s="34">
        <f t="shared" si="54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34</v>
      </c>
      <c r="D103" s="52"/>
      <c r="E103" s="51">
        <v>120</v>
      </c>
      <c r="F103" s="51">
        <v>3</v>
      </c>
      <c r="G103" s="51">
        <v>0</v>
      </c>
      <c r="H103" s="51">
        <v>7000</v>
      </c>
      <c r="I103" s="51">
        <v>0</v>
      </c>
      <c r="J103" s="51" t="s">
        <v>58</v>
      </c>
      <c r="K103" s="51">
        <v>900</v>
      </c>
      <c r="L103" s="51" t="s">
        <v>819</v>
      </c>
      <c r="M103" s="32">
        <f t="shared" si="42"/>
        <v>100</v>
      </c>
      <c r="N103" s="33">
        <f t="shared" si="43"/>
        <v>1</v>
      </c>
      <c r="O103" s="33">
        <f t="shared" si="44"/>
        <v>6</v>
      </c>
      <c r="P103" s="33">
        <f t="shared" si="45"/>
        <v>1</v>
      </c>
      <c r="Q103" s="34">
        <f t="shared" si="46"/>
        <v>0</v>
      </c>
      <c r="R103" s="33">
        <f t="shared" si="47"/>
        <v>1</v>
      </c>
      <c r="S103" s="34">
        <f t="shared" si="55"/>
        <v>8000</v>
      </c>
      <c r="T103" s="34">
        <f t="shared" si="48"/>
        <v>1</v>
      </c>
      <c r="U103" s="34">
        <f t="shared" si="49"/>
        <v>0</v>
      </c>
      <c r="V103" s="34">
        <f t="shared" si="50"/>
        <v>1</v>
      </c>
      <c r="W103" s="34" t="str">
        <f t="shared" si="51"/>
        <v>BKN</v>
      </c>
      <c r="X103" s="34">
        <f t="shared" si="52"/>
        <v>1</v>
      </c>
      <c r="Y103" s="34">
        <f t="shared" si="53"/>
        <v>900</v>
      </c>
      <c r="Z103" s="34">
        <f t="shared" si="54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34</v>
      </c>
      <c r="D104" s="52"/>
      <c r="E104" s="51">
        <v>120</v>
      </c>
      <c r="F104" s="51">
        <v>3</v>
      </c>
      <c r="G104" s="51">
        <v>0</v>
      </c>
      <c r="H104" s="51">
        <v>7000</v>
      </c>
      <c r="I104" s="51">
        <v>0</v>
      </c>
      <c r="J104" s="51" t="s">
        <v>58</v>
      </c>
      <c r="K104" s="51">
        <v>900</v>
      </c>
      <c r="L104" s="51" t="s">
        <v>820</v>
      </c>
      <c r="M104" s="32">
        <f t="shared" si="42"/>
        <v>130</v>
      </c>
      <c r="N104" s="33">
        <f t="shared" si="43"/>
        <v>1</v>
      </c>
      <c r="O104" s="33">
        <f t="shared" si="44"/>
        <v>4</v>
      </c>
      <c r="P104" s="33">
        <f t="shared" si="45"/>
        <v>1</v>
      </c>
      <c r="Q104" s="34">
        <f t="shared" si="46"/>
        <v>0</v>
      </c>
      <c r="R104" s="33">
        <f t="shared" si="47"/>
        <v>1</v>
      </c>
      <c r="S104" s="34">
        <f t="shared" si="55"/>
        <v>8000</v>
      </c>
      <c r="T104" s="34">
        <f t="shared" si="48"/>
        <v>1</v>
      </c>
      <c r="U104" s="34">
        <f t="shared" si="49"/>
        <v>0</v>
      </c>
      <c r="V104" s="34">
        <f t="shared" si="50"/>
        <v>1</v>
      </c>
      <c r="W104" s="34" t="str">
        <f t="shared" si="51"/>
        <v>BKN</v>
      </c>
      <c r="X104" s="34">
        <f t="shared" si="52"/>
        <v>1</v>
      </c>
      <c r="Y104" s="34">
        <f t="shared" si="53"/>
        <v>900</v>
      </c>
      <c r="Z104" s="34">
        <f t="shared" si="54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8</v>
      </c>
      <c r="U109" s="25"/>
      <c r="V109" s="25">
        <f>SUM(V93:V104)</f>
        <v>7</v>
      </c>
      <c r="W109" s="25"/>
      <c r="X109" s="25">
        <f>SUM(X93:X104)</f>
        <v>11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5</v>
      </c>
      <c r="O110" s="25"/>
      <c r="P110" s="25">
        <f>SUMIF($C93:$C104,"GENERAL",P93:P104)</f>
        <v>5</v>
      </c>
      <c r="Q110" s="25"/>
      <c r="R110" s="25">
        <f>SUMIF($C93:$C104,"GENERAL",R93:R104)</f>
        <v>5</v>
      </c>
      <c r="S110" s="25"/>
      <c r="T110" s="25">
        <f>SUMIF($C93:$C104,"GENERAL",T93:T104)</f>
        <v>1</v>
      </c>
      <c r="U110" s="25"/>
      <c r="V110" s="25">
        <f>SUMIF($C93:$C104,"GENERAL",V93:V104)</f>
        <v>0</v>
      </c>
      <c r="W110" s="25"/>
      <c r="X110" s="25">
        <f>SUMIF($C93:$C104,"GENERAL",X93:X104)</f>
        <v>4</v>
      </c>
      <c r="Y110" s="25"/>
      <c r="Z110" s="25">
        <f>SUMIF($C93:$C104,"GENERAL",Z93:Z104)</f>
        <v>5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7</v>
      </c>
      <c r="O111" s="25"/>
      <c r="P111" s="25">
        <f>SUMIF($C93:$C104,"BECMG",P93:P104)</f>
        <v>7</v>
      </c>
      <c r="Q111" s="25"/>
      <c r="R111" s="25">
        <f>SUMIF($C93:$C104,"BECMG",R93:R104)</f>
        <v>7</v>
      </c>
      <c r="S111" s="25"/>
      <c r="T111" s="25">
        <f>SUMIF($C93:$C104,"BECMG",T93:T104)</f>
        <v>7</v>
      </c>
      <c r="U111" s="25"/>
      <c r="V111" s="25">
        <f>SUMIF($C93:$C104,"BECMG",V93:V104)</f>
        <v>7</v>
      </c>
      <c r="W111" s="25"/>
      <c r="X111" s="25">
        <f>SUMIF($C93:$C104,"BECMG",X93:X104)</f>
        <v>7</v>
      </c>
      <c r="Y111" s="25"/>
      <c r="Z111" s="25">
        <f>SUMIF($C93:$C104,"BECMG",Z93:Z104)</f>
        <v>7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66.666666666666657</v>
      </c>
      <c r="U114" s="38"/>
      <c r="V114" s="38">
        <f>(SUM(V110:V113)/COUNTA(V93:V104))*100</f>
        <v>58.333333333333336</v>
      </c>
      <c r="W114" s="38"/>
      <c r="X114" s="38">
        <f>(SUM(X110:X113)/COUNTA(X93:X104))*100</f>
        <v>91.666666666666657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FD185-E765-FC42-ACFB-B7107B5E2B99}">
  <sheetPr>
    <tabColor theme="0"/>
  </sheetPr>
  <dimension ref="A1:AE115"/>
  <sheetViews>
    <sheetView topLeftCell="A76" zoomScale="70" zoomScaleNormal="70" workbookViewId="0">
      <selection activeCell="L99" sqref="L99:L104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818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28</v>
      </c>
      <c r="B7" s="28">
        <v>0</v>
      </c>
      <c r="C7" s="51" t="s">
        <v>39</v>
      </c>
      <c r="D7" s="52"/>
      <c r="E7" s="51">
        <v>0</v>
      </c>
      <c r="F7" s="51">
        <v>0</v>
      </c>
      <c r="G7" s="51">
        <v>0</v>
      </c>
      <c r="H7" s="51">
        <v>8000</v>
      </c>
      <c r="I7" s="51">
        <v>0</v>
      </c>
      <c r="J7" s="51" t="s">
        <v>58</v>
      </c>
      <c r="K7" s="51">
        <v>900</v>
      </c>
      <c r="L7" s="51" t="s">
        <v>812</v>
      </c>
      <c r="M7" s="32">
        <f t="shared" ref="M7:M14" si="0">IF(ISNUMBER(VALUE(FIND("VRB",L7))),999,VALUE(MID(L7,20,3)))</f>
        <v>140</v>
      </c>
      <c r="N7" s="33">
        <f t="shared" ref="N7:N14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4" si="2">VALUE(MID(L7,23,2))</f>
        <v>3</v>
      </c>
      <c r="P7" s="33">
        <f t="shared" ref="P7:P14" si="3">IF(ABS(O7-F7)&lt;11,1,0)</f>
        <v>1</v>
      </c>
      <c r="Q7" s="34">
        <f t="shared" ref="Q7:Q14" si="4">IF(MID(L7,25,1)="G","GUST",0)</f>
        <v>0</v>
      </c>
      <c r="R7" s="33">
        <f t="shared" ref="R7:R14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4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4" si="7">IF(AND(IFERROR(FIND("RA",L7),0)&gt;0, IFERROR(FIND("RA",L7),0)&lt;38),"RA",0)</f>
        <v>0</v>
      </c>
      <c r="V7" s="34">
        <f t="shared" ref="V7:V14" si="8">IF(U7=I7,1,0)</f>
        <v>1</v>
      </c>
      <c r="W7" s="34" t="str">
        <f t="shared" ref="W7:W14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4" si="10">IF(OR(AND(OR(J7="SKC",J7="FEW",J7="SCT"),OR(W7="SKC",W7="FEW",W7="SCT")),(AND(OR(J7="BKN",J7="OVC"),OR(W7="BKN",W7="OVC")))),1,0)</f>
        <v>1</v>
      </c>
      <c r="Y7" s="34">
        <f t="shared" ref="Y7:Y14" si="11">IF(ISNUMBER(VALUE(FIND("CAVOK",L7))),9999,IF(ISNUMBER(VALUE(FIND("NSC",L7))),9999,(MID(L7,(FIND(W7,L7)+4),2))*100))</f>
        <v>900</v>
      </c>
      <c r="Z7" s="34">
        <f t="shared" ref="Z7:Z14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51" t="s">
        <v>39</v>
      </c>
      <c r="D8" s="52"/>
      <c r="E8" s="51">
        <v>0</v>
      </c>
      <c r="F8" s="51">
        <v>0</v>
      </c>
      <c r="G8" s="51">
        <v>0</v>
      </c>
      <c r="H8" s="51">
        <v>8000</v>
      </c>
      <c r="I8" s="51">
        <v>0</v>
      </c>
      <c r="J8" s="51" t="s">
        <v>58</v>
      </c>
      <c r="K8" s="51">
        <v>900</v>
      </c>
      <c r="L8" s="51" t="s">
        <v>813</v>
      </c>
      <c r="M8" s="32">
        <f t="shared" si="0"/>
        <v>100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4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51" t="s">
        <v>39</v>
      </c>
      <c r="D9" s="52"/>
      <c r="E9" s="51">
        <v>0</v>
      </c>
      <c r="F9" s="51">
        <v>0</v>
      </c>
      <c r="G9" s="51">
        <v>0</v>
      </c>
      <c r="H9" s="51">
        <v>8000</v>
      </c>
      <c r="I9" s="51">
        <v>0</v>
      </c>
      <c r="J9" s="51" t="s">
        <v>58</v>
      </c>
      <c r="K9" s="51">
        <v>900</v>
      </c>
      <c r="L9" s="51" t="s">
        <v>814</v>
      </c>
      <c r="M9" s="32">
        <f t="shared" si="0"/>
        <v>90</v>
      </c>
      <c r="N9" s="33">
        <f t="shared" si="1"/>
        <v>1</v>
      </c>
      <c r="O9" s="33">
        <f t="shared" si="2"/>
        <v>5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51" t="s">
        <v>39</v>
      </c>
      <c r="D10" s="52"/>
      <c r="E10" s="51">
        <v>0</v>
      </c>
      <c r="F10" s="51">
        <v>0</v>
      </c>
      <c r="G10" s="51">
        <v>0</v>
      </c>
      <c r="H10" s="51">
        <v>8000</v>
      </c>
      <c r="I10" s="51">
        <v>0</v>
      </c>
      <c r="J10" s="51" t="s">
        <v>58</v>
      </c>
      <c r="K10" s="51">
        <v>900</v>
      </c>
      <c r="L10" s="51" t="s">
        <v>815</v>
      </c>
      <c r="M10" s="32">
        <f t="shared" si="0"/>
        <v>100</v>
      </c>
      <c r="N10" s="33">
        <f t="shared" si="1"/>
        <v>1</v>
      </c>
      <c r="O10" s="33">
        <f t="shared" si="2"/>
        <v>3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51" t="s">
        <v>39</v>
      </c>
      <c r="D11" s="52"/>
      <c r="E11" s="51">
        <v>0</v>
      </c>
      <c r="F11" s="51">
        <v>0</v>
      </c>
      <c r="G11" s="51">
        <v>0</v>
      </c>
      <c r="H11" s="51">
        <v>8000</v>
      </c>
      <c r="I11" s="51">
        <v>0</v>
      </c>
      <c r="J11" s="51" t="s">
        <v>58</v>
      </c>
      <c r="K11" s="51">
        <v>900</v>
      </c>
      <c r="L11" s="51" t="s">
        <v>819</v>
      </c>
      <c r="M11" s="32">
        <f t="shared" si="0"/>
        <v>100</v>
      </c>
      <c r="N11" s="33">
        <f t="shared" si="1"/>
        <v>1</v>
      </c>
      <c r="O11" s="33">
        <f t="shared" si="2"/>
        <v>6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51" t="s">
        <v>39</v>
      </c>
      <c r="D12" s="52"/>
      <c r="E12" s="51">
        <v>0</v>
      </c>
      <c r="F12" s="51">
        <v>0</v>
      </c>
      <c r="G12" s="51">
        <v>0</v>
      </c>
      <c r="H12" s="51">
        <v>8000</v>
      </c>
      <c r="I12" s="51">
        <v>0</v>
      </c>
      <c r="J12" s="51" t="s">
        <v>58</v>
      </c>
      <c r="K12" s="51">
        <v>900</v>
      </c>
      <c r="L12" s="51" t="s">
        <v>820</v>
      </c>
      <c r="M12" s="32">
        <f t="shared" si="0"/>
        <v>130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51" t="s">
        <v>39</v>
      </c>
      <c r="D13" s="52"/>
      <c r="E13" s="51">
        <v>0</v>
      </c>
      <c r="F13" s="51">
        <v>0</v>
      </c>
      <c r="G13" s="51">
        <v>0</v>
      </c>
      <c r="H13" s="51">
        <v>8000</v>
      </c>
      <c r="I13" s="51">
        <v>0</v>
      </c>
      <c r="J13" s="51" t="s">
        <v>58</v>
      </c>
      <c r="K13" s="51">
        <v>900</v>
      </c>
      <c r="L13" s="51" t="s">
        <v>821</v>
      </c>
      <c r="M13" s="32">
        <f t="shared" si="0"/>
        <v>150</v>
      </c>
      <c r="N13" s="33">
        <f t="shared" si="1"/>
        <v>1</v>
      </c>
      <c r="O13" s="33">
        <f t="shared" si="2"/>
        <v>4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SCT</v>
      </c>
      <c r="X13" s="34">
        <f t="shared" si="10"/>
        <v>0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51" t="s">
        <v>39</v>
      </c>
      <c r="D14" s="52"/>
      <c r="E14" s="51">
        <v>0</v>
      </c>
      <c r="F14" s="51">
        <v>0</v>
      </c>
      <c r="G14" s="51">
        <v>0</v>
      </c>
      <c r="H14" s="51">
        <v>8000</v>
      </c>
      <c r="I14" s="51">
        <v>0</v>
      </c>
      <c r="J14" s="51" t="s">
        <v>58</v>
      </c>
      <c r="K14" s="51">
        <v>900</v>
      </c>
      <c r="L14" s="51" t="s">
        <v>823</v>
      </c>
      <c r="M14" s="32">
        <f t="shared" si="0"/>
        <v>160</v>
      </c>
      <c r="N14" s="33">
        <f t="shared" si="1"/>
        <v>1</v>
      </c>
      <c r="O14" s="33">
        <f t="shared" si="2"/>
        <v>3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SCT</v>
      </c>
      <c r="X14" s="34">
        <f t="shared" si="10"/>
        <v>0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51" t="s">
        <v>39</v>
      </c>
      <c r="D15" s="52"/>
      <c r="E15" s="51">
        <v>0</v>
      </c>
      <c r="F15" s="51">
        <v>0</v>
      </c>
      <c r="G15" s="51">
        <v>0</v>
      </c>
      <c r="H15" s="51">
        <v>8000</v>
      </c>
      <c r="I15" s="51">
        <v>0</v>
      </c>
      <c r="J15" s="51" t="s">
        <v>58</v>
      </c>
      <c r="K15" s="51">
        <v>900</v>
      </c>
      <c r="L15" t="s">
        <v>827</v>
      </c>
      <c r="M15" s="32">
        <f t="shared" ref="M15:M18" si="14">IF(ISNUMBER(VALUE(FIND("VRB",L15))),999,VALUE(MID(L15,20,3)))</f>
        <v>120</v>
      </c>
      <c r="N15" s="33">
        <f t="shared" ref="N15:N18" si="15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8" si="16">VALUE(MID(L15,23,2))</f>
        <v>3</v>
      </c>
      <c r="P15" s="33">
        <f t="shared" ref="P15:P18" si="17">IF(ABS(O15-F15)&lt;11,1,0)</f>
        <v>1</v>
      </c>
      <c r="Q15" s="34">
        <f t="shared" ref="Q15:Q18" si="18">IF(MID(L15,25,1)="G","GUST",0)</f>
        <v>0</v>
      </c>
      <c r="R15" s="33">
        <f t="shared" ref="R15:R18" si="19">IF(G15=Q15,1,0)</f>
        <v>1</v>
      </c>
      <c r="S15" s="34">
        <f t="shared" ref="S15:S18" si="20">IF(ISNUMBER(VALUE(MID(L15,(FIND("KT",L15,FIND("Z",L15))+3),4))),VALUE(MID(L15,(FIND("KT",L15,FIND("Z",L15))+3),4)),IF(ISNUMBER(VALUE(MID(L15,(FIND("0V",L15)+6),4))),VALUE(MID(L15,(FIND("0V",L15)+6),4)),9999))</f>
        <v>8000</v>
      </c>
      <c r="T15" s="34">
        <f t="shared" ref="T15:T18" si="21">IF(OR(AND(H15&lt;801,S15&lt;801),AND(H15&gt;799,H15&lt;1501,S15&gt;799,S15&lt;1502),AND(H15&gt;1499,H15&lt;3001,S15&gt;1499,S15&lt;3001),AND(H15&gt;2999,H15&lt;5001,S15&gt;2999,S15&lt;5001),AND(H15&gt;4999,S15&gt;4999)),1,0)</f>
        <v>1</v>
      </c>
      <c r="U15" s="34">
        <f t="shared" ref="U15:U18" si="22">IF(AND(IFERROR(FIND("RA",L15),0)&gt;0, IFERROR(FIND("RA",L15),0)&lt;38),"RA",0)</f>
        <v>0</v>
      </c>
      <c r="V15" s="34">
        <f t="shared" ref="V15:V18" si="23">IF(U15=I15,1,0)</f>
        <v>1</v>
      </c>
      <c r="W15" s="34" t="str">
        <f t="shared" ref="W15:W18" si="24"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SCT</v>
      </c>
      <c r="X15" s="34">
        <f t="shared" ref="X15:X18" si="25">IF(OR(AND(OR(J15="SKC",J15="FEW",J15="SCT"),OR(W15="SKC",W15="FEW",W15="SCT")),(AND(OR(J15="BKN",J15="OVC"),OR(W15="BKN",W15="OVC")))),1,0)</f>
        <v>0</v>
      </c>
      <c r="Y15" s="34">
        <f t="shared" ref="Y15:Y18" si="26">IF(ISNUMBER(VALUE(FIND("CAVOK",L15))),9999,IF(ISNUMBER(VALUE(FIND("NSC",L15))),9999,(MID(L15,(FIND(W15,L15)+4),2))*100))</f>
        <v>900</v>
      </c>
      <c r="Z15" s="34">
        <f t="shared" ref="Z15:Z18" si="27">IF(AND(Y15&lt;1001,ABS(K15-Y15)&lt;101),1,IF(AND(Y15&gt;1000,ABS(Y15-K15)/K15&lt;0.30005),1,0))</f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51" t="s">
        <v>39</v>
      </c>
      <c r="D16" s="52"/>
      <c r="E16" s="51">
        <v>0</v>
      </c>
      <c r="F16" s="51">
        <v>0</v>
      </c>
      <c r="G16" s="51">
        <v>0</v>
      </c>
      <c r="H16" s="51">
        <v>8000</v>
      </c>
      <c r="I16" s="51">
        <v>0</v>
      </c>
      <c r="J16" s="51" t="s">
        <v>58</v>
      </c>
      <c r="K16" s="51">
        <v>900</v>
      </c>
      <c r="L16" t="s">
        <v>826</v>
      </c>
      <c r="M16" s="32">
        <f t="shared" si="14"/>
        <v>0</v>
      </c>
      <c r="N16" s="33">
        <f t="shared" si="15"/>
        <v>1</v>
      </c>
      <c r="O16" s="33">
        <f t="shared" si="16"/>
        <v>0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20"/>
        <v>8000</v>
      </c>
      <c r="T16" s="34">
        <f t="shared" si="21"/>
        <v>1</v>
      </c>
      <c r="U16" s="34">
        <f t="shared" si="22"/>
        <v>0</v>
      </c>
      <c r="V16" s="34">
        <f t="shared" si="23"/>
        <v>1</v>
      </c>
      <c r="W16" s="34" t="str">
        <f t="shared" si="24"/>
        <v>SCT</v>
      </c>
      <c r="X16" s="34">
        <f t="shared" si="25"/>
        <v>0</v>
      </c>
      <c r="Y16" s="34">
        <f t="shared" si="26"/>
        <v>900</v>
      </c>
      <c r="Z16" s="34">
        <f t="shared" si="27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51" t="s">
        <v>39</v>
      </c>
      <c r="D17" s="52"/>
      <c r="E17" s="51">
        <v>0</v>
      </c>
      <c r="F17" s="51">
        <v>0</v>
      </c>
      <c r="G17" s="51">
        <v>0</v>
      </c>
      <c r="H17" s="51">
        <v>8000</v>
      </c>
      <c r="I17" s="51">
        <v>0</v>
      </c>
      <c r="J17" s="51" t="s">
        <v>58</v>
      </c>
      <c r="K17" s="51">
        <v>900</v>
      </c>
      <c r="L17" t="s">
        <v>825</v>
      </c>
      <c r="M17" s="32">
        <f t="shared" si="14"/>
        <v>0</v>
      </c>
      <c r="N17" s="33">
        <f t="shared" si="15"/>
        <v>1</v>
      </c>
      <c r="O17" s="33">
        <f t="shared" si="16"/>
        <v>0</v>
      </c>
      <c r="P17" s="33">
        <f t="shared" si="17"/>
        <v>1</v>
      </c>
      <c r="Q17" s="34">
        <f t="shared" si="18"/>
        <v>0</v>
      </c>
      <c r="R17" s="33">
        <f t="shared" si="19"/>
        <v>1</v>
      </c>
      <c r="S17" s="34">
        <f t="shared" si="20"/>
        <v>8000</v>
      </c>
      <c r="T17" s="34">
        <f t="shared" si="21"/>
        <v>1</v>
      </c>
      <c r="U17" s="34">
        <f t="shared" si="22"/>
        <v>0</v>
      </c>
      <c r="V17" s="34">
        <f t="shared" si="23"/>
        <v>1</v>
      </c>
      <c r="W17" s="34" t="str">
        <f t="shared" si="24"/>
        <v>SCT</v>
      </c>
      <c r="X17" s="34">
        <f t="shared" si="25"/>
        <v>0</v>
      </c>
      <c r="Y17" s="34">
        <f t="shared" si="26"/>
        <v>900</v>
      </c>
      <c r="Z17" s="34">
        <f t="shared" si="27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51" t="s">
        <v>39</v>
      </c>
      <c r="D18" s="52"/>
      <c r="E18" s="51">
        <v>0</v>
      </c>
      <c r="F18" s="51">
        <v>0</v>
      </c>
      <c r="G18" s="51">
        <v>0</v>
      </c>
      <c r="H18" s="51">
        <v>8000</v>
      </c>
      <c r="I18" s="51">
        <v>0</v>
      </c>
      <c r="J18" s="51" t="s">
        <v>58</v>
      </c>
      <c r="K18" s="51">
        <v>900</v>
      </c>
      <c r="L18" t="s">
        <v>824</v>
      </c>
      <c r="M18" s="32">
        <f t="shared" si="14"/>
        <v>0</v>
      </c>
      <c r="N18" s="33">
        <f t="shared" si="15"/>
        <v>1</v>
      </c>
      <c r="O18" s="33">
        <f t="shared" si="16"/>
        <v>0</v>
      </c>
      <c r="P18" s="33">
        <f t="shared" si="17"/>
        <v>1</v>
      </c>
      <c r="Q18" s="34">
        <f t="shared" si="18"/>
        <v>0</v>
      </c>
      <c r="R18" s="33">
        <f t="shared" si="19"/>
        <v>1</v>
      </c>
      <c r="S18" s="34">
        <f t="shared" si="20"/>
        <v>8000</v>
      </c>
      <c r="T18" s="34">
        <f t="shared" si="21"/>
        <v>1</v>
      </c>
      <c r="U18" s="34">
        <f t="shared" si="22"/>
        <v>0</v>
      </c>
      <c r="V18" s="34">
        <f t="shared" si="23"/>
        <v>1</v>
      </c>
      <c r="W18" s="34" t="str">
        <f t="shared" si="24"/>
        <v>FEW</v>
      </c>
      <c r="X18" s="34">
        <f t="shared" si="25"/>
        <v>0</v>
      </c>
      <c r="Y18" s="34">
        <f t="shared" si="26"/>
        <v>800</v>
      </c>
      <c r="Z18" s="34">
        <f t="shared" si="27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12</v>
      </c>
      <c r="W23" s="25"/>
      <c r="X23" s="25">
        <f>SUM(X7:X18)</f>
        <v>6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12</v>
      </c>
      <c r="U24" s="25"/>
      <c r="V24" s="25">
        <f>SUMIF($C7:$C18,"GENERAL",V7:V18)</f>
        <v>12</v>
      </c>
      <c r="W24" s="25"/>
      <c r="X24" s="25">
        <f>SUMIF($C7:$C18,"GENERAL",X7:X18)</f>
        <v>6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100</v>
      </c>
      <c r="W28" s="38"/>
      <c r="X28" s="38">
        <f>(SUM(X24:X27)/COUNTA(X7:X18))*100</f>
        <v>50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822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28</v>
      </c>
      <c r="B36" s="28">
        <v>0.25</v>
      </c>
      <c r="C36" s="51" t="s">
        <v>39</v>
      </c>
      <c r="D36" s="52"/>
      <c r="E36" s="51">
        <v>130</v>
      </c>
      <c r="F36" s="51">
        <v>4</v>
      </c>
      <c r="G36" s="51">
        <v>0</v>
      </c>
      <c r="H36" s="51">
        <v>8000</v>
      </c>
      <c r="I36" s="51">
        <v>0</v>
      </c>
      <c r="J36" s="51" t="s">
        <v>58</v>
      </c>
      <c r="K36" s="51">
        <v>900</v>
      </c>
      <c r="L36" s="51" t="s">
        <v>821</v>
      </c>
      <c r="M36" s="32">
        <f t="shared" ref="M36:M41" si="28">IF(ISNUMBER(VALUE(FIND("VRB",L36))),999,VALUE(MID(L36,20,3)))</f>
        <v>150</v>
      </c>
      <c r="N36" s="33">
        <f t="shared" ref="N36:N41" si="29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30">VALUE(MID(L36,23,2))</f>
        <v>4</v>
      </c>
      <c r="P36" s="33">
        <f t="shared" ref="P36:P41" si="31">IF(ABS(O36-F36)&lt;11,1,0)</f>
        <v>1</v>
      </c>
      <c r="Q36" s="34">
        <f t="shared" ref="Q36:Q41" si="32">IF(MID(L36,25,1)="G","GUST",0)</f>
        <v>0</v>
      </c>
      <c r="R36" s="33">
        <f t="shared" ref="R36:R41" si="33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34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5">IF(AND(IFERROR(FIND("RA",L36),0)&gt;0, IFERROR(FIND("RA",L36),0)&lt;38),"RA",0)</f>
        <v>0</v>
      </c>
      <c r="V36" s="34">
        <f t="shared" ref="V36:V41" si="36">IF(U36=I36,1,0)</f>
        <v>1</v>
      </c>
      <c r="W36" s="34" t="str">
        <f t="shared" ref="W36:W41" si="37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SCT</v>
      </c>
      <c r="X36" s="34">
        <f t="shared" ref="X36:X41" si="38">IF(OR(AND(OR(J36="SKC",J36="FEW",J36="SCT"),OR(W36="SKC",W36="FEW",W36="SCT")),(AND(OR(J36="BKN",J36="OVC"),OR(W36="BKN",W36="OVC")))),1,0)</f>
        <v>0</v>
      </c>
      <c r="Y36" s="34">
        <f t="shared" ref="Y36:Y41" si="39">IF(ISNUMBER(VALUE(FIND("CAVOK",L36))),9999,IF(ISNUMBER(VALUE(FIND("NSC",L36))),9999,(MID(L36,(FIND(W36,L36)+4),2))*100))</f>
        <v>900</v>
      </c>
      <c r="Z36" s="34">
        <f t="shared" ref="Z36:Z41" si="40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51" t="s">
        <v>39</v>
      </c>
      <c r="D37" s="52"/>
      <c r="E37" s="51">
        <v>130</v>
      </c>
      <c r="F37" s="51">
        <v>4</v>
      </c>
      <c r="G37" s="51">
        <v>0</v>
      </c>
      <c r="H37" s="51">
        <v>8000</v>
      </c>
      <c r="I37" s="51">
        <v>0</v>
      </c>
      <c r="J37" s="51" t="s">
        <v>58</v>
      </c>
      <c r="K37" s="51">
        <v>900</v>
      </c>
      <c r="L37" s="51" t="s">
        <v>823</v>
      </c>
      <c r="M37" s="32">
        <f t="shared" si="28"/>
        <v>160</v>
      </c>
      <c r="N37" s="33">
        <f t="shared" si="29"/>
        <v>1</v>
      </c>
      <c r="O37" s="33">
        <f t="shared" si="30"/>
        <v>3</v>
      </c>
      <c r="P37" s="33">
        <f t="shared" si="31"/>
        <v>1</v>
      </c>
      <c r="Q37" s="34">
        <f t="shared" si="32"/>
        <v>0</v>
      </c>
      <c r="R37" s="33">
        <f t="shared" si="33"/>
        <v>1</v>
      </c>
      <c r="S37" s="34">
        <f t="shared" ref="S37:S41" si="41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4"/>
        <v>1</v>
      </c>
      <c r="U37" s="34">
        <f t="shared" si="35"/>
        <v>0</v>
      </c>
      <c r="V37" s="34">
        <f t="shared" si="36"/>
        <v>1</v>
      </c>
      <c r="W37" s="34" t="str">
        <f t="shared" si="37"/>
        <v>SCT</v>
      </c>
      <c r="X37" s="34">
        <f t="shared" si="38"/>
        <v>0</v>
      </c>
      <c r="Y37" s="34">
        <f t="shared" si="39"/>
        <v>900</v>
      </c>
      <c r="Z37" s="34">
        <f t="shared" si="40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51" t="s">
        <v>39</v>
      </c>
      <c r="D38" s="52"/>
      <c r="E38" s="51">
        <v>130</v>
      </c>
      <c r="F38" s="51">
        <v>4</v>
      </c>
      <c r="G38" s="51">
        <v>0</v>
      </c>
      <c r="H38" s="51">
        <v>8000</v>
      </c>
      <c r="I38" s="51">
        <v>0</v>
      </c>
      <c r="J38" s="51" t="s">
        <v>58</v>
      </c>
      <c r="K38" s="51">
        <v>900</v>
      </c>
      <c r="L38" t="s">
        <v>827</v>
      </c>
      <c r="M38" s="32">
        <f t="shared" si="28"/>
        <v>120</v>
      </c>
      <c r="N38" s="33">
        <f t="shared" si="29"/>
        <v>1</v>
      </c>
      <c r="O38" s="33">
        <f t="shared" si="30"/>
        <v>3</v>
      </c>
      <c r="P38" s="33">
        <f t="shared" si="31"/>
        <v>1</v>
      </c>
      <c r="Q38" s="34">
        <f t="shared" si="32"/>
        <v>0</v>
      </c>
      <c r="R38" s="33">
        <f t="shared" si="33"/>
        <v>1</v>
      </c>
      <c r="S38" s="34">
        <f t="shared" si="41"/>
        <v>8000</v>
      </c>
      <c r="T38" s="34">
        <f t="shared" si="34"/>
        <v>1</v>
      </c>
      <c r="U38" s="34">
        <f t="shared" si="35"/>
        <v>0</v>
      </c>
      <c r="V38" s="34">
        <f t="shared" si="36"/>
        <v>1</v>
      </c>
      <c r="W38" s="34" t="str">
        <f t="shared" si="37"/>
        <v>SCT</v>
      </c>
      <c r="X38" s="34">
        <f t="shared" si="38"/>
        <v>0</v>
      </c>
      <c r="Y38" s="34">
        <f t="shared" si="39"/>
        <v>900</v>
      </c>
      <c r="Z38" s="34">
        <f t="shared" si="40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51" t="s">
        <v>40</v>
      </c>
      <c r="D39" s="52"/>
      <c r="E39" s="51">
        <v>0</v>
      </c>
      <c r="F39" s="51">
        <v>0</v>
      </c>
      <c r="G39" s="51">
        <v>0</v>
      </c>
      <c r="H39" s="51">
        <v>4000</v>
      </c>
      <c r="I39" s="51" t="s">
        <v>52</v>
      </c>
      <c r="J39" s="51" t="s">
        <v>51</v>
      </c>
      <c r="K39" s="51">
        <v>800</v>
      </c>
      <c r="L39" t="s">
        <v>826</v>
      </c>
      <c r="M39" s="32">
        <f t="shared" si="28"/>
        <v>0</v>
      </c>
      <c r="N39" s="33">
        <f t="shared" si="29"/>
        <v>1</v>
      </c>
      <c r="O39" s="33">
        <f t="shared" si="30"/>
        <v>0</v>
      </c>
      <c r="P39" s="33">
        <f t="shared" si="31"/>
        <v>1</v>
      </c>
      <c r="Q39" s="34">
        <f t="shared" si="32"/>
        <v>0</v>
      </c>
      <c r="R39" s="33">
        <f t="shared" si="33"/>
        <v>1</v>
      </c>
      <c r="S39" s="34">
        <f t="shared" si="41"/>
        <v>8000</v>
      </c>
      <c r="T39" s="34">
        <f t="shared" si="34"/>
        <v>0</v>
      </c>
      <c r="U39" s="34">
        <f t="shared" si="35"/>
        <v>0</v>
      </c>
      <c r="V39" s="34">
        <f t="shared" si="36"/>
        <v>0</v>
      </c>
      <c r="W39" s="34" t="str">
        <f t="shared" si="37"/>
        <v>SCT</v>
      </c>
      <c r="X39" s="34">
        <f t="shared" si="38"/>
        <v>1</v>
      </c>
      <c r="Y39" s="34">
        <f t="shared" si="39"/>
        <v>900</v>
      </c>
      <c r="Z39" s="34">
        <f t="shared" si="40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51" t="s">
        <v>40</v>
      </c>
      <c r="D40" s="52"/>
      <c r="E40" s="51">
        <v>0</v>
      </c>
      <c r="F40" s="51">
        <v>0</v>
      </c>
      <c r="G40" s="51">
        <v>0</v>
      </c>
      <c r="H40" s="51">
        <v>4000</v>
      </c>
      <c r="I40" s="51" t="s">
        <v>52</v>
      </c>
      <c r="J40" s="51" t="s">
        <v>51</v>
      </c>
      <c r="K40" s="51">
        <v>800</v>
      </c>
      <c r="L40" t="s">
        <v>825</v>
      </c>
      <c r="M40" s="32">
        <f t="shared" si="28"/>
        <v>0</v>
      </c>
      <c r="N40" s="33">
        <f t="shared" si="29"/>
        <v>1</v>
      </c>
      <c r="O40" s="33">
        <f t="shared" si="30"/>
        <v>0</v>
      </c>
      <c r="P40" s="33">
        <f t="shared" si="31"/>
        <v>1</v>
      </c>
      <c r="Q40" s="34">
        <f t="shared" si="32"/>
        <v>0</v>
      </c>
      <c r="R40" s="33">
        <f t="shared" si="33"/>
        <v>1</v>
      </c>
      <c r="S40" s="34">
        <f t="shared" si="41"/>
        <v>8000</v>
      </c>
      <c r="T40" s="34">
        <f t="shared" si="34"/>
        <v>0</v>
      </c>
      <c r="U40" s="34">
        <f t="shared" si="35"/>
        <v>0</v>
      </c>
      <c r="V40" s="34">
        <f t="shared" si="36"/>
        <v>0</v>
      </c>
      <c r="W40" s="34" t="str">
        <f t="shared" si="37"/>
        <v>SCT</v>
      </c>
      <c r="X40" s="34">
        <f t="shared" si="38"/>
        <v>1</v>
      </c>
      <c r="Y40" s="34">
        <f t="shared" si="39"/>
        <v>900</v>
      </c>
      <c r="Z40" s="34">
        <f t="shared" si="40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51" t="s">
        <v>40</v>
      </c>
      <c r="D41" s="52"/>
      <c r="E41" s="51">
        <v>0</v>
      </c>
      <c r="F41" s="51">
        <v>0</v>
      </c>
      <c r="G41" s="51">
        <v>0</v>
      </c>
      <c r="H41" s="51">
        <v>4000</v>
      </c>
      <c r="I41" s="51" t="s">
        <v>52</v>
      </c>
      <c r="J41" s="51" t="s">
        <v>51</v>
      </c>
      <c r="K41" s="51">
        <v>800</v>
      </c>
      <c r="L41" t="s">
        <v>824</v>
      </c>
      <c r="M41" s="32">
        <f t="shared" si="28"/>
        <v>0</v>
      </c>
      <c r="N41" s="33">
        <f t="shared" si="29"/>
        <v>1</v>
      </c>
      <c r="O41" s="33">
        <f t="shared" si="30"/>
        <v>0</v>
      </c>
      <c r="P41" s="33">
        <f t="shared" si="31"/>
        <v>1</v>
      </c>
      <c r="Q41" s="34">
        <f t="shared" si="32"/>
        <v>0</v>
      </c>
      <c r="R41" s="33">
        <f t="shared" si="33"/>
        <v>1</v>
      </c>
      <c r="S41" s="34">
        <f t="shared" si="41"/>
        <v>8000</v>
      </c>
      <c r="T41" s="34">
        <f t="shared" si="34"/>
        <v>0</v>
      </c>
      <c r="U41" s="34">
        <f t="shared" si="35"/>
        <v>0</v>
      </c>
      <c r="V41" s="34">
        <f t="shared" si="36"/>
        <v>0</v>
      </c>
      <c r="W41" s="34" t="str">
        <f t="shared" si="37"/>
        <v>FEW</v>
      </c>
      <c r="X41" s="34">
        <f t="shared" si="38"/>
        <v>1</v>
      </c>
      <c r="Y41" s="34">
        <f t="shared" si="39"/>
        <v>800</v>
      </c>
      <c r="Z41" s="34">
        <f t="shared" si="40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51" t="s">
        <v>39</v>
      </c>
      <c r="D42" s="52"/>
      <c r="E42" s="51">
        <v>130</v>
      </c>
      <c r="F42" s="51">
        <v>4</v>
      </c>
      <c r="G42" s="51">
        <v>0</v>
      </c>
      <c r="H42" s="51">
        <v>8000</v>
      </c>
      <c r="I42" s="51">
        <v>0</v>
      </c>
      <c r="J42" s="51" t="s">
        <v>58</v>
      </c>
      <c r="K42" s="51">
        <v>900</v>
      </c>
      <c r="L42" t="s">
        <v>833</v>
      </c>
      <c r="M42" s="32">
        <f t="shared" ref="M42:M47" si="42">IF(ISNUMBER(VALUE(FIND("VRB",L42))),999,VALUE(MID(L42,20,3)))</f>
        <v>0</v>
      </c>
      <c r="N42" s="33">
        <f t="shared" ref="N42:N47" si="43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4">VALUE(MID(L42,23,2))</f>
        <v>0</v>
      </c>
      <c r="P42" s="33">
        <f t="shared" ref="P42:P47" si="45">IF(ABS(O42-F42)&lt;11,1,0)</f>
        <v>1</v>
      </c>
      <c r="Q42" s="34">
        <f t="shared" ref="Q42:Q47" si="46">IF(MID(L42,25,1)="G","GUST",0)</f>
        <v>0</v>
      </c>
      <c r="R42" s="33">
        <f t="shared" ref="R42:R47" si="47">IF(G42=Q42,1,0)</f>
        <v>1</v>
      </c>
      <c r="S42" s="34">
        <f t="shared" ref="S42:S47" si="48">IF(ISNUMBER(VALUE(MID(L42,(FIND("KT",L42,FIND("Z",L42))+3),4))),VALUE(MID(L42,(FIND("KT",L42,FIND("Z",L42))+3),4)),IF(ISNUMBER(VALUE(MID(L42,(FIND("0V",L42)+6),4))),VALUE(MID(L42,(FIND("0V",L42)+6),4)),9999))</f>
        <v>8000</v>
      </c>
      <c r="T42" s="34">
        <f t="shared" ref="T42:T47" si="49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>
        <f t="shared" ref="U42:U47" si="50">IF(AND(IFERROR(FIND("RA",L42),0)&gt;0, IFERROR(FIND("RA",L42),0)&lt;38),"RA",0)</f>
        <v>0</v>
      </c>
      <c r="V42" s="34">
        <f t="shared" ref="V42:V47" si="51">IF(U42=I42,1,0)</f>
        <v>1</v>
      </c>
      <c r="W42" s="34" t="str">
        <f t="shared" ref="W42:W47" si="52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FEW</v>
      </c>
      <c r="X42" s="34">
        <f t="shared" ref="X42:X47" si="53">IF(OR(AND(OR(J42="SKC",J42="FEW",J42="SCT"),OR(W42="SKC",W42="FEW",W42="SCT")),(AND(OR(J42="BKN",J42="OVC"),OR(W42="BKN",W42="OVC")))),1,0)</f>
        <v>0</v>
      </c>
      <c r="Y42" s="34">
        <f t="shared" ref="Y42:Y47" si="54">IF(ISNUMBER(VALUE(FIND("CAVOK",L42))),9999,IF(ISNUMBER(VALUE(FIND("NSC",L42))),9999,(MID(L42,(FIND(W42,L42)+4),2))*100))</f>
        <v>800</v>
      </c>
      <c r="Z42" s="34">
        <f t="shared" ref="Z42:Z47" si="55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51" t="s">
        <v>39</v>
      </c>
      <c r="D43" s="52"/>
      <c r="E43" s="51">
        <v>130</v>
      </c>
      <c r="F43" s="51">
        <v>4</v>
      </c>
      <c r="G43" s="51">
        <v>0</v>
      </c>
      <c r="H43" s="51">
        <v>8000</v>
      </c>
      <c r="I43" s="51">
        <v>0</v>
      </c>
      <c r="J43" s="51" t="s">
        <v>58</v>
      </c>
      <c r="K43" s="51">
        <v>900</v>
      </c>
      <c r="L43" t="s">
        <v>832</v>
      </c>
      <c r="M43" s="32">
        <f t="shared" si="42"/>
        <v>0</v>
      </c>
      <c r="N43" s="33">
        <f t="shared" si="43"/>
        <v>1</v>
      </c>
      <c r="O43" s="33">
        <f t="shared" si="44"/>
        <v>0</v>
      </c>
      <c r="P43" s="33">
        <f t="shared" si="45"/>
        <v>1</v>
      </c>
      <c r="Q43" s="34">
        <f t="shared" si="46"/>
        <v>0</v>
      </c>
      <c r="R43" s="33">
        <f t="shared" si="47"/>
        <v>1</v>
      </c>
      <c r="S43" s="34">
        <f t="shared" si="48"/>
        <v>8000</v>
      </c>
      <c r="T43" s="34">
        <f t="shared" si="49"/>
        <v>1</v>
      </c>
      <c r="U43" s="34">
        <f t="shared" si="50"/>
        <v>0</v>
      </c>
      <c r="V43" s="34">
        <f t="shared" si="51"/>
        <v>1</v>
      </c>
      <c r="W43" s="34" t="str">
        <f t="shared" si="52"/>
        <v>FEW</v>
      </c>
      <c r="X43" s="34">
        <f t="shared" si="53"/>
        <v>0</v>
      </c>
      <c r="Y43" s="34">
        <f t="shared" si="54"/>
        <v>800</v>
      </c>
      <c r="Z43" s="34">
        <f t="shared" si="55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51" t="s">
        <v>39</v>
      </c>
      <c r="D44" s="52"/>
      <c r="E44" s="51">
        <v>130</v>
      </c>
      <c r="F44" s="51">
        <v>4</v>
      </c>
      <c r="G44" s="51">
        <v>0</v>
      </c>
      <c r="H44" s="51">
        <v>8000</v>
      </c>
      <c r="I44" s="51">
        <v>0</v>
      </c>
      <c r="J44" s="51" t="s">
        <v>58</v>
      </c>
      <c r="K44" s="51">
        <v>900</v>
      </c>
      <c r="L44" t="s">
        <v>831</v>
      </c>
      <c r="M44" s="32">
        <f t="shared" si="42"/>
        <v>0</v>
      </c>
      <c r="N44" s="33">
        <f t="shared" si="43"/>
        <v>1</v>
      </c>
      <c r="O44" s="33">
        <f t="shared" si="44"/>
        <v>0</v>
      </c>
      <c r="P44" s="33">
        <f t="shared" si="45"/>
        <v>1</v>
      </c>
      <c r="Q44" s="34">
        <f t="shared" si="46"/>
        <v>0</v>
      </c>
      <c r="R44" s="33">
        <f t="shared" si="47"/>
        <v>1</v>
      </c>
      <c r="S44" s="34">
        <f t="shared" si="48"/>
        <v>8000</v>
      </c>
      <c r="T44" s="34">
        <f t="shared" si="49"/>
        <v>1</v>
      </c>
      <c r="U44" s="34">
        <f t="shared" si="50"/>
        <v>0</v>
      </c>
      <c r="V44" s="34">
        <f t="shared" si="51"/>
        <v>1</v>
      </c>
      <c r="W44" s="34" t="str">
        <f t="shared" si="52"/>
        <v>FEW</v>
      </c>
      <c r="X44" s="34">
        <f t="shared" si="53"/>
        <v>0</v>
      </c>
      <c r="Y44" s="34">
        <f t="shared" si="54"/>
        <v>800</v>
      </c>
      <c r="Z44" s="34">
        <f t="shared" si="55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51" t="s">
        <v>39</v>
      </c>
      <c r="D45" s="52"/>
      <c r="E45" s="51">
        <v>130</v>
      </c>
      <c r="F45" s="51">
        <v>4</v>
      </c>
      <c r="G45" s="51">
        <v>0</v>
      </c>
      <c r="H45" s="51">
        <v>8000</v>
      </c>
      <c r="I45" s="51">
        <v>0</v>
      </c>
      <c r="J45" s="51" t="s">
        <v>58</v>
      </c>
      <c r="K45" s="51">
        <v>900</v>
      </c>
      <c r="L45" t="s">
        <v>830</v>
      </c>
      <c r="M45" s="32">
        <f t="shared" si="42"/>
        <v>0</v>
      </c>
      <c r="N45" s="33">
        <f t="shared" si="43"/>
        <v>1</v>
      </c>
      <c r="O45" s="33">
        <f t="shared" si="44"/>
        <v>0</v>
      </c>
      <c r="P45" s="33">
        <f t="shared" si="45"/>
        <v>1</v>
      </c>
      <c r="Q45" s="34">
        <f t="shared" si="46"/>
        <v>0</v>
      </c>
      <c r="R45" s="33">
        <f t="shared" si="47"/>
        <v>1</v>
      </c>
      <c r="S45" s="34">
        <f t="shared" si="48"/>
        <v>8000</v>
      </c>
      <c r="T45" s="34">
        <f t="shared" si="49"/>
        <v>1</v>
      </c>
      <c r="U45" s="34">
        <f t="shared" si="50"/>
        <v>0</v>
      </c>
      <c r="V45" s="34">
        <f t="shared" si="51"/>
        <v>1</v>
      </c>
      <c r="W45" s="34" t="str">
        <f t="shared" si="52"/>
        <v>FEW</v>
      </c>
      <c r="X45" s="34">
        <f t="shared" si="53"/>
        <v>0</v>
      </c>
      <c r="Y45" s="34">
        <f t="shared" si="54"/>
        <v>800</v>
      </c>
      <c r="Z45" s="34">
        <f t="shared" si="55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51" t="s">
        <v>39</v>
      </c>
      <c r="D46" s="52"/>
      <c r="E46" s="51">
        <v>130</v>
      </c>
      <c r="F46" s="51">
        <v>4</v>
      </c>
      <c r="G46" s="51">
        <v>0</v>
      </c>
      <c r="H46" s="51">
        <v>8000</v>
      </c>
      <c r="I46" s="51">
        <v>0</v>
      </c>
      <c r="J46" s="51" t="s">
        <v>58</v>
      </c>
      <c r="K46" s="51">
        <v>900</v>
      </c>
      <c r="L46" t="s">
        <v>829</v>
      </c>
      <c r="M46" s="32">
        <f t="shared" si="42"/>
        <v>0</v>
      </c>
      <c r="N46" s="33">
        <f t="shared" si="43"/>
        <v>1</v>
      </c>
      <c r="O46" s="33">
        <f t="shared" si="44"/>
        <v>0</v>
      </c>
      <c r="P46" s="33">
        <f t="shared" si="45"/>
        <v>1</v>
      </c>
      <c r="Q46" s="34">
        <f t="shared" si="46"/>
        <v>0</v>
      </c>
      <c r="R46" s="33">
        <f t="shared" si="47"/>
        <v>1</v>
      </c>
      <c r="S46" s="34">
        <f t="shared" si="48"/>
        <v>8000</v>
      </c>
      <c r="T46" s="34">
        <f t="shared" si="49"/>
        <v>1</v>
      </c>
      <c r="U46" s="34">
        <f t="shared" si="50"/>
        <v>0</v>
      </c>
      <c r="V46" s="34">
        <f t="shared" si="51"/>
        <v>1</v>
      </c>
      <c r="W46" s="34" t="str">
        <f t="shared" si="52"/>
        <v>BKN</v>
      </c>
      <c r="X46" s="34">
        <f t="shared" si="53"/>
        <v>1</v>
      </c>
      <c r="Y46" s="34">
        <f t="shared" si="54"/>
        <v>800</v>
      </c>
      <c r="Z46" s="34">
        <f t="shared" si="55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51" t="s">
        <v>39</v>
      </c>
      <c r="D47" s="52"/>
      <c r="E47" s="51">
        <v>130</v>
      </c>
      <c r="F47" s="51">
        <v>4</v>
      </c>
      <c r="G47" s="51">
        <v>0</v>
      </c>
      <c r="H47" s="51">
        <v>8000</v>
      </c>
      <c r="I47" s="51">
        <v>0</v>
      </c>
      <c r="J47" s="51" t="s">
        <v>58</v>
      </c>
      <c r="K47" s="51">
        <v>900</v>
      </c>
      <c r="L47" t="s">
        <v>828</v>
      </c>
      <c r="M47" s="32">
        <f t="shared" si="42"/>
        <v>0</v>
      </c>
      <c r="N47" s="33">
        <f t="shared" si="43"/>
        <v>1</v>
      </c>
      <c r="O47" s="33">
        <f t="shared" si="44"/>
        <v>0</v>
      </c>
      <c r="P47" s="33">
        <f t="shared" si="45"/>
        <v>1</v>
      </c>
      <c r="Q47" s="34">
        <f t="shared" si="46"/>
        <v>0</v>
      </c>
      <c r="R47" s="33">
        <f t="shared" si="47"/>
        <v>1</v>
      </c>
      <c r="S47" s="34">
        <f t="shared" si="48"/>
        <v>8000</v>
      </c>
      <c r="T47" s="34">
        <f t="shared" si="49"/>
        <v>1</v>
      </c>
      <c r="U47" s="34">
        <f t="shared" si="50"/>
        <v>0</v>
      </c>
      <c r="V47" s="34">
        <f t="shared" si="51"/>
        <v>1</v>
      </c>
      <c r="W47" s="34" t="str">
        <f t="shared" si="52"/>
        <v>BKN</v>
      </c>
      <c r="X47" s="34">
        <f t="shared" si="53"/>
        <v>1</v>
      </c>
      <c r="Y47" s="34">
        <f t="shared" si="54"/>
        <v>800</v>
      </c>
      <c r="Z47" s="34">
        <f t="shared" si="55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9</v>
      </c>
      <c r="U52" s="25"/>
      <c r="V52" s="25">
        <f>SUM(V36:V47)</f>
        <v>9</v>
      </c>
      <c r="W52" s="25"/>
      <c r="X52" s="25">
        <f>SUM(X36:X47)</f>
        <v>5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9</v>
      </c>
      <c r="O53" s="25"/>
      <c r="P53" s="25">
        <f>SUMIF($C36:$C47,"GENERAL",P36:P47)</f>
        <v>9</v>
      </c>
      <c r="Q53" s="25"/>
      <c r="R53" s="25">
        <f>SUMIF($C36:$C47,"GENERAL",R36:R47)</f>
        <v>9</v>
      </c>
      <c r="S53" s="25"/>
      <c r="T53" s="25">
        <f>SUMIF($C36:$C47,"GENERAL",T36:T47)</f>
        <v>9</v>
      </c>
      <c r="U53" s="25"/>
      <c r="V53" s="25">
        <f>SUMIF($C36:$C47,"GENERAL",V36:V47)</f>
        <v>9</v>
      </c>
      <c r="W53" s="25"/>
      <c r="X53" s="25">
        <f>SUMIF($C36:$C47,"GENERAL",X36:X47)</f>
        <v>2</v>
      </c>
      <c r="Y53" s="25"/>
      <c r="Z53" s="25">
        <f>SUMIF($C36:$C47,"GENERAL",Z36:Z47)</f>
        <v>9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3</v>
      </c>
      <c r="M56" s="42">
        <f>SUMIF($C36:$C47,"TEMPO",N36:N47)</f>
        <v>3</v>
      </c>
      <c r="N56" s="42">
        <f>M56</f>
        <v>3</v>
      </c>
      <c r="O56" s="42">
        <f>SUMIF($C36:$C47,"TEMPO",P36:P47)</f>
        <v>3</v>
      </c>
      <c r="P56" s="42">
        <f>O56</f>
        <v>3</v>
      </c>
      <c r="Q56" s="42">
        <f>SUMIF($C36:$C47,"TEMPO",R36:R47)</f>
        <v>3</v>
      </c>
      <c r="R56" s="42">
        <f>Q56</f>
        <v>3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3</v>
      </c>
      <c r="X56" s="42">
        <f>W56</f>
        <v>3</v>
      </c>
      <c r="Y56" s="42">
        <f>SUMIF($C36:$C47,"TEMPO",Z36:Z47)</f>
        <v>3</v>
      </c>
      <c r="Z56" s="42">
        <f>Y56</f>
        <v>3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75</v>
      </c>
      <c r="U57" s="38"/>
      <c r="V57" s="38">
        <f>(SUM(V53:V56)/COUNTA(V36:V47))*100</f>
        <v>75</v>
      </c>
      <c r="W57" s="38"/>
      <c r="X57" s="38">
        <f>(SUM(X53:X56)/COUNTA(X36:X47))*100</f>
        <v>41.666666666666671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834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28</v>
      </c>
      <c r="B65" s="50">
        <v>0.5</v>
      </c>
      <c r="C65" s="51" t="s">
        <v>39</v>
      </c>
      <c r="D65" s="52"/>
      <c r="E65" s="51">
        <v>0</v>
      </c>
      <c r="F65" s="51">
        <v>0</v>
      </c>
      <c r="G65" s="51">
        <v>0</v>
      </c>
      <c r="H65" s="51">
        <v>8000</v>
      </c>
      <c r="I65" s="51">
        <v>0</v>
      </c>
      <c r="J65" s="51" t="s">
        <v>51</v>
      </c>
      <c r="K65" s="51">
        <v>800</v>
      </c>
      <c r="L65" t="s">
        <v>833</v>
      </c>
      <c r="M65" s="32">
        <f t="shared" ref="M65:M70" si="56">IF(ISNUMBER(VALUE(FIND("VRB",L65))),999,VALUE(MID(L65,20,3)))</f>
        <v>0</v>
      </c>
      <c r="N65" s="33">
        <f t="shared" ref="N65:N70" si="57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8">VALUE(MID(L65,23,2))</f>
        <v>0</v>
      </c>
      <c r="P65" s="33">
        <f t="shared" ref="P65:P70" si="59">IF(ABS(O65-F65)&lt;11,1,0)</f>
        <v>1</v>
      </c>
      <c r="Q65" s="34">
        <f t="shared" ref="Q65:Q70" si="60">IF(MID(L65,25,1)="G","GUST",0)</f>
        <v>0</v>
      </c>
      <c r="R65" s="33">
        <f t="shared" ref="R65:R70" si="61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62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63">IF(AND(IFERROR(FIND("RA",L65),0)&gt;0, IFERROR(FIND("RA",L65),0)&lt;38),"RA",0)</f>
        <v>0</v>
      </c>
      <c r="V65" s="34">
        <f t="shared" ref="V65:V70" si="64">IF(U65=I65,1,0)</f>
        <v>1</v>
      </c>
      <c r="W65" s="34" t="str">
        <f t="shared" ref="W65:W70" si="65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FEW</v>
      </c>
      <c r="X65" s="34">
        <f t="shared" ref="X65:X70" si="66">IF(OR(AND(OR(J65="SKC",J65="FEW",J65="SCT"),OR(W65="SKC",W65="FEW",W65="SCT")),(AND(OR(J65="BKN",J65="OVC"),OR(W65="BKN",W65="OVC")))),1,0)</f>
        <v>1</v>
      </c>
      <c r="Y65" s="34">
        <f t="shared" ref="Y65:Y70" si="67">IF(ISNUMBER(VALUE(FIND("CAVOK",L65))),9999,IF(ISNUMBER(VALUE(FIND("NSC",L65))),9999,(MID(L65,(FIND(W65,L65)+4),2))*100))</f>
        <v>800</v>
      </c>
      <c r="Z65" s="34">
        <f t="shared" ref="Z65:Z70" si="68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0</v>
      </c>
      <c r="F66" s="51">
        <v>0</v>
      </c>
      <c r="G66" s="51">
        <v>0</v>
      </c>
      <c r="H66" s="51">
        <v>8000</v>
      </c>
      <c r="I66" s="51">
        <v>0</v>
      </c>
      <c r="J66" s="51" t="s">
        <v>51</v>
      </c>
      <c r="K66" s="51">
        <v>800</v>
      </c>
      <c r="L66" t="s">
        <v>832</v>
      </c>
      <c r="M66" s="32">
        <f t="shared" si="56"/>
        <v>0</v>
      </c>
      <c r="N66" s="33">
        <f t="shared" si="57"/>
        <v>1</v>
      </c>
      <c r="O66" s="33">
        <f t="shared" si="58"/>
        <v>0</v>
      </c>
      <c r="P66" s="33">
        <f t="shared" si="59"/>
        <v>1</v>
      </c>
      <c r="Q66" s="34">
        <f t="shared" si="60"/>
        <v>0</v>
      </c>
      <c r="R66" s="33">
        <f t="shared" si="61"/>
        <v>1</v>
      </c>
      <c r="S66" s="34">
        <f t="shared" ref="S66:S70" si="69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62"/>
        <v>1</v>
      </c>
      <c r="U66" s="34">
        <f t="shared" si="63"/>
        <v>0</v>
      </c>
      <c r="V66" s="34">
        <f t="shared" si="64"/>
        <v>1</v>
      </c>
      <c r="W66" s="34" t="str">
        <f t="shared" si="65"/>
        <v>FEW</v>
      </c>
      <c r="X66" s="34">
        <f t="shared" si="66"/>
        <v>1</v>
      </c>
      <c r="Y66" s="34">
        <f t="shared" si="67"/>
        <v>800</v>
      </c>
      <c r="Z66" s="34">
        <f t="shared" si="68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0</v>
      </c>
      <c r="F67" s="51">
        <v>0</v>
      </c>
      <c r="G67" s="51">
        <v>0</v>
      </c>
      <c r="H67" s="51">
        <v>8000</v>
      </c>
      <c r="I67" s="51">
        <v>0</v>
      </c>
      <c r="J67" s="51" t="s">
        <v>51</v>
      </c>
      <c r="K67" s="51">
        <v>800</v>
      </c>
      <c r="L67" t="s">
        <v>831</v>
      </c>
      <c r="M67" s="32">
        <f t="shared" si="56"/>
        <v>0</v>
      </c>
      <c r="N67" s="33">
        <f t="shared" si="57"/>
        <v>1</v>
      </c>
      <c r="O67" s="33">
        <f t="shared" si="58"/>
        <v>0</v>
      </c>
      <c r="P67" s="33">
        <f t="shared" si="59"/>
        <v>1</v>
      </c>
      <c r="Q67" s="34">
        <f t="shared" si="60"/>
        <v>0</v>
      </c>
      <c r="R67" s="33">
        <f t="shared" si="61"/>
        <v>1</v>
      </c>
      <c r="S67" s="34">
        <f t="shared" si="69"/>
        <v>8000</v>
      </c>
      <c r="T67" s="34">
        <f t="shared" si="62"/>
        <v>1</v>
      </c>
      <c r="U67" s="34">
        <f t="shared" si="63"/>
        <v>0</v>
      </c>
      <c r="V67" s="34">
        <f t="shared" si="64"/>
        <v>1</v>
      </c>
      <c r="W67" s="34" t="str">
        <f t="shared" si="65"/>
        <v>FEW</v>
      </c>
      <c r="X67" s="34">
        <f t="shared" si="66"/>
        <v>1</v>
      </c>
      <c r="Y67" s="34">
        <f t="shared" si="67"/>
        <v>800</v>
      </c>
      <c r="Z67" s="34">
        <f t="shared" si="68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40</v>
      </c>
      <c r="D68" s="52"/>
      <c r="E68" s="51">
        <v>0</v>
      </c>
      <c r="F68" s="51">
        <v>0</v>
      </c>
      <c r="G68" s="51">
        <v>0</v>
      </c>
      <c r="H68" s="51">
        <v>4000</v>
      </c>
      <c r="I68" s="51" t="s">
        <v>52</v>
      </c>
      <c r="J68" s="51" t="s">
        <v>51</v>
      </c>
      <c r="K68" s="51">
        <v>800</v>
      </c>
      <c r="L68" t="s">
        <v>830</v>
      </c>
      <c r="M68" s="32">
        <f t="shared" si="56"/>
        <v>0</v>
      </c>
      <c r="N68" s="33">
        <f t="shared" si="57"/>
        <v>1</v>
      </c>
      <c r="O68" s="33">
        <f t="shared" si="58"/>
        <v>0</v>
      </c>
      <c r="P68" s="33">
        <f t="shared" si="59"/>
        <v>1</v>
      </c>
      <c r="Q68" s="34">
        <f t="shared" si="60"/>
        <v>0</v>
      </c>
      <c r="R68" s="33">
        <f t="shared" si="61"/>
        <v>1</v>
      </c>
      <c r="S68" s="34">
        <f t="shared" si="69"/>
        <v>8000</v>
      </c>
      <c r="T68" s="34">
        <f t="shared" si="62"/>
        <v>0</v>
      </c>
      <c r="U68" s="34">
        <f t="shared" si="63"/>
        <v>0</v>
      </c>
      <c r="V68" s="34">
        <f t="shared" si="64"/>
        <v>0</v>
      </c>
      <c r="W68" s="34" t="str">
        <f t="shared" si="65"/>
        <v>FEW</v>
      </c>
      <c r="X68" s="34">
        <f t="shared" si="66"/>
        <v>1</v>
      </c>
      <c r="Y68" s="34">
        <f t="shared" si="67"/>
        <v>800</v>
      </c>
      <c r="Z68" s="34">
        <f t="shared" si="68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0</v>
      </c>
      <c r="F69" s="51">
        <v>0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800</v>
      </c>
      <c r="L69" t="s">
        <v>829</v>
      </c>
      <c r="M69" s="32">
        <f t="shared" si="56"/>
        <v>0</v>
      </c>
      <c r="N69" s="33">
        <f t="shared" si="57"/>
        <v>1</v>
      </c>
      <c r="O69" s="33">
        <f t="shared" si="58"/>
        <v>0</v>
      </c>
      <c r="P69" s="33">
        <f t="shared" si="59"/>
        <v>1</v>
      </c>
      <c r="Q69" s="34">
        <f t="shared" si="60"/>
        <v>0</v>
      </c>
      <c r="R69" s="33">
        <f t="shared" si="61"/>
        <v>1</v>
      </c>
      <c r="S69" s="34">
        <f t="shared" si="69"/>
        <v>8000</v>
      </c>
      <c r="T69" s="34">
        <f t="shared" si="62"/>
        <v>0</v>
      </c>
      <c r="U69" s="34">
        <f t="shared" si="63"/>
        <v>0</v>
      </c>
      <c r="V69" s="34">
        <f t="shared" si="64"/>
        <v>0</v>
      </c>
      <c r="W69" s="34" t="str">
        <f t="shared" si="65"/>
        <v>BKN</v>
      </c>
      <c r="X69" s="34">
        <f t="shared" si="66"/>
        <v>0</v>
      </c>
      <c r="Y69" s="34">
        <f t="shared" si="67"/>
        <v>800</v>
      </c>
      <c r="Z69" s="34">
        <f t="shared" si="68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0</v>
      </c>
      <c r="F70" s="51">
        <v>0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800</v>
      </c>
      <c r="L70" t="s">
        <v>828</v>
      </c>
      <c r="M70" s="32">
        <f t="shared" si="56"/>
        <v>0</v>
      </c>
      <c r="N70" s="33">
        <f t="shared" si="57"/>
        <v>1</v>
      </c>
      <c r="O70" s="33">
        <f t="shared" si="58"/>
        <v>0</v>
      </c>
      <c r="P70" s="33">
        <f t="shared" si="59"/>
        <v>1</v>
      </c>
      <c r="Q70" s="34">
        <f t="shared" si="60"/>
        <v>0</v>
      </c>
      <c r="R70" s="33">
        <f t="shared" si="61"/>
        <v>1</v>
      </c>
      <c r="S70" s="34">
        <f t="shared" si="69"/>
        <v>8000</v>
      </c>
      <c r="T70" s="34">
        <f t="shared" si="62"/>
        <v>0</v>
      </c>
      <c r="U70" s="34">
        <f t="shared" si="63"/>
        <v>0</v>
      </c>
      <c r="V70" s="34">
        <f t="shared" si="64"/>
        <v>0</v>
      </c>
      <c r="W70" s="34" t="str">
        <f t="shared" si="65"/>
        <v>BKN</v>
      </c>
      <c r="X70" s="34">
        <f t="shared" si="66"/>
        <v>0</v>
      </c>
      <c r="Y70" s="34">
        <f t="shared" si="67"/>
        <v>800</v>
      </c>
      <c r="Z70" s="34">
        <f t="shared" si="68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0</v>
      </c>
      <c r="F71" s="51">
        <v>0</v>
      </c>
      <c r="G71" s="51">
        <v>0</v>
      </c>
      <c r="H71" s="51">
        <v>8000</v>
      </c>
      <c r="I71" s="51">
        <v>0</v>
      </c>
      <c r="J71" s="51" t="s">
        <v>51</v>
      </c>
      <c r="K71" s="51">
        <v>800</v>
      </c>
      <c r="L71" t="s">
        <v>841</v>
      </c>
      <c r="M71" s="32">
        <f t="shared" ref="M71:M76" si="70">IF(ISNUMBER(VALUE(FIND("VRB",L71))),999,VALUE(MID(L71,20,3)))</f>
        <v>0</v>
      </c>
      <c r="N71" s="33">
        <f t="shared" ref="N71:N76" si="71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2">VALUE(MID(L71,23,2))</f>
        <v>0</v>
      </c>
      <c r="P71" s="33">
        <f t="shared" ref="P71:P76" si="73">IF(ABS(O71-F71)&lt;11,1,0)</f>
        <v>1</v>
      </c>
      <c r="Q71" s="34">
        <f t="shared" ref="Q71:Q76" si="74">IF(MID(L71,25,1)="G","GUST",0)</f>
        <v>0</v>
      </c>
      <c r="R71" s="33">
        <f t="shared" ref="R71:R76" si="75">IF(G71=Q71,1,0)</f>
        <v>1</v>
      </c>
      <c r="S71" s="34">
        <f t="shared" ref="S71:S76" si="76">IF(ISNUMBER(VALUE(MID(L71,(FIND("KT",L71,FIND("Z",L71))+3),4))),VALUE(MID(L71,(FIND("KT",L71,FIND("Z",L71))+3),4)),IF(ISNUMBER(VALUE(MID(L71,(FIND("0V",L71)+6),4))),VALUE(MID(L71,(FIND("0V",L71)+6),4)),9999))</f>
        <v>8000</v>
      </c>
      <c r="T71" s="34">
        <f t="shared" ref="T71:T76" si="77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78">IF(AND(IFERROR(FIND("RA",L71),0)&gt;0, IFERROR(FIND("RA",L71),0)&lt;38),"RA",0)</f>
        <v>0</v>
      </c>
      <c r="V71" s="34">
        <f t="shared" ref="V71:V76" si="79">IF(U71=I71,1,0)</f>
        <v>1</v>
      </c>
      <c r="W71" s="34" t="str">
        <f t="shared" ref="W71:W76" si="80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81">IF(OR(AND(OR(J71="SKC",J71="FEW",J71="SCT"),OR(W71="SKC",W71="FEW",W71="SCT")),(AND(OR(J71="BKN",J71="OVC"),OR(W71="BKN",W71="OVC")))),1,0)</f>
        <v>0</v>
      </c>
      <c r="Y71" s="34">
        <f t="shared" ref="Y71:Y76" si="82">IF(ISNUMBER(VALUE(FIND("CAVOK",L71))),9999,IF(ISNUMBER(VALUE(FIND("NSC",L71))),9999,(MID(L71,(FIND(W71,L71)+4),2))*100))</f>
        <v>800</v>
      </c>
      <c r="Z71" s="34">
        <f t="shared" ref="Z71:Z76" si="83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0</v>
      </c>
      <c r="F72" s="51">
        <v>0</v>
      </c>
      <c r="G72" s="51">
        <v>0</v>
      </c>
      <c r="H72" s="51">
        <v>8000</v>
      </c>
      <c r="I72" s="51">
        <v>0</v>
      </c>
      <c r="J72" s="51" t="s">
        <v>51</v>
      </c>
      <c r="K72" s="51">
        <v>800</v>
      </c>
      <c r="L72" t="s">
        <v>840</v>
      </c>
      <c r="M72" s="32">
        <f t="shared" si="70"/>
        <v>0</v>
      </c>
      <c r="N72" s="33">
        <f t="shared" si="71"/>
        <v>1</v>
      </c>
      <c r="O72" s="33">
        <f t="shared" si="72"/>
        <v>0</v>
      </c>
      <c r="P72" s="33">
        <f t="shared" si="73"/>
        <v>1</v>
      </c>
      <c r="Q72" s="34">
        <f t="shared" si="74"/>
        <v>0</v>
      </c>
      <c r="R72" s="33">
        <f t="shared" si="75"/>
        <v>1</v>
      </c>
      <c r="S72" s="34">
        <f t="shared" si="76"/>
        <v>8000</v>
      </c>
      <c r="T72" s="34">
        <f t="shared" si="77"/>
        <v>1</v>
      </c>
      <c r="U72" s="34">
        <f t="shared" si="78"/>
        <v>0</v>
      </c>
      <c r="V72" s="34">
        <f t="shared" si="79"/>
        <v>1</v>
      </c>
      <c r="W72" s="34" t="str">
        <f t="shared" si="80"/>
        <v>BKN</v>
      </c>
      <c r="X72" s="34">
        <f t="shared" si="81"/>
        <v>0</v>
      </c>
      <c r="Y72" s="34">
        <f t="shared" si="82"/>
        <v>800</v>
      </c>
      <c r="Z72" s="34">
        <f t="shared" si="83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0</v>
      </c>
      <c r="F73" s="51">
        <v>0</v>
      </c>
      <c r="G73" s="51">
        <v>0</v>
      </c>
      <c r="H73" s="51">
        <v>8000</v>
      </c>
      <c r="I73" s="51">
        <v>0</v>
      </c>
      <c r="J73" s="51" t="s">
        <v>51</v>
      </c>
      <c r="K73" s="51">
        <v>800</v>
      </c>
      <c r="L73" t="s">
        <v>839</v>
      </c>
      <c r="M73" s="32">
        <f t="shared" si="70"/>
        <v>0</v>
      </c>
      <c r="N73" s="33">
        <f t="shared" si="71"/>
        <v>1</v>
      </c>
      <c r="O73" s="33">
        <f t="shared" si="72"/>
        <v>0</v>
      </c>
      <c r="P73" s="33">
        <f t="shared" si="73"/>
        <v>1</v>
      </c>
      <c r="Q73" s="34">
        <f t="shared" si="74"/>
        <v>0</v>
      </c>
      <c r="R73" s="33">
        <f t="shared" si="75"/>
        <v>1</v>
      </c>
      <c r="S73" s="34">
        <f t="shared" si="76"/>
        <v>8000</v>
      </c>
      <c r="T73" s="34">
        <f t="shared" si="77"/>
        <v>1</v>
      </c>
      <c r="U73" s="34">
        <f t="shared" si="78"/>
        <v>0</v>
      </c>
      <c r="V73" s="34">
        <f t="shared" si="79"/>
        <v>1</v>
      </c>
      <c r="W73" s="34" t="str">
        <f t="shared" si="80"/>
        <v>BKN</v>
      </c>
      <c r="X73" s="34">
        <f t="shared" si="81"/>
        <v>0</v>
      </c>
      <c r="Y73" s="34">
        <f t="shared" si="82"/>
        <v>800</v>
      </c>
      <c r="Z73" s="34">
        <f t="shared" si="83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34</v>
      </c>
      <c r="D74" s="52"/>
      <c r="E74" s="51">
        <v>120</v>
      </c>
      <c r="F74" s="51">
        <v>3</v>
      </c>
      <c r="G74" s="51">
        <v>0</v>
      </c>
      <c r="H74" s="51">
        <v>8000</v>
      </c>
      <c r="I74" s="51">
        <v>0</v>
      </c>
      <c r="J74" s="51" t="s">
        <v>58</v>
      </c>
      <c r="K74" s="51">
        <v>900</v>
      </c>
      <c r="L74" t="s">
        <v>838</v>
      </c>
      <c r="M74" s="32">
        <f t="shared" si="70"/>
        <v>0</v>
      </c>
      <c r="N74" s="33">
        <f t="shared" si="71"/>
        <v>1</v>
      </c>
      <c r="O74" s="33">
        <f t="shared" si="72"/>
        <v>0</v>
      </c>
      <c r="P74" s="33">
        <f t="shared" si="73"/>
        <v>1</v>
      </c>
      <c r="Q74" s="34">
        <f t="shared" si="74"/>
        <v>0</v>
      </c>
      <c r="R74" s="33">
        <f t="shared" si="75"/>
        <v>1</v>
      </c>
      <c r="S74" s="34">
        <f t="shared" si="76"/>
        <v>8000</v>
      </c>
      <c r="T74" s="34">
        <f t="shared" si="77"/>
        <v>1</v>
      </c>
      <c r="U74" s="34">
        <f t="shared" si="78"/>
        <v>0</v>
      </c>
      <c r="V74" s="34">
        <f t="shared" si="79"/>
        <v>1</v>
      </c>
      <c r="W74" s="34" t="str">
        <f t="shared" si="80"/>
        <v>BKN</v>
      </c>
      <c r="X74" s="34">
        <f t="shared" si="81"/>
        <v>1</v>
      </c>
      <c r="Y74" s="34">
        <f t="shared" si="82"/>
        <v>800</v>
      </c>
      <c r="Z74" s="34">
        <f t="shared" si="83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34</v>
      </c>
      <c r="D75" s="52"/>
      <c r="E75" s="51">
        <v>120</v>
      </c>
      <c r="F75" s="51">
        <v>3</v>
      </c>
      <c r="G75" s="51">
        <v>0</v>
      </c>
      <c r="H75" s="51">
        <v>8000</v>
      </c>
      <c r="I75" s="51">
        <v>0</v>
      </c>
      <c r="J75" s="51" t="s">
        <v>58</v>
      </c>
      <c r="K75" s="51">
        <v>900</v>
      </c>
      <c r="L75" t="s">
        <v>837</v>
      </c>
      <c r="M75" s="32">
        <f t="shared" si="70"/>
        <v>0</v>
      </c>
      <c r="N75" s="33">
        <f t="shared" si="71"/>
        <v>1</v>
      </c>
      <c r="O75" s="33">
        <f t="shared" si="72"/>
        <v>0</v>
      </c>
      <c r="P75" s="33">
        <f t="shared" si="73"/>
        <v>1</v>
      </c>
      <c r="Q75" s="34">
        <f t="shared" si="74"/>
        <v>0</v>
      </c>
      <c r="R75" s="33">
        <f t="shared" si="75"/>
        <v>1</v>
      </c>
      <c r="S75" s="34">
        <f t="shared" si="76"/>
        <v>8000</v>
      </c>
      <c r="T75" s="34">
        <f t="shared" si="77"/>
        <v>1</v>
      </c>
      <c r="U75" s="34">
        <f t="shared" si="78"/>
        <v>0</v>
      </c>
      <c r="V75" s="34">
        <f t="shared" si="79"/>
        <v>1</v>
      </c>
      <c r="W75" s="34" t="str">
        <f t="shared" si="80"/>
        <v>BKN</v>
      </c>
      <c r="X75" s="34">
        <f t="shared" si="81"/>
        <v>1</v>
      </c>
      <c r="Y75" s="34">
        <f t="shared" si="82"/>
        <v>800</v>
      </c>
      <c r="Z75" s="34">
        <f t="shared" si="83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34</v>
      </c>
      <c r="D76" s="52"/>
      <c r="E76" s="51">
        <v>120</v>
      </c>
      <c r="F76" s="51">
        <v>3</v>
      </c>
      <c r="G76" s="51">
        <v>0</v>
      </c>
      <c r="H76" s="51">
        <v>8000</v>
      </c>
      <c r="I76" s="51">
        <v>0</v>
      </c>
      <c r="J76" s="51" t="s">
        <v>58</v>
      </c>
      <c r="K76" s="51">
        <v>900</v>
      </c>
      <c r="L76" t="s">
        <v>836</v>
      </c>
      <c r="M76" s="32">
        <f t="shared" si="70"/>
        <v>0</v>
      </c>
      <c r="N76" s="33">
        <f t="shared" si="71"/>
        <v>1</v>
      </c>
      <c r="O76" s="33">
        <f t="shared" si="72"/>
        <v>0</v>
      </c>
      <c r="P76" s="33">
        <f t="shared" si="73"/>
        <v>1</v>
      </c>
      <c r="Q76" s="34">
        <f t="shared" si="74"/>
        <v>0</v>
      </c>
      <c r="R76" s="33">
        <f t="shared" si="75"/>
        <v>1</v>
      </c>
      <c r="S76" s="34">
        <f t="shared" si="76"/>
        <v>8000</v>
      </c>
      <c r="T76" s="34">
        <f t="shared" si="77"/>
        <v>1</v>
      </c>
      <c r="U76" s="34">
        <f t="shared" si="78"/>
        <v>0</v>
      </c>
      <c r="V76" s="34">
        <f t="shared" si="79"/>
        <v>1</v>
      </c>
      <c r="W76" s="34" t="str">
        <f t="shared" si="80"/>
        <v>BKN</v>
      </c>
      <c r="X76" s="34">
        <f t="shared" si="81"/>
        <v>1</v>
      </c>
      <c r="Y76" s="34">
        <f t="shared" si="82"/>
        <v>900</v>
      </c>
      <c r="Z76" s="34">
        <f t="shared" si="83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9</v>
      </c>
      <c r="U80" s="25"/>
      <c r="V80" s="25">
        <f>SUM(V64:V76)</f>
        <v>9</v>
      </c>
      <c r="W80" s="25"/>
      <c r="X80" s="25">
        <f>SUM(X64:X76)</f>
        <v>7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6</v>
      </c>
      <c r="O81" s="25"/>
      <c r="P81" s="25">
        <f>SUMIF($C64:$C76,"GENERAL",P64:P76)</f>
        <v>6</v>
      </c>
      <c r="Q81" s="25"/>
      <c r="R81" s="25">
        <f>SUMIF($C64:$C76,"GENERAL",R64:R76)</f>
        <v>6</v>
      </c>
      <c r="S81" s="25"/>
      <c r="T81" s="25">
        <f>SUMIF($C64:$C76,"GENERAL",T64:T76)</f>
        <v>6</v>
      </c>
      <c r="U81" s="25"/>
      <c r="V81" s="25">
        <f>SUMIF($C64:$C76,"GENERAL",V64:V76)</f>
        <v>6</v>
      </c>
      <c r="W81" s="25"/>
      <c r="X81" s="25">
        <f>SUMIF($C64:$C76,"GENERAL",X64:X76)</f>
        <v>3</v>
      </c>
      <c r="Y81" s="25"/>
      <c r="Z81" s="25">
        <f>SUMIF($C64:$C76,"GENERAL",Z64:Z76)</f>
        <v>6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3</v>
      </c>
      <c r="O82" s="25"/>
      <c r="P82" s="25">
        <f>SUMIF($C64:$C76,"BECMG",P64:P76)</f>
        <v>3</v>
      </c>
      <c r="Q82" s="25"/>
      <c r="R82" s="25">
        <f>SUMIF($C64:$C76,"BECMG",R64:R76)</f>
        <v>3</v>
      </c>
      <c r="S82" s="25"/>
      <c r="T82" s="25">
        <f>SUMIF($C64:$C76,"BECMG",T64:T76)</f>
        <v>3</v>
      </c>
      <c r="U82" s="25"/>
      <c r="V82" s="25">
        <f>SUMIF($C64:$C76,"BECMG",V64:V76)</f>
        <v>3</v>
      </c>
      <c r="W82" s="25"/>
      <c r="X82" s="25">
        <f>SUMIF($C64:$C76,"BECMG",X64:X76)</f>
        <v>3</v>
      </c>
      <c r="Y82" s="25"/>
      <c r="Z82" s="25">
        <f>SUMIF($C64:$C76,"BECMG",Z64:Z76)</f>
        <v>3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3</v>
      </c>
      <c r="M84" s="42">
        <f>SUMIF($C64:$C76,"TEMPO",N64:N76)</f>
        <v>3</v>
      </c>
      <c r="N84" s="42">
        <f>M84</f>
        <v>3</v>
      </c>
      <c r="O84" s="42">
        <f>SUMIF($C64:$C76,"TEMPO",P64:P76)</f>
        <v>3</v>
      </c>
      <c r="P84" s="42">
        <f>O84</f>
        <v>3</v>
      </c>
      <c r="Q84" s="42">
        <f>SUMIF($C64:$C76,"TEMPO",R64:R76)</f>
        <v>3</v>
      </c>
      <c r="R84" s="42">
        <f>Q84</f>
        <v>3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1</v>
      </c>
      <c r="X84" s="42">
        <f>W84</f>
        <v>1</v>
      </c>
      <c r="Y84" s="42">
        <f>SUMIF($C64:$C76,"TEMPO",Z64:Z76)</f>
        <v>3</v>
      </c>
      <c r="Z84" s="42">
        <f>Y84</f>
        <v>3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75</v>
      </c>
      <c r="U85" s="38"/>
      <c r="V85" s="38">
        <f>(SUM(V81:V84)/COUNTA(V64:V76))*100</f>
        <v>75</v>
      </c>
      <c r="W85" s="38"/>
      <c r="X85" s="38">
        <f>(SUM(X81:X84)/COUNTA(X64:X76))*100</f>
        <v>58.333333333333336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835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28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t="s">
        <v>841</v>
      </c>
      <c r="M93" s="32">
        <f t="shared" ref="M93:M98" si="84">IF(ISNUMBER(VALUE(FIND("VRB",L93))),999,VALUE(MID(L93,20,3)))</f>
        <v>0</v>
      </c>
      <c r="N93" s="33">
        <f t="shared" ref="N93:N98" si="85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6">VALUE(MID(L93,23,2))</f>
        <v>0</v>
      </c>
      <c r="P93" s="33">
        <f t="shared" ref="P93:P98" si="87">IF(ABS(O93-F93)&lt;11,1,0)</f>
        <v>1</v>
      </c>
      <c r="Q93" s="34">
        <f t="shared" ref="Q93:Q98" si="88">IF(MID(L93,25,1)="G","GUST",0)</f>
        <v>0</v>
      </c>
      <c r="R93" s="33">
        <f t="shared" ref="R93:R98" si="89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98" si="90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91">IF(AND(IFERROR(FIND("RA",L93),0)&gt;0, IFERROR(FIND("RA",L93),0)&lt;38),"RA",0)</f>
        <v>0</v>
      </c>
      <c r="V93" s="34">
        <f t="shared" ref="V93:V98" si="92">IF(U93=I93,1,0)</f>
        <v>1</v>
      </c>
      <c r="W93" s="34" t="str">
        <f t="shared" ref="W93:W98" si="93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94">IF(OR(AND(OR(J93="SKC",J93="FEW",J93="SCT"),OR(W93="SKC",W93="FEW",W93="SCT")),(AND(OR(J93="BKN",J93="OVC"),OR(W93="BKN",W93="OVC")))),1,0)</f>
        <v>1</v>
      </c>
      <c r="Y93" s="34">
        <f t="shared" ref="Y93:Y98" si="95">IF(ISNUMBER(VALUE(FIND("CAVOK",L93))),9999,IF(ISNUMBER(VALUE(FIND("NSC",L93))),9999,(MID(L93,(FIND(W93,L93)+4),2))*100))</f>
        <v>800</v>
      </c>
      <c r="Z93" s="34">
        <f t="shared" ref="Z93:Z98" si="96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40</v>
      </c>
      <c r="D94" s="52"/>
      <c r="E94" s="51">
        <v>0</v>
      </c>
      <c r="F94" s="51">
        <v>0</v>
      </c>
      <c r="G94" s="51">
        <v>0</v>
      </c>
      <c r="H94" s="51">
        <v>4000</v>
      </c>
      <c r="I94" s="51" t="s">
        <v>52</v>
      </c>
      <c r="J94" s="51" t="s">
        <v>58</v>
      </c>
      <c r="K94" s="51">
        <v>900</v>
      </c>
      <c r="L94" t="s">
        <v>840</v>
      </c>
      <c r="M94" s="32">
        <f t="shared" si="84"/>
        <v>0</v>
      </c>
      <c r="N94" s="33">
        <f t="shared" si="85"/>
        <v>1</v>
      </c>
      <c r="O94" s="33">
        <f t="shared" si="86"/>
        <v>0</v>
      </c>
      <c r="P94" s="33">
        <f t="shared" si="87"/>
        <v>1</v>
      </c>
      <c r="Q94" s="34">
        <f t="shared" si="88"/>
        <v>0</v>
      </c>
      <c r="R94" s="33">
        <f t="shared" si="89"/>
        <v>1</v>
      </c>
      <c r="S94" s="34">
        <f t="shared" ref="S94:S98" si="97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90"/>
        <v>0</v>
      </c>
      <c r="U94" s="34">
        <f t="shared" si="91"/>
        <v>0</v>
      </c>
      <c r="V94" s="34">
        <f t="shared" si="92"/>
        <v>0</v>
      </c>
      <c r="W94" s="34" t="str">
        <f t="shared" si="93"/>
        <v>BKN</v>
      </c>
      <c r="X94" s="34">
        <f t="shared" si="94"/>
        <v>1</v>
      </c>
      <c r="Y94" s="34">
        <f t="shared" si="95"/>
        <v>800</v>
      </c>
      <c r="Z94" s="34">
        <f t="shared" si="96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40</v>
      </c>
      <c r="D95" s="52"/>
      <c r="E95" s="51">
        <v>0</v>
      </c>
      <c r="F95" s="51">
        <v>0</v>
      </c>
      <c r="G95" s="51">
        <v>0</v>
      </c>
      <c r="H95" s="51">
        <v>4000</v>
      </c>
      <c r="I95" s="51" t="s">
        <v>52</v>
      </c>
      <c r="J95" s="51" t="s">
        <v>58</v>
      </c>
      <c r="K95" s="51">
        <v>900</v>
      </c>
      <c r="L95" t="s">
        <v>839</v>
      </c>
      <c r="M95" s="32">
        <f t="shared" si="84"/>
        <v>0</v>
      </c>
      <c r="N95" s="33">
        <f t="shared" si="85"/>
        <v>1</v>
      </c>
      <c r="O95" s="33">
        <f t="shared" si="86"/>
        <v>0</v>
      </c>
      <c r="P95" s="33">
        <f t="shared" si="87"/>
        <v>1</v>
      </c>
      <c r="Q95" s="34">
        <f t="shared" si="88"/>
        <v>0</v>
      </c>
      <c r="R95" s="33">
        <f t="shared" si="89"/>
        <v>1</v>
      </c>
      <c r="S95" s="34">
        <f t="shared" si="97"/>
        <v>8000</v>
      </c>
      <c r="T95" s="34">
        <f t="shared" si="90"/>
        <v>0</v>
      </c>
      <c r="U95" s="34">
        <f t="shared" si="91"/>
        <v>0</v>
      </c>
      <c r="V95" s="34">
        <f t="shared" si="92"/>
        <v>0</v>
      </c>
      <c r="W95" s="34" t="str">
        <f t="shared" si="93"/>
        <v>BKN</v>
      </c>
      <c r="X95" s="34">
        <f t="shared" si="94"/>
        <v>1</v>
      </c>
      <c r="Y95" s="34">
        <f t="shared" si="95"/>
        <v>800</v>
      </c>
      <c r="Z95" s="34">
        <f t="shared" si="96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40</v>
      </c>
      <c r="D96" s="52"/>
      <c r="E96" s="51">
        <v>0</v>
      </c>
      <c r="F96" s="51">
        <v>0</v>
      </c>
      <c r="G96" s="51">
        <v>0</v>
      </c>
      <c r="H96" s="51">
        <v>4000</v>
      </c>
      <c r="I96" s="51" t="s">
        <v>52</v>
      </c>
      <c r="J96" s="51" t="s">
        <v>58</v>
      </c>
      <c r="K96" s="51">
        <v>900</v>
      </c>
      <c r="L96" t="s">
        <v>838</v>
      </c>
      <c r="M96" s="32">
        <f t="shared" si="84"/>
        <v>0</v>
      </c>
      <c r="N96" s="33">
        <f t="shared" si="85"/>
        <v>1</v>
      </c>
      <c r="O96" s="33">
        <f t="shared" si="86"/>
        <v>0</v>
      </c>
      <c r="P96" s="33">
        <f t="shared" si="87"/>
        <v>1</v>
      </c>
      <c r="Q96" s="34">
        <f t="shared" si="88"/>
        <v>0</v>
      </c>
      <c r="R96" s="33">
        <f t="shared" si="89"/>
        <v>1</v>
      </c>
      <c r="S96" s="34">
        <f t="shared" si="97"/>
        <v>8000</v>
      </c>
      <c r="T96" s="34">
        <f t="shared" si="90"/>
        <v>0</v>
      </c>
      <c r="U96" s="34">
        <f t="shared" si="91"/>
        <v>0</v>
      </c>
      <c r="V96" s="34">
        <f t="shared" si="92"/>
        <v>0</v>
      </c>
      <c r="W96" s="34" t="str">
        <f t="shared" si="93"/>
        <v>BKN</v>
      </c>
      <c r="X96" s="34">
        <f t="shared" si="94"/>
        <v>1</v>
      </c>
      <c r="Y96" s="34">
        <f t="shared" si="95"/>
        <v>800</v>
      </c>
      <c r="Z96" s="34">
        <f t="shared" si="96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t="s">
        <v>837</v>
      </c>
      <c r="M97" s="32">
        <f t="shared" si="84"/>
        <v>0</v>
      </c>
      <c r="N97" s="33">
        <f t="shared" si="85"/>
        <v>1</v>
      </c>
      <c r="O97" s="33">
        <f t="shared" si="86"/>
        <v>0</v>
      </c>
      <c r="P97" s="33">
        <f t="shared" si="87"/>
        <v>1</v>
      </c>
      <c r="Q97" s="34">
        <f t="shared" si="88"/>
        <v>0</v>
      </c>
      <c r="R97" s="33">
        <f t="shared" si="89"/>
        <v>1</v>
      </c>
      <c r="S97" s="34">
        <f t="shared" si="97"/>
        <v>8000</v>
      </c>
      <c r="T97" s="34">
        <f t="shared" si="90"/>
        <v>1</v>
      </c>
      <c r="U97" s="34">
        <f t="shared" si="91"/>
        <v>0</v>
      </c>
      <c r="V97" s="34">
        <f t="shared" si="92"/>
        <v>1</v>
      </c>
      <c r="W97" s="34" t="str">
        <f t="shared" si="93"/>
        <v>BKN</v>
      </c>
      <c r="X97" s="34">
        <f t="shared" si="94"/>
        <v>1</v>
      </c>
      <c r="Y97" s="34">
        <f t="shared" si="95"/>
        <v>800</v>
      </c>
      <c r="Z97" s="34">
        <f t="shared" si="96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t="s">
        <v>836</v>
      </c>
      <c r="M98" s="32">
        <f t="shared" si="84"/>
        <v>0</v>
      </c>
      <c r="N98" s="33">
        <f t="shared" si="85"/>
        <v>1</v>
      </c>
      <c r="O98" s="33">
        <f t="shared" si="86"/>
        <v>0</v>
      </c>
      <c r="P98" s="33">
        <f t="shared" si="87"/>
        <v>1</v>
      </c>
      <c r="Q98" s="34">
        <f t="shared" si="88"/>
        <v>0</v>
      </c>
      <c r="R98" s="33">
        <f t="shared" si="89"/>
        <v>1</v>
      </c>
      <c r="S98" s="34">
        <f t="shared" si="97"/>
        <v>8000</v>
      </c>
      <c r="T98" s="34">
        <f t="shared" si="90"/>
        <v>1</v>
      </c>
      <c r="U98" s="34">
        <f t="shared" si="91"/>
        <v>0</v>
      </c>
      <c r="V98" s="34">
        <f t="shared" si="92"/>
        <v>1</v>
      </c>
      <c r="W98" s="34" t="str">
        <f t="shared" si="93"/>
        <v>BKN</v>
      </c>
      <c r="X98" s="34">
        <f t="shared" si="94"/>
        <v>1</v>
      </c>
      <c r="Y98" s="34">
        <f t="shared" si="95"/>
        <v>900</v>
      </c>
      <c r="Z98" s="34">
        <f t="shared" si="96"/>
        <v>1</v>
      </c>
      <c r="AA98" s="25"/>
      <c r="AB98" s="25"/>
      <c r="AC98" s="25"/>
      <c r="AD98" s="25"/>
      <c r="AE98" s="25"/>
    </row>
    <row r="99" spans="1:31" ht="16.5">
      <c r="A99" s="55">
        <v>29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t="s">
        <v>846</v>
      </c>
      <c r="M99" s="32">
        <f t="shared" ref="M99:M104" si="98">IF(ISNUMBER(VALUE(FIND("VRB",L99))),999,VALUE(MID(L99,20,3)))</f>
        <v>120</v>
      </c>
      <c r="N99" s="33">
        <f t="shared" ref="N99:N104" si="99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100">VALUE(MID(L99,23,2))</f>
        <v>6</v>
      </c>
      <c r="P99" s="33">
        <f t="shared" ref="P99:P104" si="101">IF(ABS(O99-F99)&lt;11,1,0)</f>
        <v>1</v>
      </c>
      <c r="Q99" s="34">
        <f t="shared" ref="Q99:Q104" si="102">IF(MID(L99,25,1)="G","GUST",0)</f>
        <v>0</v>
      </c>
      <c r="R99" s="33">
        <f t="shared" ref="R99:R104" si="103">IF(G99=Q99,1,0)</f>
        <v>1</v>
      </c>
      <c r="S99" s="34">
        <f t="shared" ref="S99:S104" si="104">IF(ISNUMBER(VALUE(MID(L99,(FIND("KT",L99,FIND("Z",L99))+3),4))),VALUE(MID(L99,(FIND("KT",L99,FIND("Z",L99))+3),4)),IF(ISNUMBER(VALUE(MID(L99,(FIND("0V",L99)+6),4))),VALUE(MID(L99,(FIND("0V",L99)+6),4)),9999))</f>
        <v>8000</v>
      </c>
      <c r="T99" s="34">
        <f t="shared" ref="T99:T104" si="105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06">IF(AND(IFERROR(FIND("RA",L99),0)&gt;0, IFERROR(FIND("RA",L99),0)&lt;38),"RA",0)</f>
        <v>0</v>
      </c>
      <c r="V99" s="34">
        <f t="shared" ref="V99:V104" si="107">IF(U99=I99,1,0)</f>
        <v>1</v>
      </c>
      <c r="W99" s="34" t="str">
        <f t="shared" ref="W99:W104" si="108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BKN</v>
      </c>
      <c r="X99" s="34">
        <f t="shared" ref="X99:X104" si="109">IF(OR(AND(OR(J99="SKC",J99="FEW",J99="SCT"),OR(W99="SKC",W99="FEW",W99="SCT")),(AND(OR(J99="BKN",J99="OVC"),OR(W99="BKN",W99="OVC")))),1,0)</f>
        <v>1</v>
      </c>
      <c r="Y99" s="34">
        <f t="shared" ref="Y99:Y104" si="110">IF(ISNUMBER(VALUE(FIND("CAVOK",L99))),9999,IF(ISNUMBER(VALUE(FIND("NSC",L99))),9999,(MID(L99,(FIND(W99,L99)+4),2))*100))</f>
        <v>900</v>
      </c>
      <c r="Z99" s="34">
        <f t="shared" ref="Z99:Z104" si="111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t="s">
        <v>845</v>
      </c>
      <c r="M100" s="32">
        <f t="shared" si="98"/>
        <v>100</v>
      </c>
      <c r="N100" s="33">
        <f t="shared" si="99"/>
        <v>1</v>
      </c>
      <c r="O100" s="33">
        <f t="shared" si="100"/>
        <v>5</v>
      </c>
      <c r="P100" s="33">
        <f t="shared" si="101"/>
        <v>1</v>
      </c>
      <c r="Q100" s="34">
        <f t="shared" si="102"/>
        <v>0</v>
      </c>
      <c r="R100" s="33">
        <f t="shared" si="103"/>
        <v>1</v>
      </c>
      <c r="S100" s="34">
        <f t="shared" si="104"/>
        <v>8000</v>
      </c>
      <c r="T100" s="34">
        <f t="shared" si="105"/>
        <v>1</v>
      </c>
      <c r="U100" s="34">
        <f t="shared" si="106"/>
        <v>0</v>
      </c>
      <c r="V100" s="34">
        <f t="shared" si="107"/>
        <v>1</v>
      </c>
      <c r="W100" s="34" t="str">
        <f t="shared" si="108"/>
        <v>BKN</v>
      </c>
      <c r="X100" s="34">
        <f t="shared" si="109"/>
        <v>1</v>
      </c>
      <c r="Y100" s="34">
        <f t="shared" si="110"/>
        <v>900</v>
      </c>
      <c r="Z100" s="34">
        <f t="shared" si="111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t="s">
        <v>844</v>
      </c>
      <c r="M101" s="32">
        <f t="shared" si="98"/>
        <v>100</v>
      </c>
      <c r="N101" s="33">
        <f t="shared" si="99"/>
        <v>1</v>
      </c>
      <c r="O101" s="33">
        <f t="shared" si="100"/>
        <v>6</v>
      </c>
      <c r="P101" s="33">
        <f t="shared" si="101"/>
        <v>1</v>
      </c>
      <c r="Q101" s="34">
        <f t="shared" si="102"/>
        <v>0</v>
      </c>
      <c r="R101" s="33">
        <f t="shared" si="103"/>
        <v>1</v>
      </c>
      <c r="S101" s="34">
        <f t="shared" si="104"/>
        <v>8000</v>
      </c>
      <c r="T101" s="34">
        <f t="shared" si="105"/>
        <v>1</v>
      </c>
      <c r="U101" s="34">
        <f t="shared" si="106"/>
        <v>0</v>
      </c>
      <c r="V101" s="34">
        <f t="shared" si="107"/>
        <v>1</v>
      </c>
      <c r="W101" s="34" t="str">
        <f t="shared" si="108"/>
        <v>BKN</v>
      </c>
      <c r="X101" s="34">
        <f t="shared" si="109"/>
        <v>1</v>
      </c>
      <c r="Y101" s="34">
        <f t="shared" si="110"/>
        <v>900</v>
      </c>
      <c r="Z101" s="34">
        <f t="shared" si="111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t="s">
        <v>847</v>
      </c>
      <c r="M102" s="32">
        <f t="shared" si="98"/>
        <v>100</v>
      </c>
      <c r="N102" s="33">
        <f t="shared" si="99"/>
        <v>1</v>
      </c>
      <c r="O102" s="33">
        <f t="shared" si="100"/>
        <v>6</v>
      </c>
      <c r="P102" s="33">
        <f t="shared" si="101"/>
        <v>1</v>
      </c>
      <c r="Q102" s="34">
        <f t="shared" si="102"/>
        <v>0</v>
      </c>
      <c r="R102" s="33">
        <f t="shared" si="103"/>
        <v>1</v>
      </c>
      <c r="S102" s="34">
        <f t="shared" si="104"/>
        <v>8000</v>
      </c>
      <c r="T102" s="34">
        <f t="shared" si="105"/>
        <v>1</v>
      </c>
      <c r="U102" s="34">
        <f t="shared" si="106"/>
        <v>0</v>
      </c>
      <c r="V102" s="34">
        <f t="shared" si="107"/>
        <v>1</v>
      </c>
      <c r="W102" s="34" t="str">
        <f t="shared" si="108"/>
        <v>BKN</v>
      </c>
      <c r="X102" s="34">
        <f t="shared" si="109"/>
        <v>1</v>
      </c>
      <c r="Y102" s="34">
        <f t="shared" si="110"/>
        <v>900</v>
      </c>
      <c r="Z102" s="34">
        <f t="shared" si="111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t="s">
        <v>843</v>
      </c>
      <c r="M103" s="32">
        <f t="shared" si="98"/>
        <v>120</v>
      </c>
      <c r="N103" s="33">
        <f t="shared" si="99"/>
        <v>1</v>
      </c>
      <c r="O103" s="33">
        <f t="shared" si="100"/>
        <v>5</v>
      </c>
      <c r="P103" s="33">
        <f t="shared" si="101"/>
        <v>1</v>
      </c>
      <c r="Q103" s="34">
        <f t="shared" si="102"/>
        <v>0</v>
      </c>
      <c r="R103" s="33">
        <f t="shared" si="103"/>
        <v>1</v>
      </c>
      <c r="S103" s="34">
        <f t="shared" si="104"/>
        <v>100</v>
      </c>
      <c r="T103" s="34">
        <f t="shared" si="105"/>
        <v>0</v>
      </c>
      <c r="U103" s="34">
        <f t="shared" si="106"/>
        <v>0</v>
      </c>
      <c r="V103" s="34">
        <f t="shared" si="107"/>
        <v>1</v>
      </c>
      <c r="W103" s="34" t="str">
        <f t="shared" si="108"/>
        <v>BKN</v>
      </c>
      <c r="X103" s="34">
        <f t="shared" si="109"/>
        <v>1</v>
      </c>
      <c r="Y103" s="34">
        <f t="shared" si="110"/>
        <v>900</v>
      </c>
      <c r="Z103" s="34">
        <f t="shared" si="111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t="s">
        <v>842</v>
      </c>
      <c r="M104" s="32">
        <f t="shared" si="98"/>
        <v>120</v>
      </c>
      <c r="N104" s="33">
        <f t="shared" si="99"/>
        <v>1</v>
      </c>
      <c r="O104" s="33">
        <f t="shared" si="100"/>
        <v>4</v>
      </c>
      <c r="P104" s="33">
        <f t="shared" si="101"/>
        <v>1</v>
      </c>
      <c r="Q104" s="34">
        <f t="shared" si="102"/>
        <v>0</v>
      </c>
      <c r="R104" s="33">
        <f t="shared" si="103"/>
        <v>1</v>
      </c>
      <c r="S104" s="34">
        <f t="shared" si="104"/>
        <v>8000</v>
      </c>
      <c r="T104" s="34">
        <f t="shared" si="105"/>
        <v>1</v>
      </c>
      <c r="U104" s="34">
        <f t="shared" si="106"/>
        <v>0</v>
      </c>
      <c r="V104" s="34">
        <f t="shared" si="107"/>
        <v>1</v>
      </c>
      <c r="W104" s="34" t="str">
        <f t="shared" si="108"/>
        <v>BKN</v>
      </c>
      <c r="X104" s="34">
        <f t="shared" si="109"/>
        <v>1</v>
      </c>
      <c r="Y104" s="34">
        <f t="shared" si="110"/>
        <v>900</v>
      </c>
      <c r="Z104" s="34">
        <f t="shared" si="111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8</v>
      </c>
      <c r="U109" s="25"/>
      <c r="V109" s="25">
        <f>SUM(V93:V104)</f>
        <v>9</v>
      </c>
      <c r="W109" s="25"/>
      <c r="X109" s="25">
        <f>SUM(X93:X104)</f>
        <v>12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9</v>
      </c>
      <c r="O110" s="25"/>
      <c r="P110" s="25">
        <f>SUMIF($C93:$C104,"GENERAL",P93:P104)</f>
        <v>9</v>
      </c>
      <c r="Q110" s="25"/>
      <c r="R110" s="25">
        <f>SUMIF($C93:$C104,"GENERAL",R93:R104)</f>
        <v>9</v>
      </c>
      <c r="S110" s="25"/>
      <c r="T110" s="25">
        <f>SUMIF($C93:$C104,"GENERAL",T93:T104)</f>
        <v>8</v>
      </c>
      <c r="U110" s="25"/>
      <c r="V110" s="25">
        <f>SUMIF($C93:$C104,"GENERAL",V93:V104)</f>
        <v>9</v>
      </c>
      <c r="W110" s="25"/>
      <c r="X110" s="25">
        <f>SUMIF($C93:$C104,"GENERAL",X93:X104)</f>
        <v>9</v>
      </c>
      <c r="Y110" s="25"/>
      <c r="Z110" s="25">
        <f>SUMIF($C93:$C104,"GENERAL",Z93:Z104)</f>
        <v>9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3</v>
      </c>
      <c r="M113" s="42">
        <f>SUMIF($C93:$C104,"TEMPO",N93:N104)</f>
        <v>3</v>
      </c>
      <c r="N113" s="42">
        <f>M113</f>
        <v>3</v>
      </c>
      <c r="O113" s="42">
        <f>SUMIF($C93:$C104,"TEMPO",P93:P104)</f>
        <v>3</v>
      </c>
      <c r="P113" s="42">
        <f>O113</f>
        <v>3</v>
      </c>
      <c r="Q113" s="42">
        <f>SUMIF($C93:$C104,"TEMPO",R93:R104)</f>
        <v>3</v>
      </c>
      <c r="R113" s="42">
        <f>Q113</f>
        <v>3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3</v>
      </c>
      <c r="X113" s="42">
        <f>W113</f>
        <v>3</v>
      </c>
      <c r="Y113" s="42">
        <f>SUMIF($C93:$C104,"TEMPO",Z93:Z104)</f>
        <v>3</v>
      </c>
      <c r="Z113" s="42">
        <f>Y113</f>
        <v>3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66.666666666666657</v>
      </c>
      <c r="U114" s="38"/>
      <c r="V114" s="38">
        <f>(SUM(V110:V113)/COUNTA(V93:V104))*100</f>
        <v>75</v>
      </c>
      <c r="W114" s="38"/>
      <c r="X114" s="38">
        <f>(SUM(X110:X113)/COUNTA(X93:X104))*100</f>
        <v>100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3DF0D-5B91-1645-808E-E8A2B0D8377E}">
  <sheetPr>
    <tabColor theme="0"/>
  </sheetPr>
  <dimension ref="A1:AE115"/>
  <sheetViews>
    <sheetView topLeftCell="C37" zoomScale="70" zoomScaleNormal="70" workbookViewId="0">
      <selection activeCell="M68" sqref="M68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848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1</v>
      </c>
      <c r="B7" s="28">
        <v>0</v>
      </c>
      <c r="C7" s="29" t="s">
        <v>39</v>
      </c>
      <c r="D7" s="29"/>
      <c r="E7" s="29">
        <v>140</v>
      </c>
      <c r="F7" s="29">
        <v>4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1" t="s">
        <v>846</v>
      </c>
      <c r="M7" s="32">
        <f t="shared" ref="M7:M18" si="0">IF(ISNUMBER(VALUE(FIND("VRB",L7))),999,VALUE(MID(L7,20,3)))</f>
        <v>120</v>
      </c>
      <c r="N7" s="33">
        <f t="shared" ref="N7:N18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8" si="2">VALUE(MID(L7,23,2))</f>
        <v>6</v>
      </c>
      <c r="P7" s="33">
        <f t="shared" ref="P7:P18" si="3">IF(ABS(O7-F7)&lt;11,1,0)</f>
        <v>1</v>
      </c>
      <c r="Q7" s="34">
        <f t="shared" ref="Q7:Q18" si="4">IF(MID(L7,25,1)="G","GUST",0)</f>
        <v>0</v>
      </c>
      <c r="R7" s="33">
        <f t="shared" ref="R7:R18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8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8" si="7">IF(AND(IFERROR(FIND("RA",L7),0)&gt;0, IFERROR(FIND("RA",L7),0)&lt;38),"RA",0)</f>
        <v>0</v>
      </c>
      <c r="V7" s="34">
        <f t="shared" ref="V7:V18" si="8">IF(U7=I7,1,0)</f>
        <v>1</v>
      </c>
      <c r="W7" s="34" t="str">
        <f t="shared" ref="W7:W18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8" si="10">IF(OR(AND(OR(J7="SKC",J7="FEW",J7="SCT"),OR(W7="SKC",W7="FEW",W7="SCT")),(AND(OR(J7="BKN",J7="OVC"),OR(W7="BKN",W7="OVC")))),1,0)</f>
        <v>1</v>
      </c>
      <c r="Y7" s="34">
        <f t="shared" ref="Y7:Y18" si="11">IF(ISNUMBER(VALUE(FIND("CAVOK",L7))),9999,IF(ISNUMBER(VALUE(FIND("NSC",L7))),9999,(MID(L7,(FIND(W7,L7)+4),2))*100))</f>
        <v>900</v>
      </c>
      <c r="Z7" s="34">
        <f t="shared" ref="Z7:Z18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29"/>
      <c r="E8" s="29">
        <v>140</v>
      </c>
      <c r="F8" s="29">
        <v>4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1" t="s">
        <v>845</v>
      </c>
      <c r="M8" s="32">
        <f t="shared" si="0"/>
        <v>100</v>
      </c>
      <c r="N8" s="33">
        <f t="shared" si="1"/>
        <v>1</v>
      </c>
      <c r="O8" s="33">
        <f t="shared" si="2"/>
        <v>5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8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29"/>
      <c r="E9" s="29">
        <v>140</v>
      </c>
      <c r="F9" s="29">
        <v>4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1" t="s">
        <v>844</v>
      </c>
      <c r="M9" s="32">
        <f t="shared" si="0"/>
        <v>100</v>
      </c>
      <c r="N9" s="33">
        <f t="shared" si="1"/>
        <v>1</v>
      </c>
      <c r="O9" s="33">
        <f t="shared" si="2"/>
        <v>6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BKN</v>
      </c>
      <c r="X9" s="34">
        <f t="shared" si="10"/>
        <v>1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29"/>
      <c r="E10" s="29">
        <v>140</v>
      </c>
      <c r="F10" s="29">
        <v>4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1" t="s">
        <v>847</v>
      </c>
      <c r="M10" s="32">
        <f t="shared" si="0"/>
        <v>100</v>
      </c>
      <c r="N10" s="33">
        <f t="shared" si="1"/>
        <v>1</v>
      </c>
      <c r="O10" s="33">
        <f t="shared" si="2"/>
        <v>6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BKN</v>
      </c>
      <c r="X10" s="34">
        <f t="shared" si="10"/>
        <v>1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29"/>
      <c r="E11" s="29">
        <v>140</v>
      </c>
      <c r="F11" s="29">
        <v>4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1" t="s">
        <v>843</v>
      </c>
      <c r="M11" s="32">
        <f t="shared" si="0"/>
        <v>120</v>
      </c>
      <c r="N11" s="33">
        <f t="shared" si="1"/>
        <v>1</v>
      </c>
      <c r="O11" s="33">
        <f t="shared" si="2"/>
        <v>5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100</v>
      </c>
      <c r="T11" s="34">
        <f t="shared" si="6"/>
        <v>0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900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29"/>
      <c r="E12" s="29">
        <v>140</v>
      </c>
      <c r="F12" s="29">
        <v>4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1" t="s">
        <v>842</v>
      </c>
      <c r="M12" s="32">
        <f t="shared" si="0"/>
        <v>120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29"/>
      <c r="E13" s="29">
        <v>140</v>
      </c>
      <c r="F13" s="29">
        <v>4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1" t="s">
        <v>850</v>
      </c>
      <c r="M13" s="32">
        <f t="shared" si="0"/>
        <v>150</v>
      </c>
      <c r="N13" s="33">
        <f t="shared" si="1"/>
        <v>1</v>
      </c>
      <c r="O13" s="33">
        <f t="shared" si="2"/>
        <v>3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BKN</v>
      </c>
      <c r="X13" s="34">
        <f t="shared" si="10"/>
        <v>1</v>
      </c>
      <c r="Y13" s="34">
        <f t="shared" si="11"/>
        <v>900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29"/>
      <c r="E14" s="29">
        <v>140</v>
      </c>
      <c r="F14" s="29">
        <v>4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1" t="s">
        <v>851</v>
      </c>
      <c r="M14" s="32">
        <f t="shared" si="0"/>
        <v>150</v>
      </c>
      <c r="N14" s="33">
        <f t="shared" si="1"/>
        <v>1</v>
      </c>
      <c r="O14" s="33">
        <f t="shared" si="2"/>
        <v>4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BKN</v>
      </c>
      <c r="X14" s="34">
        <f t="shared" si="10"/>
        <v>1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29"/>
      <c r="E15" s="29">
        <v>140</v>
      </c>
      <c r="F15" s="29">
        <v>4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s="1" t="s">
        <v>856</v>
      </c>
      <c r="M15" s="32">
        <f t="shared" si="0"/>
        <v>0</v>
      </c>
      <c r="N15" s="33">
        <f t="shared" si="1"/>
        <v>1</v>
      </c>
      <c r="O15" s="33">
        <f t="shared" si="2"/>
        <v>0</v>
      </c>
      <c r="P15" s="33">
        <f t="shared" si="3"/>
        <v>1</v>
      </c>
      <c r="Q15" s="34">
        <f t="shared" si="4"/>
        <v>0</v>
      </c>
      <c r="R15" s="33">
        <f t="shared" si="5"/>
        <v>1</v>
      </c>
      <c r="S15" s="34">
        <f t="shared" si="13"/>
        <v>8000</v>
      </c>
      <c r="T15" s="34">
        <f t="shared" si="6"/>
        <v>1</v>
      </c>
      <c r="U15" s="34">
        <f t="shared" si="7"/>
        <v>0</v>
      </c>
      <c r="V15" s="34">
        <f t="shared" si="8"/>
        <v>1</v>
      </c>
      <c r="W15" s="34" t="str">
        <f t="shared" si="9"/>
        <v>BKN</v>
      </c>
      <c r="X15" s="34">
        <f t="shared" si="10"/>
        <v>1</v>
      </c>
      <c r="Y15" s="34">
        <f t="shared" si="11"/>
        <v>900</v>
      </c>
      <c r="Z15" s="34">
        <f t="shared" si="12"/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29"/>
      <c r="E16" s="29">
        <v>140</v>
      </c>
      <c r="F16" s="29">
        <v>4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1" t="s">
        <v>857</v>
      </c>
      <c r="M16" s="32">
        <f t="shared" si="0"/>
        <v>0</v>
      </c>
      <c r="N16" s="33">
        <f t="shared" si="1"/>
        <v>1</v>
      </c>
      <c r="O16" s="33">
        <f t="shared" si="2"/>
        <v>0</v>
      </c>
      <c r="P16" s="33">
        <f t="shared" si="3"/>
        <v>1</v>
      </c>
      <c r="Q16" s="34">
        <f t="shared" si="4"/>
        <v>0</v>
      </c>
      <c r="R16" s="33">
        <f t="shared" si="5"/>
        <v>1</v>
      </c>
      <c r="S16" s="34">
        <f t="shared" si="13"/>
        <v>8000</v>
      </c>
      <c r="T16" s="34">
        <f t="shared" si="6"/>
        <v>1</v>
      </c>
      <c r="U16" s="34">
        <f t="shared" si="7"/>
        <v>0</v>
      </c>
      <c r="V16" s="34">
        <f t="shared" si="8"/>
        <v>1</v>
      </c>
      <c r="W16" s="34" t="str">
        <f t="shared" si="9"/>
        <v>BKN</v>
      </c>
      <c r="X16" s="34">
        <f t="shared" si="10"/>
        <v>1</v>
      </c>
      <c r="Y16" s="34">
        <f t="shared" si="11"/>
        <v>900</v>
      </c>
      <c r="Z16" s="34">
        <f t="shared" si="12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29"/>
      <c r="E17" s="29">
        <v>140</v>
      </c>
      <c r="F17" s="29">
        <v>4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1" t="s">
        <v>858</v>
      </c>
      <c r="M17" s="32">
        <f t="shared" si="0"/>
        <v>0</v>
      </c>
      <c r="N17" s="33">
        <f t="shared" si="1"/>
        <v>1</v>
      </c>
      <c r="O17" s="33">
        <f t="shared" si="2"/>
        <v>0</v>
      </c>
      <c r="P17" s="33">
        <f t="shared" si="3"/>
        <v>1</v>
      </c>
      <c r="Q17" s="34">
        <f t="shared" si="4"/>
        <v>0</v>
      </c>
      <c r="R17" s="33">
        <f t="shared" si="5"/>
        <v>1</v>
      </c>
      <c r="S17" s="34">
        <f t="shared" si="13"/>
        <v>8000</v>
      </c>
      <c r="T17" s="34">
        <f t="shared" si="6"/>
        <v>1</v>
      </c>
      <c r="U17" s="34">
        <f t="shared" si="7"/>
        <v>0</v>
      </c>
      <c r="V17" s="34">
        <f t="shared" si="8"/>
        <v>1</v>
      </c>
      <c r="W17" s="34" t="str">
        <f t="shared" si="9"/>
        <v>BKN</v>
      </c>
      <c r="X17" s="34">
        <f t="shared" si="10"/>
        <v>1</v>
      </c>
      <c r="Y17" s="34">
        <f t="shared" si="11"/>
        <v>900</v>
      </c>
      <c r="Z17" s="34">
        <f t="shared" si="12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29"/>
      <c r="E18" s="29">
        <v>140</v>
      </c>
      <c r="F18" s="29">
        <v>4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1" t="s">
        <v>859</v>
      </c>
      <c r="M18" s="32">
        <f t="shared" si="0"/>
        <v>0</v>
      </c>
      <c r="N18" s="33">
        <f t="shared" si="1"/>
        <v>1</v>
      </c>
      <c r="O18" s="33">
        <f t="shared" si="2"/>
        <v>0</v>
      </c>
      <c r="P18" s="33">
        <f t="shared" si="3"/>
        <v>1</v>
      </c>
      <c r="Q18" s="34">
        <f t="shared" si="4"/>
        <v>0</v>
      </c>
      <c r="R18" s="33">
        <f t="shared" si="5"/>
        <v>1</v>
      </c>
      <c r="S18" s="34">
        <f t="shared" si="13"/>
        <v>8000</v>
      </c>
      <c r="T18" s="34">
        <f t="shared" si="6"/>
        <v>1</v>
      </c>
      <c r="U18" s="34">
        <f t="shared" si="7"/>
        <v>0</v>
      </c>
      <c r="V18" s="34">
        <f t="shared" si="8"/>
        <v>1</v>
      </c>
      <c r="W18" s="34" t="str">
        <f t="shared" si="9"/>
        <v>SCT</v>
      </c>
      <c r="X18" s="34">
        <f t="shared" si="10"/>
        <v>0</v>
      </c>
      <c r="Y18" s="34">
        <f t="shared" si="11"/>
        <v>900</v>
      </c>
      <c r="Z18" s="34">
        <f t="shared" si="12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>
      <c r="A21" s="25"/>
      <c r="B21" s="25"/>
      <c r="C21" s="41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11</v>
      </c>
      <c r="U23" s="25"/>
      <c r="V23" s="25">
        <f>SUM(V7:V18)</f>
        <v>12</v>
      </c>
      <c r="W23" s="25"/>
      <c r="X23" s="25">
        <f>SUM(X7:X18)</f>
        <v>11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11</v>
      </c>
      <c r="U24" s="25"/>
      <c r="V24" s="25">
        <f>SUMIF($C7:$C18,"GENERAL",V7:V18)</f>
        <v>12</v>
      </c>
      <c r="W24" s="25"/>
      <c r="X24" s="25">
        <f>SUMIF($C7:$C18,"GENERAL",X7:X18)</f>
        <v>11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91.666666666666657</v>
      </c>
      <c r="U28" s="38"/>
      <c r="V28" s="38">
        <f>(SUM(V24:V27)/COUNTA(V7:V18))*100</f>
        <v>100</v>
      </c>
      <c r="W28" s="38"/>
      <c r="X28" s="38">
        <f>(SUM(X24:X27)/COUNTA(X7:X18))*100</f>
        <v>91.666666666666657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849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29</v>
      </c>
      <c r="B36" s="28">
        <v>0.25</v>
      </c>
      <c r="C36" s="29" t="s">
        <v>39</v>
      </c>
      <c r="D36" s="30"/>
      <c r="E36" s="29">
        <v>130</v>
      </c>
      <c r="F36" s="29">
        <v>4</v>
      </c>
      <c r="G36" s="29">
        <v>0</v>
      </c>
      <c r="H36" s="29">
        <v>8000</v>
      </c>
      <c r="I36" s="29">
        <v>0</v>
      </c>
      <c r="J36" s="29" t="s">
        <v>58</v>
      </c>
      <c r="K36" s="29">
        <v>900</v>
      </c>
      <c r="L36" s="1" t="s">
        <v>850</v>
      </c>
      <c r="M36" s="32">
        <f t="shared" ref="M36:M47" si="14">IF(ISNUMBER(VALUE(FIND("VRB",L36))),999,VALUE(MID(L36,20,3)))</f>
        <v>150</v>
      </c>
      <c r="N36" s="33">
        <f t="shared" ref="N36:N47" si="15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7" si="16">VALUE(MID(L36,23,2))</f>
        <v>3</v>
      </c>
      <c r="P36" s="33">
        <f t="shared" ref="P36:P47" si="17">IF(ABS(O36-F36)&lt;11,1,0)</f>
        <v>1</v>
      </c>
      <c r="Q36" s="34">
        <f t="shared" ref="Q36:Q47" si="18">IF(MID(L36,25,1)="G","GUST",0)</f>
        <v>0</v>
      </c>
      <c r="R36" s="33">
        <f t="shared" ref="R36:R47" si="19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7" si="20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7" si="21">IF(AND(IFERROR(FIND("RA",L36),0)&gt;0, IFERROR(FIND("RA",L36),0)&lt;38),"RA",0)</f>
        <v>0</v>
      </c>
      <c r="V36" s="34">
        <f t="shared" ref="V36:V47" si="22">IF(U36=I36,1,0)</f>
        <v>1</v>
      </c>
      <c r="W36" s="34" t="str">
        <f t="shared" ref="W36:W47" si="23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7" si="24">IF(OR(AND(OR(J36="SKC",J36="FEW",J36="SCT"),OR(W36="SKC",W36="FEW",W36="SCT")),(AND(OR(J36="BKN",J36="OVC"),OR(W36="BKN",W36="OVC")))),1,0)</f>
        <v>1</v>
      </c>
      <c r="Y36" s="34">
        <f t="shared" ref="Y36:Y47" si="25">IF(ISNUMBER(VALUE(FIND("CAVOK",L36))),9999,IF(ISNUMBER(VALUE(FIND("NSC",L36))),9999,(MID(L36,(FIND(W36,L36)+4),2))*100))</f>
        <v>900</v>
      </c>
      <c r="Z36" s="34">
        <f t="shared" ref="Z36:Z47" si="26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30"/>
      <c r="E37" s="29">
        <v>130</v>
      </c>
      <c r="F37" s="29">
        <v>4</v>
      </c>
      <c r="G37" s="29">
        <v>0</v>
      </c>
      <c r="H37" s="29">
        <v>8000</v>
      </c>
      <c r="I37" s="29">
        <v>0</v>
      </c>
      <c r="J37" s="29" t="s">
        <v>58</v>
      </c>
      <c r="K37" s="29">
        <v>900</v>
      </c>
      <c r="L37" s="1" t="s">
        <v>851</v>
      </c>
      <c r="M37" s="32">
        <f t="shared" si="14"/>
        <v>150</v>
      </c>
      <c r="N37" s="33">
        <f t="shared" si="15"/>
        <v>1</v>
      </c>
      <c r="O37" s="33">
        <f t="shared" si="16"/>
        <v>4</v>
      </c>
      <c r="P37" s="33">
        <f t="shared" si="17"/>
        <v>1</v>
      </c>
      <c r="Q37" s="34">
        <f t="shared" si="18"/>
        <v>0</v>
      </c>
      <c r="R37" s="33">
        <f t="shared" si="19"/>
        <v>1</v>
      </c>
      <c r="S37" s="34">
        <f t="shared" ref="S37:S47" si="27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20"/>
        <v>1</v>
      </c>
      <c r="U37" s="34">
        <f t="shared" si="21"/>
        <v>0</v>
      </c>
      <c r="V37" s="34">
        <f t="shared" si="22"/>
        <v>1</v>
      </c>
      <c r="W37" s="34" t="str">
        <f t="shared" si="23"/>
        <v>BKN</v>
      </c>
      <c r="X37" s="34">
        <f t="shared" si="24"/>
        <v>1</v>
      </c>
      <c r="Y37" s="34">
        <f t="shared" si="25"/>
        <v>900</v>
      </c>
      <c r="Z37" s="34">
        <f t="shared" si="26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30"/>
      <c r="E38" s="29">
        <v>130</v>
      </c>
      <c r="F38" s="29">
        <v>4</v>
      </c>
      <c r="G38" s="29">
        <v>0</v>
      </c>
      <c r="H38" s="29">
        <v>8000</v>
      </c>
      <c r="I38" s="29">
        <v>0</v>
      </c>
      <c r="J38" s="29" t="s">
        <v>58</v>
      </c>
      <c r="K38" s="29">
        <v>900</v>
      </c>
      <c r="L38" s="1" t="s">
        <v>856</v>
      </c>
      <c r="M38" s="32">
        <f t="shared" si="14"/>
        <v>0</v>
      </c>
      <c r="N38" s="33">
        <f t="shared" si="15"/>
        <v>1</v>
      </c>
      <c r="O38" s="33">
        <f t="shared" si="16"/>
        <v>0</v>
      </c>
      <c r="P38" s="33">
        <f t="shared" si="17"/>
        <v>1</v>
      </c>
      <c r="Q38" s="34">
        <f t="shared" si="18"/>
        <v>0</v>
      </c>
      <c r="R38" s="33">
        <f t="shared" si="19"/>
        <v>1</v>
      </c>
      <c r="S38" s="34">
        <f t="shared" si="27"/>
        <v>8000</v>
      </c>
      <c r="T38" s="34">
        <f t="shared" si="20"/>
        <v>1</v>
      </c>
      <c r="U38" s="34">
        <f t="shared" si="21"/>
        <v>0</v>
      </c>
      <c r="V38" s="34">
        <f t="shared" si="22"/>
        <v>1</v>
      </c>
      <c r="W38" s="34" t="str">
        <f t="shared" si="23"/>
        <v>BKN</v>
      </c>
      <c r="X38" s="34">
        <f t="shared" si="24"/>
        <v>1</v>
      </c>
      <c r="Y38" s="34">
        <f t="shared" si="25"/>
        <v>900</v>
      </c>
      <c r="Z38" s="34">
        <f t="shared" si="26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30"/>
      <c r="E39" s="29">
        <v>130</v>
      </c>
      <c r="F39" s="29">
        <v>4</v>
      </c>
      <c r="G39" s="29">
        <v>0</v>
      </c>
      <c r="H39" s="29">
        <v>8000</v>
      </c>
      <c r="I39" s="29">
        <v>0</v>
      </c>
      <c r="J39" s="29" t="s">
        <v>58</v>
      </c>
      <c r="K39" s="29">
        <v>900</v>
      </c>
      <c r="L39" s="1" t="s">
        <v>857</v>
      </c>
      <c r="M39" s="32">
        <f t="shared" si="14"/>
        <v>0</v>
      </c>
      <c r="N39" s="33">
        <f t="shared" si="15"/>
        <v>1</v>
      </c>
      <c r="O39" s="33">
        <f t="shared" si="16"/>
        <v>0</v>
      </c>
      <c r="P39" s="33">
        <f t="shared" si="17"/>
        <v>1</v>
      </c>
      <c r="Q39" s="34">
        <f t="shared" si="18"/>
        <v>0</v>
      </c>
      <c r="R39" s="33">
        <f t="shared" si="19"/>
        <v>1</v>
      </c>
      <c r="S39" s="34">
        <f t="shared" si="27"/>
        <v>8000</v>
      </c>
      <c r="T39" s="34">
        <f t="shared" si="20"/>
        <v>1</v>
      </c>
      <c r="U39" s="34">
        <f t="shared" si="21"/>
        <v>0</v>
      </c>
      <c r="V39" s="34">
        <f t="shared" si="22"/>
        <v>1</v>
      </c>
      <c r="W39" s="34" t="str">
        <f t="shared" si="23"/>
        <v>BKN</v>
      </c>
      <c r="X39" s="34">
        <f t="shared" si="24"/>
        <v>1</v>
      </c>
      <c r="Y39" s="34">
        <f t="shared" si="25"/>
        <v>900</v>
      </c>
      <c r="Z39" s="34">
        <f t="shared" si="26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30"/>
      <c r="E40" s="29">
        <v>130</v>
      </c>
      <c r="F40" s="29">
        <v>4</v>
      </c>
      <c r="G40" s="29">
        <v>0</v>
      </c>
      <c r="H40" s="29">
        <v>8000</v>
      </c>
      <c r="I40" s="29">
        <v>0</v>
      </c>
      <c r="J40" s="29" t="s">
        <v>58</v>
      </c>
      <c r="K40" s="29">
        <v>900</v>
      </c>
      <c r="L40" s="1" t="s">
        <v>858</v>
      </c>
      <c r="M40" s="32">
        <f t="shared" si="14"/>
        <v>0</v>
      </c>
      <c r="N40" s="33">
        <f t="shared" si="15"/>
        <v>1</v>
      </c>
      <c r="O40" s="33">
        <f t="shared" si="16"/>
        <v>0</v>
      </c>
      <c r="P40" s="33">
        <f t="shared" si="17"/>
        <v>1</v>
      </c>
      <c r="Q40" s="34">
        <f t="shared" si="18"/>
        <v>0</v>
      </c>
      <c r="R40" s="33">
        <f t="shared" si="19"/>
        <v>1</v>
      </c>
      <c r="S40" s="34">
        <f t="shared" si="27"/>
        <v>8000</v>
      </c>
      <c r="T40" s="34">
        <f t="shared" si="20"/>
        <v>1</v>
      </c>
      <c r="U40" s="34">
        <f t="shared" si="21"/>
        <v>0</v>
      </c>
      <c r="V40" s="34">
        <f t="shared" si="22"/>
        <v>1</v>
      </c>
      <c r="W40" s="34" t="str">
        <f t="shared" si="23"/>
        <v>BKN</v>
      </c>
      <c r="X40" s="34">
        <f t="shared" si="24"/>
        <v>1</v>
      </c>
      <c r="Y40" s="34">
        <f t="shared" si="25"/>
        <v>900</v>
      </c>
      <c r="Z40" s="34">
        <f t="shared" si="26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30"/>
      <c r="E41" s="29">
        <v>130</v>
      </c>
      <c r="F41" s="29">
        <v>4</v>
      </c>
      <c r="G41" s="29">
        <v>0</v>
      </c>
      <c r="H41" s="29">
        <v>8000</v>
      </c>
      <c r="I41" s="29">
        <v>0</v>
      </c>
      <c r="J41" s="29" t="s">
        <v>58</v>
      </c>
      <c r="K41" s="29">
        <v>900</v>
      </c>
      <c r="L41" s="1" t="s">
        <v>859</v>
      </c>
      <c r="M41" s="32">
        <f t="shared" si="14"/>
        <v>0</v>
      </c>
      <c r="N41" s="33">
        <f t="shared" si="15"/>
        <v>1</v>
      </c>
      <c r="O41" s="33">
        <f t="shared" si="16"/>
        <v>0</v>
      </c>
      <c r="P41" s="33">
        <f t="shared" si="17"/>
        <v>1</v>
      </c>
      <c r="Q41" s="34">
        <f t="shared" si="18"/>
        <v>0</v>
      </c>
      <c r="R41" s="33">
        <f t="shared" si="19"/>
        <v>1</v>
      </c>
      <c r="S41" s="34">
        <f t="shared" si="27"/>
        <v>8000</v>
      </c>
      <c r="T41" s="34">
        <f t="shared" si="20"/>
        <v>1</v>
      </c>
      <c r="U41" s="34">
        <f t="shared" si="21"/>
        <v>0</v>
      </c>
      <c r="V41" s="34">
        <f t="shared" si="22"/>
        <v>1</v>
      </c>
      <c r="W41" s="34" t="str">
        <f t="shared" si="23"/>
        <v>SCT</v>
      </c>
      <c r="X41" s="34">
        <f t="shared" si="24"/>
        <v>0</v>
      </c>
      <c r="Y41" s="34">
        <f t="shared" si="25"/>
        <v>900</v>
      </c>
      <c r="Z41" s="34">
        <f t="shared" si="26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30"/>
      <c r="E42" s="29">
        <v>130</v>
      </c>
      <c r="F42" s="29">
        <v>4</v>
      </c>
      <c r="G42" s="29">
        <v>0</v>
      </c>
      <c r="H42" s="29">
        <v>8000</v>
      </c>
      <c r="I42" s="29">
        <v>0</v>
      </c>
      <c r="J42" s="29" t="s">
        <v>58</v>
      </c>
      <c r="K42" s="29">
        <v>900</v>
      </c>
      <c r="L42" s="1" t="s">
        <v>860</v>
      </c>
      <c r="M42" s="32">
        <f t="shared" si="14"/>
        <v>0</v>
      </c>
      <c r="N42" s="33">
        <f t="shared" si="15"/>
        <v>1</v>
      </c>
      <c r="O42" s="33">
        <f t="shared" si="16"/>
        <v>0</v>
      </c>
      <c r="P42" s="33">
        <f t="shared" si="17"/>
        <v>1</v>
      </c>
      <c r="Q42" s="34">
        <f t="shared" si="18"/>
        <v>0</v>
      </c>
      <c r="R42" s="33">
        <f t="shared" si="19"/>
        <v>1</v>
      </c>
      <c r="S42" s="34">
        <f t="shared" si="27"/>
        <v>8000</v>
      </c>
      <c r="T42" s="34">
        <f t="shared" si="20"/>
        <v>1</v>
      </c>
      <c r="U42" s="34">
        <f t="shared" si="21"/>
        <v>0</v>
      </c>
      <c r="V42" s="34">
        <f t="shared" si="22"/>
        <v>1</v>
      </c>
      <c r="W42" s="34" t="str">
        <f t="shared" si="23"/>
        <v>SCT</v>
      </c>
      <c r="X42" s="34">
        <f t="shared" si="24"/>
        <v>0</v>
      </c>
      <c r="Y42" s="34">
        <f t="shared" si="25"/>
        <v>900</v>
      </c>
      <c r="Z42" s="34">
        <f t="shared" si="26"/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30"/>
      <c r="E43" s="29">
        <v>130</v>
      </c>
      <c r="F43" s="29">
        <v>4</v>
      </c>
      <c r="G43" s="29">
        <v>0</v>
      </c>
      <c r="H43" s="29">
        <v>8000</v>
      </c>
      <c r="I43" s="29">
        <v>0</v>
      </c>
      <c r="J43" s="29" t="s">
        <v>58</v>
      </c>
      <c r="K43" s="29">
        <v>900</v>
      </c>
      <c r="L43" s="1" t="s">
        <v>861</v>
      </c>
      <c r="M43" s="32">
        <f t="shared" si="14"/>
        <v>0</v>
      </c>
      <c r="N43" s="33">
        <f t="shared" si="15"/>
        <v>1</v>
      </c>
      <c r="O43" s="33">
        <f t="shared" si="16"/>
        <v>0</v>
      </c>
      <c r="P43" s="33">
        <f t="shared" si="17"/>
        <v>1</v>
      </c>
      <c r="Q43" s="34">
        <f t="shared" si="18"/>
        <v>0</v>
      </c>
      <c r="R43" s="33">
        <f t="shared" si="19"/>
        <v>1</v>
      </c>
      <c r="S43" s="34">
        <f t="shared" si="27"/>
        <v>8000</v>
      </c>
      <c r="T43" s="34">
        <f t="shared" si="20"/>
        <v>1</v>
      </c>
      <c r="U43" s="34">
        <f t="shared" si="21"/>
        <v>0</v>
      </c>
      <c r="V43" s="34">
        <f t="shared" si="22"/>
        <v>1</v>
      </c>
      <c r="W43" s="34" t="str">
        <f t="shared" si="23"/>
        <v>SCT</v>
      </c>
      <c r="X43" s="34">
        <f t="shared" si="24"/>
        <v>0</v>
      </c>
      <c r="Y43" s="34">
        <f t="shared" si="25"/>
        <v>900</v>
      </c>
      <c r="Z43" s="34">
        <f t="shared" si="26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30"/>
      <c r="E44" s="29">
        <v>130</v>
      </c>
      <c r="F44" s="29">
        <v>4</v>
      </c>
      <c r="G44" s="29">
        <v>0</v>
      </c>
      <c r="H44" s="29">
        <v>8000</v>
      </c>
      <c r="I44" s="29">
        <v>0</v>
      </c>
      <c r="J44" s="29" t="s">
        <v>58</v>
      </c>
      <c r="K44" s="29">
        <v>900</v>
      </c>
      <c r="L44" s="1" t="s">
        <v>862</v>
      </c>
      <c r="M44" s="32">
        <f t="shared" si="14"/>
        <v>0</v>
      </c>
      <c r="N44" s="33">
        <f t="shared" si="15"/>
        <v>1</v>
      </c>
      <c r="O44" s="33">
        <f t="shared" si="16"/>
        <v>0</v>
      </c>
      <c r="P44" s="33">
        <f t="shared" si="17"/>
        <v>1</v>
      </c>
      <c r="Q44" s="34">
        <f t="shared" si="18"/>
        <v>0</v>
      </c>
      <c r="R44" s="33">
        <f t="shared" si="19"/>
        <v>1</v>
      </c>
      <c r="S44" s="34">
        <f t="shared" si="27"/>
        <v>8000</v>
      </c>
      <c r="T44" s="34">
        <f t="shared" si="20"/>
        <v>1</v>
      </c>
      <c r="U44" s="34">
        <f t="shared" si="21"/>
        <v>0</v>
      </c>
      <c r="V44" s="34">
        <f t="shared" si="22"/>
        <v>1</v>
      </c>
      <c r="W44" s="34" t="str">
        <f t="shared" si="23"/>
        <v>SCT</v>
      </c>
      <c r="X44" s="34">
        <f t="shared" si="24"/>
        <v>0</v>
      </c>
      <c r="Y44" s="34">
        <f t="shared" si="25"/>
        <v>900</v>
      </c>
      <c r="Z44" s="34">
        <f t="shared" si="26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30"/>
      <c r="E45" s="29">
        <v>130</v>
      </c>
      <c r="F45" s="29">
        <v>4</v>
      </c>
      <c r="G45" s="29">
        <v>0</v>
      </c>
      <c r="H45" s="29">
        <v>8000</v>
      </c>
      <c r="I45" s="29">
        <v>0</v>
      </c>
      <c r="J45" s="29" t="s">
        <v>58</v>
      </c>
      <c r="K45" s="29">
        <v>900</v>
      </c>
      <c r="L45" s="1" t="s">
        <v>863</v>
      </c>
      <c r="M45" s="32">
        <f t="shared" si="14"/>
        <v>30</v>
      </c>
      <c r="N45" s="33">
        <f t="shared" si="15"/>
        <v>1</v>
      </c>
      <c r="O45" s="33">
        <f t="shared" si="16"/>
        <v>1</v>
      </c>
      <c r="P45" s="33">
        <f t="shared" si="17"/>
        <v>1</v>
      </c>
      <c r="Q45" s="34">
        <f t="shared" si="18"/>
        <v>0</v>
      </c>
      <c r="R45" s="33">
        <f t="shared" si="19"/>
        <v>1</v>
      </c>
      <c r="S45" s="34">
        <f t="shared" si="27"/>
        <v>8000</v>
      </c>
      <c r="T45" s="34">
        <f t="shared" si="20"/>
        <v>1</v>
      </c>
      <c r="U45" s="34">
        <f t="shared" si="21"/>
        <v>0</v>
      </c>
      <c r="V45" s="34">
        <f t="shared" si="22"/>
        <v>1</v>
      </c>
      <c r="W45" s="34" t="str">
        <f t="shared" si="23"/>
        <v>SCT</v>
      </c>
      <c r="X45" s="34">
        <f t="shared" si="24"/>
        <v>0</v>
      </c>
      <c r="Y45" s="34">
        <f t="shared" si="25"/>
        <v>900</v>
      </c>
      <c r="Z45" s="34">
        <f t="shared" si="26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30"/>
      <c r="E46" s="29">
        <v>130</v>
      </c>
      <c r="F46" s="29">
        <v>4</v>
      </c>
      <c r="G46" s="29">
        <v>0</v>
      </c>
      <c r="H46" s="29">
        <v>8000</v>
      </c>
      <c r="I46" s="29">
        <v>0</v>
      </c>
      <c r="J46" s="29" t="s">
        <v>58</v>
      </c>
      <c r="K46" s="29">
        <v>900</v>
      </c>
      <c r="L46" s="1" t="s">
        <v>864</v>
      </c>
      <c r="M46" s="32">
        <f t="shared" si="14"/>
        <v>70</v>
      </c>
      <c r="N46" s="33">
        <f t="shared" si="15"/>
        <v>1</v>
      </c>
      <c r="O46" s="33">
        <f t="shared" si="16"/>
        <v>4</v>
      </c>
      <c r="P46" s="33">
        <f t="shared" si="17"/>
        <v>1</v>
      </c>
      <c r="Q46" s="34">
        <f t="shared" si="18"/>
        <v>0</v>
      </c>
      <c r="R46" s="33">
        <f t="shared" si="19"/>
        <v>1</v>
      </c>
      <c r="S46" s="34">
        <f t="shared" si="27"/>
        <v>8000</v>
      </c>
      <c r="T46" s="34">
        <f t="shared" si="20"/>
        <v>1</v>
      </c>
      <c r="U46" s="34">
        <f t="shared" si="21"/>
        <v>0</v>
      </c>
      <c r="V46" s="34">
        <f t="shared" si="22"/>
        <v>1</v>
      </c>
      <c r="W46" s="34" t="str">
        <f t="shared" si="23"/>
        <v>SCT</v>
      </c>
      <c r="X46" s="34">
        <f t="shared" si="24"/>
        <v>0</v>
      </c>
      <c r="Y46" s="34">
        <f t="shared" si="25"/>
        <v>900</v>
      </c>
      <c r="Z46" s="34">
        <f t="shared" si="26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30"/>
      <c r="E47" s="29">
        <v>130</v>
      </c>
      <c r="F47" s="29">
        <v>4</v>
      </c>
      <c r="G47" s="29">
        <v>0</v>
      </c>
      <c r="H47" s="29">
        <v>8000</v>
      </c>
      <c r="I47" s="29">
        <v>0</v>
      </c>
      <c r="J47" s="29" t="s">
        <v>58</v>
      </c>
      <c r="K47" s="29">
        <v>900</v>
      </c>
      <c r="L47" s="1" t="s">
        <v>865</v>
      </c>
      <c r="M47" s="32">
        <f t="shared" si="14"/>
        <v>0</v>
      </c>
      <c r="N47" s="33">
        <f t="shared" si="15"/>
        <v>1</v>
      </c>
      <c r="O47" s="33">
        <f t="shared" si="16"/>
        <v>0</v>
      </c>
      <c r="P47" s="33">
        <f t="shared" si="17"/>
        <v>1</v>
      </c>
      <c r="Q47" s="34">
        <f t="shared" si="18"/>
        <v>0</v>
      </c>
      <c r="R47" s="33">
        <f t="shared" si="19"/>
        <v>1</v>
      </c>
      <c r="S47" s="34">
        <f t="shared" si="27"/>
        <v>8000</v>
      </c>
      <c r="T47" s="34">
        <f t="shared" si="20"/>
        <v>1</v>
      </c>
      <c r="U47" s="34">
        <f t="shared" si="21"/>
        <v>0</v>
      </c>
      <c r="V47" s="34">
        <f t="shared" si="22"/>
        <v>1</v>
      </c>
      <c r="W47" s="34" t="str">
        <f t="shared" si="23"/>
        <v>BKN</v>
      </c>
      <c r="X47" s="34">
        <f t="shared" si="24"/>
        <v>1</v>
      </c>
      <c r="Y47" s="34">
        <f t="shared" si="25"/>
        <v>900</v>
      </c>
      <c r="Z47" s="34">
        <f t="shared" si="26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12</v>
      </c>
      <c r="W52" s="25"/>
      <c r="X52" s="25">
        <f>SUM(X36:X47)</f>
        <v>6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12</v>
      </c>
      <c r="W53" s="25"/>
      <c r="X53" s="25">
        <f>SUMIF($C36:$C47,"GENERAL",X36:X47)</f>
        <v>6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100</v>
      </c>
      <c r="W57" s="38"/>
      <c r="X57" s="38">
        <f>(SUM(X53:X56)/COUNTA(X36:X47))*100</f>
        <v>50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 ht="20.25">
      <c r="A59" s="25"/>
      <c r="B59" s="25"/>
      <c r="C59" s="25"/>
      <c r="D59" s="56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852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29</v>
      </c>
      <c r="B65" s="50">
        <v>0.5</v>
      </c>
      <c r="C65" s="29" t="s">
        <v>39</v>
      </c>
      <c r="D65" s="30"/>
      <c r="E65" s="29">
        <v>0</v>
      </c>
      <c r="F65" s="29">
        <v>0</v>
      </c>
      <c r="G65" s="29">
        <v>0</v>
      </c>
      <c r="H65" s="29">
        <v>8000</v>
      </c>
      <c r="I65" s="29">
        <v>0</v>
      </c>
      <c r="J65" s="29" t="s">
        <v>58</v>
      </c>
      <c r="K65" s="29">
        <v>900</v>
      </c>
      <c r="L65" s="1" t="s">
        <v>860</v>
      </c>
      <c r="M65" s="32">
        <f t="shared" ref="M65:M76" si="28">IF(ISNUMBER(VALUE(FIND("VRB",L65))),999,VALUE(MID(L65,20,3)))</f>
        <v>0</v>
      </c>
      <c r="N65" s="33">
        <f t="shared" ref="N65:N76" si="29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6" si="30">VALUE(MID(L65,23,2))</f>
        <v>0</v>
      </c>
      <c r="P65" s="33">
        <f t="shared" ref="P65:P76" si="31">IF(ABS(O65-F65)&lt;11,1,0)</f>
        <v>1</v>
      </c>
      <c r="Q65" s="34">
        <f t="shared" ref="Q65:Q76" si="32">IF(MID(L65,25,1)="G","GUST",0)</f>
        <v>0</v>
      </c>
      <c r="R65" s="33">
        <f t="shared" ref="R65:R76" si="33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6" si="34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6" si="35">IF(AND(IFERROR(FIND("RA",L65),0)&gt;0, IFERROR(FIND("RA",L65),0)&lt;38),"RA",0)</f>
        <v>0</v>
      </c>
      <c r="V65" s="34">
        <f t="shared" ref="V65:V76" si="36">IF(U65=I65,1,0)</f>
        <v>1</v>
      </c>
      <c r="W65" s="34" t="str">
        <f t="shared" ref="W65:W76" si="37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SCT</v>
      </c>
      <c r="X65" s="34">
        <f t="shared" ref="X65:X76" si="38">IF(OR(AND(OR(J65="SKC",J65="FEW",J65="SCT"),OR(W65="SKC",W65="FEW",W65="SCT")),(AND(OR(J65="BKN",J65="OVC"),OR(W65="BKN",W65="OVC")))),1,0)</f>
        <v>0</v>
      </c>
      <c r="Y65" s="34">
        <f t="shared" ref="Y65:Y73" si="39">IF(ISNUMBER(VALUE(FIND("CAVOK",L65))),9999,IF(ISNUMBER(VALUE(FIND("NSC",L65))),9999,(MID(L65,(FIND(W65,L65)+4),2))*100))</f>
        <v>900</v>
      </c>
      <c r="Z65" s="34">
        <f t="shared" ref="Z65:Z73" si="40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29" t="s">
        <v>39</v>
      </c>
      <c r="D66" s="52"/>
      <c r="E66" s="29">
        <v>0</v>
      </c>
      <c r="F66" s="29">
        <v>0</v>
      </c>
      <c r="G66" s="29">
        <v>0</v>
      </c>
      <c r="H66" s="29">
        <v>8000</v>
      </c>
      <c r="I66" s="29">
        <v>0</v>
      </c>
      <c r="J66" s="29" t="s">
        <v>58</v>
      </c>
      <c r="K66" s="29">
        <v>900</v>
      </c>
      <c r="L66" s="1" t="s">
        <v>861</v>
      </c>
      <c r="M66" s="32">
        <f t="shared" si="28"/>
        <v>0</v>
      </c>
      <c r="N66" s="33">
        <f t="shared" si="29"/>
        <v>1</v>
      </c>
      <c r="O66" s="33">
        <f t="shared" si="30"/>
        <v>0</v>
      </c>
      <c r="P66" s="33">
        <f t="shared" si="31"/>
        <v>1</v>
      </c>
      <c r="Q66" s="34">
        <f t="shared" si="32"/>
        <v>0</v>
      </c>
      <c r="R66" s="33">
        <f t="shared" si="33"/>
        <v>1</v>
      </c>
      <c r="S66" s="34">
        <f t="shared" ref="S66:S76" si="41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34"/>
        <v>1</v>
      </c>
      <c r="U66" s="34">
        <f t="shared" si="35"/>
        <v>0</v>
      </c>
      <c r="V66" s="34">
        <f t="shared" si="36"/>
        <v>1</v>
      </c>
      <c r="W66" s="34" t="str">
        <f t="shared" si="37"/>
        <v>SCT</v>
      </c>
      <c r="X66" s="34">
        <f t="shared" si="38"/>
        <v>0</v>
      </c>
      <c r="Y66" s="34">
        <f t="shared" si="39"/>
        <v>900</v>
      </c>
      <c r="Z66" s="34">
        <f t="shared" si="40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29" t="s">
        <v>39</v>
      </c>
      <c r="D67" s="52"/>
      <c r="E67" s="29">
        <v>0</v>
      </c>
      <c r="F67" s="29">
        <v>0</v>
      </c>
      <c r="G67" s="29">
        <v>0</v>
      </c>
      <c r="H67" s="29">
        <v>8000</v>
      </c>
      <c r="I67" s="29">
        <v>0</v>
      </c>
      <c r="J67" s="29" t="s">
        <v>58</v>
      </c>
      <c r="K67" s="29">
        <v>900</v>
      </c>
      <c r="L67" s="1" t="s">
        <v>862</v>
      </c>
      <c r="M67" s="32">
        <f t="shared" si="28"/>
        <v>0</v>
      </c>
      <c r="N67" s="33">
        <f t="shared" si="29"/>
        <v>1</v>
      </c>
      <c r="O67" s="33">
        <f t="shared" si="30"/>
        <v>0</v>
      </c>
      <c r="P67" s="33">
        <f t="shared" si="31"/>
        <v>1</v>
      </c>
      <c r="Q67" s="34">
        <f t="shared" si="32"/>
        <v>0</v>
      </c>
      <c r="R67" s="33">
        <f t="shared" si="33"/>
        <v>1</v>
      </c>
      <c r="S67" s="34">
        <f t="shared" si="41"/>
        <v>8000</v>
      </c>
      <c r="T67" s="34">
        <f t="shared" si="34"/>
        <v>1</v>
      </c>
      <c r="U67" s="34">
        <f t="shared" si="35"/>
        <v>0</v>
      </c>
      <c r="V67" s="34">
        <f t="shared" si="36"/>
        <v>1</v>
      </c>
      <c r="W67" s="34" t="str">
        <f t="shared" si="37"/>
        <v>SCT</v>
      </c>
      <c r="X67" s="34">
        <f t="shared" si="38"/>
        <v>0</v>
      </c>
      <c r="Y67" s="34">
        <f t="shared" si="39"/>
        <v>900</v>
      </c>
      <c r="Z67" s="34">
        <f t="shared" si="40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29" t="s">
        <v>39</v>
      </c>
      <c r="D68" s="52"/>
      <c r="E68" s="29">
        <v>0</v>
      </c>
      <c r="F68" s="29">
        <v>0</v>
      </c>
      <c r="G68" s="29">
        <v>0</v>
      </c>
      <c r="H68" s="29">
        <v>8000</v>
      </c>
      <c r="I68" s="29">
        <v>0</v>
      </c>
      <c r="J68" s="29" t="s">
        <v>58</v>
      </c>
      <c r="K68" s="29">
        <v>900</v>
      </c>
      <c r="L68" s="1" t="s">
        <v>863</v>
      </c>
      <c r="M68" s="32">
        <f t="shared" si="28"/>
        <v>30</v>
      </c>
      <c r="N68" s="33">
        <f t="shared" si="29"/>
        <v>1</v>
      </c>
      <c r="O68" s="33">
        <f t="shared" si="30"/>
        <v>1</v>
      </c>
      <c r="P68" s="33">
        <f t="shared" si="31"/>
        <v>1</v>
      </c>
      <c r="Q68" s="34">
        <f t="shared" si="32"/>
        <v>0</v>
      </c>
      <c r="R68" s="33">
        <f t="shared" si="33"/>
        <v>1</v>
      </c>
      <c r="S68" s="34">
        <f t="shared" si="41"/>
        <v>8000</v>
      </c>
      <c r="T68" s="34">
        <f t="shared" si="34"/>
        <v>1</v>
      </c>
      <c r="U68" s="34">
        <f t="shared" si="35"/>
        <v>0</v>
      </c>
      <c r="V68" s="34">
        <f t="shared" si="36"/>
        <v>1</v>
      </c>
      <c r="W68" s="34" t="str">
        <f t="shared" si="37"/>
        <v>SCT</v>
      </c>
      <c r="X68" s="34">
        <f t="shared" si="38"/>
        <v>0</v>
      </c>
      <c r="Y68" s="34">
        <f t="shared" si="39"/>
        <v>900</v>
      </c>
      <c r="Z68" s="34">
        <f t="shared" si="40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29" t="s">
        <v>39</v>
      </c>
      <c r="D69" s="52"/>
      <c r="E69" s="29">
        <v>0</v>
      </c>
      <c r="F69" s="29">
        <v>0</v>
      </c>
      <c r="G69" s="29">
        <v>0</v>
      </c>
      <c r="H69" s="29">
        <v>8000</v>
      </c>
      <c r="I69" s="29">
        <v>0</v>
      </c>
      <c r="J69" s="29" t="s">
        <v>58</v>
      </c>
      <c r="K69" s="29">
        <v>900</v>
      </c>
      <c r="L69" s="1" t="s">
        <v>864</v>
      </c>
      <c r="M69" s="32">
        <f t="shared" si="28"/>
        <v>70</v>
      </c>
      <c r="N69" s="33">
        <f t="shared" si="29"/>
        <v>1</v>
      </c>
      <c r="O69" s="33">
        <f t="shared" si="30"/>
        <v>4</v>
      </c>
      <c r="P69" s="33">
        <f t="shared" si="31"/>
        <v>1</v>
      </c>
      <c r="Q69" s="34">
        <f t="shared" si="32"/>
        <v>0</v>
      </c>
      <c r="R69" s="33">
        <f t="shared" si="33"/>
        <v>1</v>
      </c>
      <c r="S69" s="34">
        <f t="shared" si="41"/>
        <v>8000</v>
      </c>
      <c r="T69" s="34">
        <f t="shared" si="34"/>
        <v>1</v>
      </c>
      <c r="U69" s="34">
        <f t="shared" si="35"/>
        <v>0</v>
      </c>
      <c r="V69" s="34">
        <f t="shared" si="36"/>
        <v>1</v>
      </c>
      <c r="W69" s="34" t="str">
        <f t="shared" si="37"/>
        <v>SCT</v>
      </c>
      <c r="X69" s="34">
        <f t="shared" si="38"/>
        <v>0</v>
      </c>
      <c r="Y69" s="34">
        <f t="shared" si="39"/>
        <v>900</v>
      </c>
      <c r="Z69" s="34">
        <f t="shared" si="40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29" t="s">
        <v>39</v>
      </c>
      <c r="D70" s="52"/>
      <c r="E70" s="29">
        <v>0</v>
      </c>
      <c r="F70" s="29">
        <v>0</v>
      </c>
      <c r="G70" s="29">
        <v>0</v>
      </c>
      <c r="H70" s="29">
        <v>8000</v>
      </c>
      <c r="I70" s="29">
        <v>0</v>
      </c>
      <c r="J70" s="29" t="s">
        <v>58</v>
      </c>
      <c r="K70" s="29">
        <v>900</v>
      </c>
      <c r="L70" s="1" t="s">
        <v>865</v>
      </c>
      <c r="M70" s="32">
        <f t="shared" si="28"/>
        <v>0</v>
      </c>
      <c r="N70" s="33">
        <f t="shared" si="29"/>
        <v>1</v>
      </c>
      <c r="O70" s="33">
        <f t="shared" si="30"/>
        <v>0</v>
      </c>
      <c r="P70" s="33">
        <f t="shared" si="31"/>
        <v>1</v>
      </c>
      <c r="Q70" s="34">
        <f t="shared" si="32"/>
        <v>0</v>
      </c>
      <c r="R70" s="33">
        <f t="shared" si="33"/>
        <v>1</v>
      </c>
      <c r="S70" s="34">
        <f t="shared" si="41"/>
        <v>8000</v>
      </c>
      <c r="T70" s="34">
        <f t="shared" si="34"/>
        <v>1</v>
      </c>
      <c r="U70" s="34">
        <f t="shared" si="35"/>
        <v>0</v>
      </c>
      <c r="V70" s="34">
        <f t="shared" si="36"/>
        <v>1</v>
      </c>
      <c r="W70" s="34" t="str">
        <f t="shared" si="37"/>
        <v>BKN</v>
      </c>
      <c r="X70" s="34">
        <f t="shared" si="38"/>
        <v>1</v>
      </c>
      <c r="Y70" s="34">
        <f t="shared" si="39"/>
        <v>900</v>
      </c>
      <c r="Z70" s="34">
        <f t="shared" si="40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29" t="s">
        <v>39</v>
      </c>
      <c r="D71" s="52"/>
      <c r="E71" s="29">
        <v>0</v>
      </c>
      <c r="F71" s="29">
        <v>0</v>
      </c>
      <c r="G71" s="29">
        <v>0</v>
      </c>
      <c r="H71" s="29">
        <v>8000</v>
      </c>
      <c r="I71" s="29">
        <v>0</v>
      </c>
      <c r="J71" s="29" t="s">
        <v>58</v>
      </c>
      <c r="K71" s="29">
        <v>900</v>
      </c>
      <c r="L71" s="1" t="s">
        <v>866</v>
      </c>
      <c r="M71" s="32">
        <f t="shared" si="28"/>
        <v>160</v>
      </c>
      <c r="N71" s="33">
        <f t="shared" si="29"/>
        <v>1</v>
      </c>
      <c r="O71" s="33">
        <f t="shared" si="30"/>
        <v>2</v>
      </c>
      <c r="P71" s="33">
        <f t="shared" si="31"/>
        <v>1</v>
      </c>
      <c r="Q71" s="34">
        <f t="shared" si="32"/>
        <v>0</v>
      </c>
      <c r="R71" s="33">
        <f t="shared" si="33"/>
        <v>1</v>
      </c>
      <c r="S71" s="34">
        <f t="shared" si="41"/>
        <v>8000</v>
      </c>
      <c r="T71" s="34">
        <f t="shared" si="34"/>
        <v>1</v>
      </c>
      <c r="U71" s="34">
        <f t="shared" si="35"/>
        <v>0</v>
      </c>
      <c r="V71" s="34">
        <f t="shared" si="36"/>
        <v>1</v>
      </c>
      <c r="W71" s="34" t="str">
        <f t="shared" si="37"/>
        <v>BKN</v>
      </c>
      <c r="X71" s="34">
        <f t="shared" si="38"/>
        <v>1</v>
      </c>
      <c r="Y71" s="34">
        <f t="shared" si="39"/>
        <v>900</v>
      </c>
      <c r="Z71" s="34">
        <f t="shared" si="40"/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29" t="s">
        <v>39</v>
      </c>
      <c r="D72" s="52"/>
      <c r="E72" s="29">
        <v>0</v>
      </c>
      <c r="F72" s="29">
        <v>0</v>
      </c>
      <c r="G72" s="29">
        <v>0</v>
      </c>
      <c r="H72" s="29">
        <v>8000</v>
      </c>
      <c r="I72" s="29">
        <v>0</v>
      </c>
      <c r="J72" s="29" t="s">
        <v>58</v>
      </c>
      <c r="K72" s="29">
        <v>900</v>
      </c>
      <c r="L72" s="1" t="s">
        <v>867</v>
      </c>
      <c r="M72" s="32">
        <f t="shared" si="28"/>
        <v>0</v>
      </c>
      <c r="N72" s="33">
        <f t="shared" si="29"/>
        <v>1</v>
      </c>
      <c r="O72" s="33">
        <f t="shared" si="30"/>
        <v>0</v>
      </c>
      <c r="P72" s="33">
        <f t="shared" si="31"/>
        <v>1</v>
      </c>
      <c r="Q72" s="34">
        <f t="shared" si="32"/>
        <v>0</v>
      </c>
      <c r="R72" s="33">
        <f t="shared" si="33"/>
        <v>1</v>
      </c>
      <c r="S72" s="34">
        <f t="shared" si="41"/>
        <v>8000</v>
      </c>
      <c r="T72" s="34">
        <f t="shared" si="34"/>
        <v>1</v>
      </c>
      <c r="U72" s="34">
        <f t="shared" si="35"/>
        <v>0</v>
      </c>
      <c r="V72" s="34">
        <f t="shared" si="36"/>
        <v>1</v>
      </c>
      <c r="W72" s="34" t="str">
        <f t="shared" si="37"/>
        <v>BKN</v>
      </c>
      <c r="X72" s="34">
        <f t="shared" si="38"/>
        <v>1</v>
      </c>
      <c r="Y72" s="34">
        <f t="shared" si="39"/>
        <v>900</v>
      </c>
      <c r="Z72" s="34">
        <f t="shared" si="4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29" t="s">
        <v>39</v>
      </c>
      <c r="D73" s="52"/>
      <c r="E73" s="29">
        <v>0</v>
      </c>
      <c r="F73" s="29">
        <v>0</v>
      </c>
      <c r="G73" s="29">
        <v>0</v>
      </c>
      <c r="H73" s="29">
        <v>8000</v>
      </c>
      <c r="I73" s="29">
        <v>0</v>
      </c>
      <c r="J73" s="29" t="s">
        <v>58</v>
      </c>
      <c r="K73" s="29">
        <v>900</v>
      </c>
      <c r="L73" s="1" t="s">
        <v>868</v>
      </c>
      <c r="M73" s="32">
        <f t="shared" si="28"/>
        <v>100</v>
      </c>
      <c r="N73" s="33">
        <f t="shared" si="29"/>
        <v>1</v>
      </c>
      <c r="O73" s="33">
        <f t="shared" si="30"/>
        <v>3</v>
      </c>
      <c r="P73" s="33">
        <f t="shared" si="31"/>
        <v>1</v>
      </c>
      <c r="Q73" s="34">
        <f t="shared" si="32"/>
        <v>0</v>
      </c>
      <c r="R73" s="33">
        <f t="shared" si="33"/>
        <v>1</v>
      </c>
      <c r="S73" s="34">
        <f t="shared" si="41"/>
        <v>8000</v>
      </c>
      <c r="T73" s="34">
        <f t="shared" si="34"/>
        <v>1</v>
      </c>
      <c r="U73" s="34">
        <f t="shared" si="35"/>
        <v>0</v>
      </c>
      <c r="V73" s="34">
        <f t="shared" si="36"/>
        <v>1</v>
      </c>
      <c r="W73" s="34" t="str">
        <f t="shared" si="37"/>
        <v>BKN</v>
      </c>
      <c r="X73" s="34">
        <f t="shared" si="38"/>
        <v>1</v>
      </c>
      <c r="Y73" s="34">
        <f t="shared" si="39"/>
        <v>900</v>
      </c>
      <c r="Z73" s="34">
        <f t="shared" si="4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29" t="s">
        <v>39</v>
      </c>
      <c r="D74" s="52"/>
      <c r="E74" s="29">
        <v>0</v>
      </c>
      <c r="F74" s="29">
        <v>0</v>
      </c>
      <c r="G74" s="29">
        <v>0</v>
      </c>
      <c r="H74" s="29">
        <v>8000</v>
      </c>
      <c r="I74" s="29">
        <v>0</v>
      </c>
      <c r="J74" s="29" t="s">
        <v>58</v>
      </c>
      <c r="K74" s="29">
        <v>900</v>
      </c>
      <c r="L74" s="1" t="s">
        <v>869</v>
      </c>
      <c r="M74" s="32">
        <f t="shared" si="28"/>
        <v>120</v>
      </c>
      <c r="N74" s="33">
        <f t="shared" si="29"/>
        <v>1</v>
      </c>
      <c r="O74" s="33">
        <f t="shared" si="30"/>
        <v>2</v>
      </c>
      <c r="P74" s="33">
        <f t="shared" si="31"/>
        <v>1</v>
      </c>
      <c r="Q74" s="34">
        <f t="shared" si="32"/>
        <v>0</v>
      </c>
      <c r="R74" s="33">
        <f t="shared" si="33"/>
        <v>1</v>
      </c>
      <c r="S74" s="34">
        <f t="shared" si="41"/>
        <v>8000</v>
      </c>
      <c r="T74" s="34">
        <f t="shared" si="34"/>
        <v>1</v>
      </c>
      <c r="U74" s="34">
        <f t="shared" si="35"/>
        <v>0</v>
      </c>
      <c r="V74" s="34">
        <f t="shared" si="36"/>
        <v>1</v>
      </c>
      <c r="W74" s="34" t="str">
        <f t="shared" si="37"/>
        <v>BKN</v>
      </c>
      <c r="X74" s="34">
        <f t="shared" si="38"/>
        <v>1</v>
      </c>
      <c r="Y74" s="34">
        <f t="shared" ref="Y74:Y76" si="42">IF(ISNUMBER(VALUE(FIND("CAVOK",L74))),9999,IF(ISNUMBER(VALUE(FIND("NSC",L74))),9999,(MID(L74,(FIND(W74,L74)+4),2))*100))</f>
        <v>900</v>
      </c>
      <c r="Z74" s="34">
        <f t="shared" ref="Z74:Z76" si="43">IF(AND(Y74&lt;1001,ABS(K74-Y74)&lt;101),1,IF(AND(Y74&gt;1000,ABS(Y74-K74)/K74&lt;0.30005),1,0))</f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29" t="s">
        <v>39</v>
      </c>
      <c r="D75" s="52"/>
      <c r="E75" s="29">
        <v>0</v>
      </c>
      <c r="F75" s="29">
        <v>0</v>
      </c>
      <c r="G75" s="29">
        <v>0</v>
      </c>
      <c r="H75" s="29">
        <v>8000</v>
      </c>
      <c r="I75" s="29">
        <v>0</v>
      </c>
      <c r="J75" s="29" t="s">
        <v>58</v>
      </c>
      <c r="K75" s="29">
        <v>900</v>
      </c>
      <c r="L75" s="1" t="s">
        <v>870</v>
      </c>
      <c r="M75" s="32">
        <f t="shared" si="28"/>
        <v>130</v>
      </c>
      <c r="N75" s="33">
        <f t="shared" si="29"/>
        <v>1</v>
      </c>
      <c r="O75" s="33">
        <f t="shared" si="30"/>
        <v>2</v>
      </c>
      <c r="P75" s="33">
        <f t="shared" si="31"/>
        <v>1</v>
      </c>
      <c r="Q75" s="34">
        <f t="shared" si="32"/>
        <v>0</v>
      </c>
      <c r="R75" s="33">
        <f t="shared" si="33"/>
        <v>1</v>
      </c>
      <c r="S75" s="34">
        <f t="shared" si="41"/>
        <v>8000</v>
      </c>
      <c r="T75" s="34">
        <f t="shared" si="34"/>
        <v>1</v>
      </c>
      <c r="U75" s="34">
        <f t="shared" si="35"/>
        <v>0</v>
      </c>
      <c r="V75" s="34">
        <f t="shared" si="36"/>
        <v>1</v>
      </c>
      <c r="W75" s="34" t="str">
        <f t="shared" si="37"/>
        <v>BKN</v>
      </c>
      <c r="X75" s="34">
        <f t="shared" si="38"/>
        <v>1</v>
      </c>
      <c r="Y75" s="34">
        <f t="shared" si="42"/>
        <v>900</v>
      </c>
      <c r="Z75" s="34">
        <f t="shared" si="43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29" t="s">
        <v>39</v>
      </c>
      <c r="D76" s="52"/>
      <c r="E76" s="29">
        <v>0</v>
      </c>
      <c r="F76" s="29">
        <v>0</v>
      </c>
      <c r="G76" s="29">
        <v>0</v>
      </c>
      <c r="H76" s="29">
        <v>8000</v>
      </c>
      <c r="I76" s="29">
        <v>0</v>
      </c>
      <c r="J76" s="29" t="s">
        <v>58</v>
      </c>
      <c r="K76" s="29">
        <v>900</v>
      </c>
      <c r="L76" s="1" t="s">
        <v>910</v>
      </c>
      <c r="M76" s="32">
        <f t="shared" si="28"/>
        <v>100</v>
      </c>
      <c r="N76" s="33">
        <f t="shared" si="29"/>
        <v>1</v>
      </c>
      <c r="O76" s="33">
        <f t="shared" si="30"/>
        <v>6</v>
      </c>
      <c r="P76" s="33">
        <f t="shared" si="31"/>
        <v>1</v>
      </c>
      <c r="Q76" s="34">
        <f t="shared" si="32"/>
        <v>0</v>
      </c>
      <c r="R76" s="33">
        <f t="shared" si="33"/>
        <v>1</v>
      </c>
      <c r="S76" s="34">
        <f t="shared" si="41"/>
        <v>8000</v>
      </c>
      <c r="T76" s="34">
        <f t="shared" si="34"/>
        <v>1</v>
      </c>
      <c r="U76" s="34">
        <f t="shared" si="35"/>
        <v>0</v>
      </c>
      <c r="V76" s="34">
        <f t="shared" si="36"/>
        <v>1</v>
      </c>
      <c r="W76" s="34" t="str">
        <f t="shared" si="37"/>
        <v>BKN</v>
      </c>
      <c r="X76" s="34">
        <f t="shared" si="38"/>
        <v>1</v>
      </c>
      <c r="Y76" s="34">
        <f t="shared" si="42"/>
        <v>900</v>
      </c>
      <c r="Z76" s="34">
        <f t="shared" si="43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12</v>
      </c>
      <c r="U80" s="25"/>
      <c r="V80" s="25">
        <f>SUM(V64:V76)</f>
        <v>12</v>
      </c>
      <c r="W80" s="25"/>
      <c r="X80" s="25">
        <f>SUM(X64:X76)</f>
        <v>7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12</v>
      </c>
      <c r="O81" s="25"/>
      <c r="P81" s="25">
        <f>SUMIF($C64:$C76,"GENERAL",P64:P76)</f>
        <v>12</v>
      </c>
      <c r="Q81" s="25"/>
      <c r="R81" s="25">
        <f>SUMIF($C64:$C76,"GENERAL",R64:R76)</f>
        <v>12</v>
      </c>
      <c r="S81" s="25"/>
      <c r="T81" s="25">
        <f>SUMIF($C64:$C76,"GENERAL",T64:T76)</f>
        <v>12</v>
      </c>
      <c r="U81" s="25"/>
      <c r="V81" s="25">
        <f>SUMIF($C64:$C76,"GENERAL",V64:V76)</f>
        <v>12</v>
      </c>
      <c r="W81" s="25"/>
      <c r="X81" s="25">
        <f>SUMIF($C64:$C76,"GENERAL",X64:X76)</f>
        <v>7</v>
      </c>
      <c r="Y81" s="25"/>
      <c r="Z81" s="25">
        <f>SUMIF($C64:$C76,"GENERAL",Z64:Z76)</f>
        <v>12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0</v>
      </c>
      <c r="M84" s="42">
        <f>SUMIF($C64:$C76,"TEMPO",N64:N76)</f>
        <v>0</v>
      </c>
      <c r="N84" s="42">
        <f>M84</f>
        <v>0</v>
      </c>
      <c r="O84" s="42">
        <f>SUMIF($C64:$C76,"TEMPO",P64:P76)</f>
        <v>0</v>
      </c>
      <c r="P84" s="42">
        <f>O84</f>
        <v>0</v>
      </c>
      <c r="Q84" s="42">
        <f>SUMIF($C64:$C76,"TEMPO",R64:R76)</f>
        <v>0</v>
      </c>
      <c r="R84" s="42">
        <f>Q84</f>
        <v>0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0</v>
      </c>
      <c r="Z84" s="42">
        <f>Y84</f>
        <v>0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100</v>
      </c>
      <c r="U85" s="38"/>
      <c r="V85" s="38">
        <f>(SUM(V81:V84)/COUNTA(V64:V76))*100</f>
        <v>100</v>
      </c>
      <c r="W85" s="38"/>
      <c r="X85" s="38">
        <f>(SUM(X81:X84)/COUNTA(X64:X76))*100</f>
        <v>58.333333333333336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 ht="20.25">
      <c r="A87" s="25"/>
      <c r="B87" s="25"/>
      <c r="C87" s="25"/>
      <c r="D87" s="56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853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29</v>
      </c>
      <c r="B93" s="50">
        <v>0.75</v>
      </c>
      <c r="C93" s="29" t="s">
        <v>39</v>
      </c>
      <c r="D93" s="52"/>
      <c r="E93" s="29">
        <v>0</v>
      </c>
      <c r="F93" s="29">
        <v>0</v>
      </c>
      <c r="G93" s="29">
        <v>0</v>
      </c>
      <c r="H93" s="29">
        <v>8000</v>
      </c>
      <c r="I93" s="29">
        <v>0</v>
      </c>
      <c r="J93" s="29" t="s">
        <v>58</v>
      </c>
      <c r="K93" s="29">
        <v>800</v>
      </c>
      <c r="L93" s="1" t="s">
        <v>866</v>
      </c>
      <c r="M93" s="32">
        <f t="shared" ref="M93:M104" si="44">IF(ISNUMBER(VALUE(FIND("VRB",L93))),999,VALUE(MID(L93,20,3)))</f>
        <v>160</v>
      </c>
      <c r="N93" s="33">
        <f t="shared" ref="N93:N104" si="45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104" si="46">VALUE(MID(L93,23,2))</f>
        <v>2</v>
      </c>
      <c r="P93" s="33">
        <f t="shared" ref="P93:P104" si="47">IF(ABS(O93-F93)&lt;11,1,0)</f>
        <v>1</v>
      </c>
      <c r="Q93" s="34">
        <f t="shared" ref="Q93:Q104" si="48">IF(MID(L93,25,1)="G","GUST",0)</f>
        <v>0</v>
      </c>
      <c r="R93" s="33">
        <f t="shared" ref="R93:R104" si="49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8000</v>
      </c>
      <c r="T93" s="34">
        <f t="shared" ref="T93:T104" si="50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104" si="51">IF(AND(IFERROR(FIND("RA",L93),0)&gt;0, IFERROR(FIND("RA",L93),0)&lt;38),"RA",0)</f>
        <v>0</v>
      </c>
      <c r="V93" s="34">
        <f t="shared" ref="V93:V104" si="52">IF(U93=I93,1,0)</f>
        <v>1</v>
      </c>
      <c r="W93" s="34" t="str">
        <f t="shared" ref="W93:W104" si="53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104" si="54">IF(OR(AND(OR(J93="SKC",J93="FEW",J93="SCT"),OR(W93="SKC",W93="FEW",W93="SCT")),(AND(OR(J93="BKN",J93="OVC"),OR(W93="BKN",W93="OVC")))),1,0)</f>
        <v>1</v>
      </c>
      <c r="Y93" s="34">
        <f t="shared" ref="Y93:Y104" si="55">IF(ISNUMBER(VALUE(FIND("CAVOK",L93))),9999,IF(ISNUMBER(VALUE(FIND("NSC",L93))),9999,(MID(L93,(FIND(W93,L93)+4),2))*100))</f>
        <v>900</v>
      </c>
      <c r="Z93" s="34">
        <f t="shared" ref="Z93:Z104" si="56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29" t="s">
        <v>39</v>
      </c>
      <c r="D94" s="52"/>
      <c r="E94" s="29">
        <v>0</v>
      </c>
      <c r="F94" s="29">
        <v>0</v>
      </c>
      <c r="G94" s="29">
        <v>0</v>
      </c>
      <c r="H94" s="29">
        <v>8000</v>
      </c>
      <c r="I94" s="29">
        <v>0</v>
      </c>
      <c r="J94" s="29" t="s">
        <v>58</v>
      </c>
      <c r="K94" s="29">
        <v>800</v>
      </c>
      <c r="L94" s="1" t="s">
        <v>867</v>
      </c>
      <c r="M94" s="32">
        <f t="shared" si="44"/>
        <v>0</v>
      </c>
      <c r="N94" s="33">
        <f t="shared" si="45"/>
        <v>1</v>
      </c>
      <c r="O94" s="33">
        <f t="shared" si="46"/>
        <v>0</v>
      </c>
      <c r="P94" s="33">
        <f t="shared" si="47"/>
        <v>1</v>
      </c>
      <c r="Q94" s="34">
        <f t="shared" si="48"/>
        <v>0</v>
      </c>
      <c r="R94" s="33">
        <f t="shared" si="49"/>
        <v>1</v>
      </c>
      <c r="S94" s="34">
        <f t="shared" ref="S94:S104" si="57">IF(ISNUMBER(VALUE(MID(L94,(FIND("KT",L94,FIND("Z",L94))+3),4))),VALUE(MID(L94,(FIND("KT",L94,FIND("Z",L94))+3),4)),IF(ISNUMBER(VALUE(MID(L94,(FIND("0V",L94)+6),4))),VALUE(MID(L94,(FIND("0V",L94)+6),4)),9999))</f>
        <v>8000</v>
      </c>
      <c r="T94" s="34">
        <f t="shared" si="50"/>
        <v>1</v>
      </c>
      <c r="U94" s="34">
        <f t="shared" si="51"/>
        <v>0</v>
      </c>
      <c r="V94" s="34">
        <f t="shared" si="52"/>
        <v>1</v>
      </c>
      <c r="W94" s="34" t="str">
        <f t="shared" si="53"/>
        <v>BKN</v>
      </c>
      <c r="X94" s="34">
        <f t="shared" si="54"/>
        <v>1</v>
      </c>
      <c r="Y94" s="34">
        <f t="shared" si="55"/>
        <v>900</v>
      </c>
      <c r="Z94" s="34">
        <f t="shared" si="56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29" t="s">
        <v>39</v>
      </c>
      <c r="D95" s="52"/>
      <c r="E95" s="29">
        <v>0</v>
      </c>
      <c r="F95" s="29">
        <v>0</v>
      </c>
      <c r="G95" s="29">
        <v>0</v>
      </c>
      <c r="H95" s="29">
        <v>8000</v>
      </c>
      <c r="I95" s="29">
        <v>0</v>
      </c>
      <c r="J95" s="29" t="s">
        <v>58</v>
      </c>
      <c r="K95" s="29">
        <v>800</v>
      </c>
      <c r="L95" s="1" t="s">
        <v>868</v>
      </c>
      <c r="M95" s="32">
        <f t="shared" si="44"/>
        <v>100</v>
      </c>
      <c r="N95" s="33">
        <f t="shared" si="45"/>
        <v>1</v>
      </c>
      <c r="O95" s="33">
        <f t="shared" si="46"/>
        <v>3</v>
      </c>
      <c r="P95" s="33">
        <f t="shared" si="47"/>
        <v>1</v>
      </c>
      <c r="Q95" s="34">
        <f t="shared" si="48"/>
        <v>0</v>
      </c>
      <c r="R95" s="33">
        <f t="shared" si="49"/>
        <v>1</v>
      </c>
      <c r="S95" s="34">
        <f t="shared" si="57"/>
        <v>8000</v>
      </c>
      <c r="T95" s="34">
        <f t="shared" si="50"/>
        <v>1</v>
      </c>
      <c r="U95" s="34">
        <f t="shared" si="51"/>
        <v>0</v>
      </c>
      <c r="V95" s="34">
        <f t="shared" si="52"/>
        <v>1</v>
      </c>
      <c r="W95" s="34" t="str">
        <f t="shared" si="53"/>
        <v>BKN</v>
      </c>
      <c r="X95" s="34">
        <f t="shared" si="54"/>
        <v>1</v>
      </c>
      <c r="Y95" s="34">
        <f t="shared" si="55"/>
        <v>900</v>
      </c>
      <c r="Z95" s="34">
        <f t="shared" si="56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29" t="s">
        <v>39</v>
      </c>
      <c r="D96" s="52"/>
      <c r="E96" s="29">
        <v>0</v>
      </c>
      <c r="F96" s="29">
        <v>0</v>
      </c>
      <c r="G96" s="29">
        <v>0</v>
      </c>
      <c r="H96" s="29">
        <v>8000</v>
      </c>
      <c r="I96" s="29">
        <v>0</v>
      </c>
      <c r="J96" s="29" t="s">
        <v>58</v>
      </c>
      <c r="K96" s="29">
        <v>800</v>
      </c>
      <c r="L96" s="1" t="s">
        <v>869</v>
      </c>
      <c r="M96" s="32">
        <f t="shared" si="44"/>
        <v>120</v>
      </c>
      <c r="N96" s="33">
        <f t="shared" si="45"/>
        <v>1</v>
      </c>
      <c r="O96" s="33">
        <f t="shared" si="46"/>
        <v>2</v>
      </c>
      <c r="P96" s="33">
        <f t="shared" si="47"/>
        <v>1</v>
      </c>
      <c r="Q96" s="34">
        <f t="shared" si="48"/>
        <v>0</v>
      </c>
      <c r="R96" s="33">
        <f t="shared" si="49"/>
        <v>1</v>
      </c>
      <c r="S96" s="34">
        <f t="shared" si="57"/>
        <v>8000</v>
      </c>
      <c r="T96" s="34">
        <f t="shared" si="50"/>
        <v>1</v>
      </c>
      <c r="U96" s="34">
        <f t="shared" si="51"/>
        <v>0</v>
      </c>
      <c r="V96" s="34">
        <f t="shared" si="52"/>
        <v>1</v>
      </c>
      <c r="W96" s="34" t="str">
        <f t="shared" si="53"/>
        <v>BKN</v>
      </c>
      <c r="X96" s="34">
        <f t="shared" si="54"/>
        <v>1</v>
      </c>
      <c r="Y96" s="34">
        <f t="shared" si="55"/>
        <v>900</v>
      </c>
      <c r="Z96" s="34">
        <f t="shared" si="56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29" t="s">
        <v>39</v>
      </c>
      <c r="D97" s="52"/>
      <c r="E97" s="29">
        <v>0</v>
      </c>
      <c r="F97" s="29">
        <v>0</v>
      </c>
      <c r="G97" s="29">
        <v>0</v>
      </c>
      <c r="H97" s="29">
        <v>8000</v>
      </c>
      <c r="I97" s="29">
        <v>0</v>
      </c>
      <c r="J97" s="29" t="s">
        <v>58</v>
      </c>
      <c r="K97" s="29">
        <v>800</v>
      </c>
      <c r="L97" s="1" t="s">
        <v>870</v>
      </c>
      <c r="M97" s="32">
        <f t="shared" si="44"/>
        <v>130</v>
      </c>
      <c r="N97" s="33">
        <f t="shared" si="45"/>
        <v>1</v>
      </c>
      <c r="O97" s="33">
        <f t="shared" si="46"/>
        <v>2</v>
      </c>
      <c r="P97" s="33">
        <f t="shared" si="47"/>
        <v>1</v>
      </c>
      <c r="Q97" s="34">
        <f t="shared" si="48"/>
        <v>0</v>
      </c>
      <c r="R97" s="33">
        <f t="shared" si="49"/>
        <v>1</v>
      </c>
      <c r="S97" s="34">
        <f t="shared" si="57"/>
        <v>8000</v>
      </c>
      <c r="T97" s="34">
        <f t="shared" si="50"/>
        <v>1</v>
      </c>
      <c r="U97" s="34">
        <f t="shared" si="51"/>
        <v>0</v>
      </c>
      <c r="V97" s="34">
        <f t="shared" si="52"/>
        <v>1</v>
      </c>
      <c r="W97" s="34" t="str">
        <f t="shared" si="53"/>
        <v>BKN</v>
      </c>
      <c r="X97" s="34">
        <f t="shared" si="54"/>
        <v>1</v>
      </c>
      <c r="Y97" s="34">
        <f t="shared" si="55"/>
        <v>900</v>
      </c>
      <c r="Z97" s="34">
        <f t="shared" si="56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29" t="s">
        <v>39</v>
      </c>
      <c r="D98" s="52"/>
      <c r="E98" s="29">
        <v>0</v>
      </c>
      <c r="F98" s="29">
        <v>0</v>
      </c>
      <c r="G98" s="29">
        <v>0</v>
      </c>
      <c r="H98" s="29">
        <v>8000</v>
      </c>
      <c r="I98" s="29">
        <v>0</v>
      </c>
      <c r="J98" s="29" t="s">
        <v>58</v>
      </c>
      <c r="K98" s="29">
        <v>800</v>
      </c>
      <c r="L98" s="1" t="s">
        <v>878</v>
      </c>
      <c r="M98" s="32">
        <f t="shared" si="44"/>
        <v>100</v>
      </c>
      <c r="N98" s="33">
        <f t="shared" si="45"/>
        <v>1</v>
      </c>
      <c r="O98" s="33">
        <f t="shared" si="46"/>
        <v>6</v>
      </c>
      <c r="P98" s="33">
        <f t="shared" si="47"/>
        <v>1</v>
      </c>
      <c r="Q98" s="34">
        <f t="shared" si="48"/>
        <v>0</v>
      </c>
      <c r="R98" s="33">
        <f t="shared" si="49"/>
        <v>1</v>
      </c>
      <c r="S98" s="34">
        <f t="shared" si="57"/>
        <v>8000</v>
      </c>
      <c r="T98" s="34">
        <f t="shared" si="50"/>
        <v>1</v>
      </c>
      <c r="U98" s="34">
        <f t="shared" si="51"/>
        <v>0</v>
      </c>
      <c r="V98" s="34">
        <f t="shared" si="52"/>
        <v>1</v>
      </c>
      <c r="W98" s="34" t="str">
        <f t="shared" si="53"/>
        <v>BKN</v>
      </c>
      <c r="X98" s="34">
        <f t="shared" si="54"/>
        <v>1</v>
      </c>
      <c r="Y98" s="34">
        <f t="shared" si="55"/>
        <v>800</v>
      </c>
      <c r="Z98" s="34">
        <f t="shared" si="56"/>
        <v>1</v>
      </c>
      <c r="AA98" s="25"/>
      <c r="AB98" s="25"/>
      <c r="AC98" s="25"/>
      <c r="AD98" s="25"/>
      <c r="AE98" s="25"/>
    </row>
    <row r="99" spans="1:31" ht="16.5">
      <c r="A99" s="55">
        <v>30</v>
      </c>
      <c r="B99" s="54">
        <v>0</v>
      </c>
      <c r="C99" s="29" t="s">
        <v>39</v>
      </c>
      <c r="D99" s="52"/>
      <c r="E99" s="29">
        <v>0</v>
      </c>
      <c r="F99" s="29">
        <v>0</v>
      </c>
      <c r="G99" s="29">
        <v>0</v>
      </c>
      <c r="H99" s="29">
        <v>8000</v>
      </c>
      <c r="I99" s="29">
        <v>0</v>
      </c>
      <c r="J99" s="29" t="s">
        <v>58</v>
      </c>
      <c r="K99" s="29">
        <v>800</v>
      </c>
      <c r="L99" s="1" t="s">
        <v>871</v>
      </c>
      <c r="M99" s="32">
        <f t="shared" si="44"/>
        <v>140</v>
      </c>
      <c r="N99" s="33">
        <f t="shared" si="45"/>
        <v>1</v>
      </c>
      <c r="O99" s="33">
        <f t="shared" si="46"/>
        <v>4</v>
      </c>
      <c r="P99" s="33">
        <f t="shared" si="47"/>
        <v>1</v>
      </c>
      <c r="Q99" s="34">
        <f t="shared" si="48"/>
        <v>0</v>
      </c>
      <c r="R99" s="33">
        <f t="shared" si="49"/>
        <v>1</v>
      </c>
      <c r="S99" s="34">
        <f t="shared" si="57"/>
        <v>8000</v>
      </c>
      <c r="T99" s="34">
        <f t="shared" si="50"/>
        <v>1</v>
      </c>
      <c r="U99" s="34">
        <f t="shared" si="51"/>
        <v>0</v>
      </c>
      <c r="V99" s="34">
        <f t="shared" si="52"/>
        <v>1</v>
      </c>
      <c r="W99" s="34" t="str">
        <f t="shared" si="53"/>
        <v>BKN</v>
      </c>
      <c r="X99" s="34">
        <f t="shared" si="54"/>
        <v>1</v>
      </c>
      <c r="Y99" s="34">
        <f t="shared" si="55"/>
        <v>800</v>
      </c>
      <c r="Z99" s="34">
        <f t="shared" si="56"/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29" t="s">
        <v>34</v>
      </c>
      <c r="D100" s="52"/>
      <c r="E100" s="29">
        <v>110</v>
      </c>
      <c r="F100" s="29">
        <v>3</v>
      </c>
      <c r="G100" s="29">
        <v>0</v>
      </c>
      <c r="H100" s="29">
        <v>8000</v>
      </c>
      <c r="I100" s="29">
        <v>0</v>
      </c>
      <c r="J100" s="29" t="s">
        <v>58</v>
      </c>
      <c r="K100" s="29">
        <v>900</v>
      </c>
      <c r="L100" s="1" t="s">
        <v>872</v>
      </c>
      <c r="M100" s="32">
        <f t="shared" si="44"/>
        <v>130</v>
      </c>
      <c r="N100" s="33">
        <f t="shared" si="45"/>
        <v>1</v>
      </c>
      <c r="O100" s="33">
        <f t="shared" si="46"/>
        <v>4</v>
      </c>
      <c r="P100" s="33">
        <f t="shared" si="47"/>
        <v>1</v>
      </c>
      <c r="Q100" s="34">
        <f t="shared" si="48"/>
        <v>0</v>
      </c>
      <c r="R100" s="33">
        <f t="shared" si="49"/>
        <v>1</v>
      </c>
      <c r="S100" s="34">
        <f t="shared" si="57"/>
        <v>8000</v>
      </c>
      <c r="T100" s="34">
        <f t="shared" si="50"/>
        <v>1</v>
      </c>
      <c r="U100" s="34">
        <f t="shared" si="51"/>
        <v>0</v>
      </c>
      <c r="V100" s="34">
        <f t="shared" si="52"/>
        <v>1</v>
      </c>
      <c r="W100" s="34" t="str">
        <f t="shared" si="53"/>
        <v>BKN</v>
      </c>
      <c r="X100" s="34">
        <f t="shared" si="54"/>
        <v>1</v>
      </c>
      <c r="Y100" s="34">
        <f t="shared" si="55"/>
        <v>900</v>
      </c>
      <c r="Z100" s="34">
        <f t="shared" si="56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29" t="s">
        <v>34</v>
      </c>
      <c r="D101" s="52"/>
      <c r="E101" s="29">
        <v>110</v>
      </c>
      <c r="F101" s="29">
        <v>3</v>
      </c>
      <c r="G101" s="29">
        <v>0</v>
      </c>
      <c r="H101" s="29">
        <v>8000</v>
      </c>
      <c r="I101" s="29">
        <v>0</v>
      </c>
      <c r="J101" s="29" t="s">
        <v>58</v>
      </c>
      <c r="K101" s="29">
        <v>900</v>
      </c>
      <c r="L101" s="1" t="s">
        <v>873</v>
      </c>
      <c r="M101" s="32">
        <f t="shared" si="44"/>
        <v>90</v>
      </c>
      <c r="N101" s="33">
        <f t="shared" si="45"/>
        <v>1</v>
      </c>
      <c r="O101" s="33">
        <f t="shared" si="46"/>
        <v>5</v>
      </c>
      <c r="P101" s="33">
        <f t="shared" si="47"/>
        <v>1</v>
      </c>
      <c r="Q101" s="34">
        <f t="shared" si="48"/>
        <v>0</v>
      </c>
      <c r="R101" s="33">
        <f t="shared" si="49"/>
        <v>1</v>
      </c>
      <c r="S101" s="34">
        <f t="shared" si="57"/>
        <v>8000</v>
      </c>
      <c r="T101" s="34">
        <f t="shared" si="50"/>
        <v>1</v>
      </c>
      <c r="U101" s="34">
        <f t="shared" si="51"/>
        <v>0</v>
      </c>
      <c r="V101" s="34">
        <f t="shared" si="52"/>
        <v>1</v>
      </c>
      <c r="W101" s="34" t="str">
        <f t="shared" si="53"/>
        <v>SCT</v>
      </c>
      <c r="X101" s="34">
        <f t="shared" si="54"/>
        <v>0</v>
      </c>
      <c r="Y101" s="34">
        <f t="shared" si="55"/>
        <v>900</v>
      </c>
      <c r="Z101" s="34">
        <f t="shared" si="56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29" t="s">
        <v>34</v>
      </c>
      <c r="D102" s="52"/>
      <c r="E102" s="29">
        <v>110</v>
      </c>
      <c r="F102" s="29">
        <v>3</v>
      </c>
      <c r="G102" s="29">
        <v>0</v>
      </c>
      <c r="H102" s="29">
        <v>8000</v>
      </c>
      <c r="I102" s="29">
        <v>0</v>
      </c>
      <c r="J102" s="29" t="s">
        <v>58</v>
      </c>
      <c r="K102" s="29">
        <v>900</v>
      </c>
      <c r="L102" s="1" t="s">
        <v>874</v>
      </c>
      <c r="M102" s="32">
        <f t="shared" si="44"/>
        <v>130</v>
      </c>
      <c r="N102" s="33">
        <f t="shared" si="45"/>
        <v>1</v>
      </c>
      <c r="O102" s="33">
        <f t="shared" si="46"/>
        <v>4</v>
      </c>
      <c r="P102" s="33">
        <f t="shared" si="47"/>
        <v>1</v>
      </c>
      <c r="Q102" s="34">
        <f t="shared" si="48"/>
        <v>0</v>
      </c>
      <c r="R102" s="33">
        <f t="shared" si="49"/>
        <v>1</v>
      </c>
      <c r="S102" s="34">
        <f t="shared" si="57"/>
        <v>8000</v>
      </c>
      <c r="T102" s="34">
        <f t="shared" si="50"/>
        <v>1</v>
      </c>
      <c r="U102" s="34">
        <f t="shared" si="51"/>
        <v>0</v>
      </c>
      <c r="V102" s="34">
        <f t="shared" si="52"/>
        <v>1</v>
      </c>
      <c r="W102" s="34" t="str">
        <f t="shared" si="53"/>
        <v>SCT</v>
      </c>
      <c r="X102" s="34">
        <f t="shared" si="54"/>
        <v>0</v>
      </c>
      <c r="Y102" s="34">
        <f t="shared" si="55"/>
        <v>900</v>
      </c>
      <c r="Z102" s="34">
        <f t="shared" si="56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29" t="s">
        <v>34</v>
      </c>
      <c r="D103" s="52"/>
      <c r="E103" s="29">
        <v>110</v>
      </c>
      <c r="F103" s="29">
        <v>3</v>
      </c>
      <c r="G103" s="29">
        <v>0</v>
      </c>
      <c r="H103" s="29">
        <v>8000</v>
      </c>
      <c r="I103" s="29">
        <v>0</v>
      </c>
      <c r="J103" s="29" t="s">
        <v>58</v>
      </c>
      <c r="K103" s="29">
        <v>900</v>
      </c>
      <c r="L103" s="1" t="s">
        <v>875</v>
      </c>
      <c r="M103" s="32">
        <f t="shared" si="44"/>
        <v>100</v>
      </c>
      <c r="N103" s="33">
        <f t="shared" si="45"/>
        <v>1</v>
      </c>
      <c r="O103" s="33">
        <f t="shared" si="46"/>
        <v>3</v>
      </c>
      <c r="P103" s="33">
        <f t="shared" si="47"/>
        <v>1</v>
      </c>
      <c r="Q103" s="34">
        <f t="shared" si="48"/>
        <v>0</v>
      </c>
      <c r="R103" s="33">
        <f t="shared" si="49"/>
        <v>1</v>
      </c>
      <c r="S103" s="34">
        <f t="shared" si="57"/>
        <v>8000</v>
      </c>
      <c r="T103" s="34">
        <f t="shared" si="50"/>
        <v>1</v>
      </c>
      <c r="U103" s="34">
        <f t="shared" si="51"/>
        <v>0</v>
      </c>
      <c r="V103" s="34">
        <f t="shared" si="52"/>
        <v>1</v>
      </c>
      <c r="W103" s="34" t="str">
        <f t="shared" si="53"/>
        <v>BKN</v>
      </c>
      <c r="X103" s="34">
        <f t="shared" si="54"/>
        <v>1</v>
      </c>
      <c r="Y103" s="34">
        <f t="shared" si="55"/>
        <v>800</v>
      </c>
      <c r="Z103" s="34">
        <f t="shared" si="56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29" t="s">
        <v>34</v>
      </c>
      <c r="D104" s="52"/>
      <c r="E104" s="29">
        <v>110</v>
      </c>
      <c r="F104" s="29">
        <v>3</v>
      </c>
      <c r="G104" s="29">
        <v>0</v>
      </c>
      <c r="H104" s="29">
        <v>8000</v>
      </c>
      <c r="I104" s="29">
        <v>0</v>
      </c>
      <c r="J104" s="29" t="s">
        <v>58</v>
      </c>
      <c r="K104" s="29">
        <v>900</v>
      </c>
      <c r="L104" s="1" t="s">
        <v>876</v>
      </c>
      <c r="M104" s="32">
        <f t="shared" si="44"/>
        <v>120</v>
      </c>
      <c r="N104" s="33">
        <f t="shared" si="45"/>
        <v>1</v>
      </c>
      <c r="O104" s="33">
        <f t="shared" si="46"/>
        <v>4</v>
      </c>
      <c r="P104" s="33">
        <f t="shared" si="47"/>
        <v>1</v>
      </c>
      <c r="Q104" s="34">
        <f t="shared" si="48"/>
        <v>0</v>
      </c>
      <c r="R104" s="33">
        <f t="shared" si="49"/>
        <v>1</v>
      </c>
      <c r="S104" s="34">
        <f t="shared" si="57"/>
        <v>8000</v>
      </c>
      <c r="T104" s="34">
        <f t="shared" si="50"/>
        <v>1</v>
      </c>
      <c r="U104" s="34">
        <f t="shared" si="51"/>
        <v>0</v>
      </c>
      <c r="V104" s="34">
        <f t="shared" si="52"/>
        <v>1</v>
      </c>
      <c r="W104" s="34" t="str">
        <f t="shared" si="53"/>
        <v>BKN</v>
      </c>
      <c r="X104" s="34">
        <f t="shared" si="54"/>
        <v>1</v>
      </c>
      <c r="Y104" s="34">
        <f t="shared" si="55"/>
        <v>900</v>
      </c>
      <c r="Z104" s="34">
        <f t="shared" si="56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10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7</v>
      </c>
      <c r="O110" s="25"/>
      <c r="P110" s="25">
        <f>SUMIF($C93:$C104,"GENERAL",P93:P104)</f>
        <v>7</v>
      </c>
      <c r="Q110" s="25"/>
      <c r="R110" s="25">
        <f>SUMIF($C93:$C104,"GENERAL",R93:R104)</f>
        <v>7</v>
      </c>
      <c r="S110" s="25"/>
      <c r="T110" s="25">
        <f>SUMIF($C93:$C104,"GENERAL",T93:T104)</f>
        <v>7</v>
      </c>
      <c r="U110" s="25"/>
      <c r="V110" s="25">
        <f>SUMIF($C93:$C104,"GENERAL",V93:V104)</f>
        <v>7</v>
      </c>
      <c r="W110" s="25"/>
      <c r="X110" s="25">
        <f>SUMIF($C93:$C104,"GENERAL",X93:X104)</f>
        <v>7</v>
      </c>
      <c r="Y110" s="25"/>
      <c r="Z110" s="25">
        <f>SUMIF($C93:$C104,"GENERAL",Z93:Z104)</f>
        <v>7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5</v>
      </c>
      <c r="O111" s="25"/>
      <c r="P111" s="25">
        <f>SUMIF($C93:$C104,"BECMG",P93:P104)</f>
        <v>5</v>
      </c>
      <c r="Q111" s="25"/>
      <c r="R111" s="25">
        <f>SUMIF($C93:$C104,"BECMG",R93:R104)</f>
        <v>5</v>
      </c>
      <c r="S111" s="25"/>
      <c r="T111" s="25">
        <f>SUMIF($C93:$C104,"BECMG",T93:T104)</f>
        <v>5</v>
      </c>
      <c r="U111" s="25"/>
      <c r="V111" s="25">
        <f>SUMIF($C93:$C104,"BECMG",V93:V104)</f>
        <v>5</v>
      </c>
      <c r="W111" s="25"/>
      <c r="X111" s="25">
        <f>SUMIF($C93:$C104,"BECMG",X93:X104)</f>
        <v>3</v>
      </c>
      <c r="Y111" s="25"/>
      <c r="Z111" s="25">
        <f>SUMIF($C93:$C104,"BECMG",Z93:Z104)</f>
        <v>5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83.333333333333343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3601-3874-944E-84E1-BAAD5A6797B0}">
  <sheetPr>
    <tabColor theme="0"/>
  </sheetPr>
  <dimension ref="A1:AE115"/>
  <sheetViews>
    <sheetView topLeftCell="A88" zoomScale="85" zoomScaleNormal="85" workbookViewId="0">
      <selection activeCell="L66" sqref="L66"/>
    </sheetView>
  </sheetViews>
  <sheetFormatPr defaultColWidth="11.5" defaultRowHeight="15.75"/>
  <cols>
    <col min="12" max="12" width="34.625" customWidth="1"/>
  </cols>
  <sheetData>
    <row r="1" spans="1:31">
      <c r="A1" s="22"/>
      <c r="B1" s="23"/>
      <c r="C1" s="24"/>
      <c r="D1" s="24"/>
      <c r="E1" s="24"/>
      <c r="F1" s="24"/>
      <c r="G1" s="24"/>
      <c r="H1" s="24"/>
      <c r="I1" s="24"/>
      <c r="J1" s="24"/>
      <c r="K1" s="24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4"/>
      <c r="Y1" s="24"/>
      <c r="Z1" s="25"/>
      <c r="AA1" s="25"/>
      <c r="AB1" s="25"/>
      <c r="AC1" s="25"/>
      <c r="AD1" s="25"/>
      <c r="AE1" s="25"/>
    </row>
    <row r="2" spans="1:31">
      <c r="A2" s="24"/>
      <c r="B2" s="24"/>
      <c r="C2" s="24"/>
      <c r="D2" s="24"/>
      <c r="E2" s="24"/>
      <c r="F2" s="24"/>
      <c r="G2" s="24"/>
      <c r="H2" s="24"/>
      <c r="I2" s="24"/>
      <c r="J2" s="24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4"/>
      <c r="Y2" s="22"/>
      <c r="Z2" s="25"/>
      <c r="AA2" s="25"/>
      <c r="AB2" s="25"/>
      <c r="AC2" s="25"/>
      <c r="AD2" s="25"/>
      <c r="AE2" s="25"/>
    </row>
    <row r="3" spans="1:31">
      <c r="A3" s="24" t="s">
        <v>136</v>
      </c>
      <c r="B3" s="23"/>
      <c r="C3" s="24"/>
      <c r="D3" s="24" t="s">
        <v>41</v>
      </c>
      <c r="E3" s="24"/>
      <c r="F3" s="24"/>
      <c r="G3" s="24"/>
      <c r="H3" s="24" t="s">
        <v>15</v>
      </c>
      <c r="I3" s="24"/>
      <c r="J3" s="24"/>
      <c r="K3" s="24"/>
      <c r="L3" s="24"/>
      <c r="M3" s="24"/>
      <c r="N3" s="24"/>
      <c r="O3" s="24" t="s">
        <v>42</v>
      </c>
      <c r="P3" s="24"/>
      <c r="Q3" s="24"/>
      <c r="R3" s="24"/>
      <c r="S3" s="24"/>
      <c r="T3" s="24"/>
      <c r="U3" s="24"/>
      <c r="V3" s="24"/>
      <c r="W3" s="24"/>
      <c r="X3" s="24"/>
      <c r="Y3" s="24" t="s">
        <v>16</v>
      </c>
      <c r="Z3" s="24"/>
      <c r="AA3" s="24"/>
      <c r="AB3" s="25"/>
      <c r="AC3" s="25"/>
      <c r="AD3" s="25"/>
      <c r="AE3" s="25"/>
    </row>
    <row r="4" spans="1:31" ht="36.950000000000003" customHeight="1">
      <c r="A4" s="73" t="s">
        <v>17</v>
      </c>
      <c r="B4" s="73" t="s">
        <v>18</v>
      </c>
      <c r="C4" s="26" t="s">
        <v>19</v>
      </c>
      <c r="D4" s="76" t="s">
        <v>854</v>
      </c>
      <c r="E4" s="77"/>
      <c r="F4" s="77"/>
      <c r="G4" s="77"/>
      <c r="H4" s="77"/>
      <c r="I4" s="77"/>
      <c r="J4" s="77"/>
      <c r="K4" s="78"/>
      <c r="L4" s="79" t="s">
        <v>20</v>
      </c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1"/>
      <c r="AA4" s="25"/>
      <c r="AB4" s="25"/>
      <c r="AC4" s="25"/>
      <c r="AD4" s="25"/>
      <c r="AE4" s="25"/>
    </row>
    <row r="5" spans="1:31" ht="27" customHeight="1">
      <c r="A5" s="75"/>
      <c r="B5" s="75"/>
      <c r="C5" s="73" t="s">
        <v>21</v>
      </c>
      <c r="D5" s="73" t="s">
        <v>22</v>
      </c>
      <c r="E5" s="73" t="s">
        <v>23</v>
      </c>
      <c r="F5" s="73" t="s">
        <v>24</v>
      </c>
      <c r="G5" s="73" t="s">
        <v>25</v>
      </c>
      <c r="H5" s="73" t="s">
        <v>26</v>
      </c>
      <c r="I5" s="73" t="s">
        <v>27</v>
      </c>
      <c r="J5" s="73" t="s">
        <v>28</v>
      </c>
      <c r="K5" s="73" t="s">
        <v>29</v>
      </c>
      <c r="L5" s="71" t="s">
        <v>30</v>
      </c>
      <c r="M5" s="71" t="s">
        <v>23</v>
      </c>
      <c r="N5" s="71" t="s">
        <v>31</v>
      </c>
      <c r="O5" s="71" t="s">
        <v>24</v>
      </c>
      <c r="P5" s="71" t="s">
        <v>31</v>
      </c>
      <c r="Q5" s="71" t="s">
        <v>25</v>
      </c>
      <c r="R5" s="71" t="s">
        <v>31</v>
      </c>
      <c r="S5" s="71" t="s">
        <v>26</v>
      </c>
      <c r="T5" s="71" t="s">
        <v>31</v>
      </c>
      <c r="U5" s="71" t="s">
        <v>27</v>
      </c>
      <c r="V5" s="71" t="s">
        <v>31</v>
      </c>
      <c r="W5" s="71" t="s">
        <v>28</v>
      </c>
      <c r="X5" s="71" t="s">
        <v>31</v>
      </c>
      <c r="Y5" s="71" t="s">
        <v>29</v>
      </c>
      <c r="Z5" s="71" t="s">
        <v>31</v>
      </c>
      <c r="AA5" s="25"/>
      <c r="AB5" s="25"/>
      <c r="AC5" s="25"/>
      <c r="AD5" s="25"/>
      <c r="AE5" s="25"/>
    </row>
    <row r="6" spans="1:3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5"/>
      <c r="AB6" s="25"/>
      <c r="AC6" s="25"/>
      <c r="AD6" s="25"/>
      <c r="AE6" s="25"/>
    </row>
    <row r="7" spans="1:31" ht="16.5">
      <c r="A7" s="27">
        <v>30</v>
      </c>
      <c r="B7" s="28">
        <v>0</v>
      </c>
      <c r="C7" s="29" t="s">
        <v>39</v>
      </c>
      <c r="D7" s="52"/>
      <c r="E7" s="29">
        <v>110</v>
      </c>
      <c r="F7" s="29">
        <v>3</v>
      </c>
      <c r="G7" s="29">
        <v>0</v>
      </c>
      <c r="H7" s="29">
        <v>8000</v>
      </c>
      <c r="I7" s="29">
        <v>0</v>
      </c>
      <c r="J7" s="29" t="s">
        <v>58</v>
      </c>
      <c r="K7" s="29">
        <v>900</v>
      </c>
      <c r="L7" s="1" t="s">
        <v>871</v>
      </c>
      <c r="M7" s="32">
        <f t="shared" ref="M7:M14" si="0">IF(ISNUMBER(VALUE(FIND("VRB",L7))),999,VALUE(MID(L7,20,3)))</f>
        <v>140</v>
      </c>
      <c r="N7" s="33">
        <f t="shared" ref="N7:N14" si="1">IF(OR(ABS(E7-M7)&lt;61,AND(ABS(E7-M7)&gt;60,O7&lt;10),E7=M7,AND(E7=999,ISNUMBER(VALUE(FIND("TS",L7)))),AND(E7=999,ISNUMBER(VALUE(FIND("CB",L7)))),AND(E7=999,O7&lt;10),AND(F7&lt;10,M7=999,O7&lt;10)),1,0)</f>
        <v>1</v>
      </c>
      <c r="O7" s="33">
        <f t="shared" ref="O7:O14" si="2">VALUE(MID(L7,23,2))</f>
        <v>4</v>
      </c>
      <c r="P7" s="33">
        <f t="shared" ref="P7:P14" si="3">IF(ABS(O7-F7)&lt;11,1,0)</f>
        <v>1</v>
      </c>
      <c r="Q7" s="34">
        <f t="shared" ref="Q7:Q14" si="4">IF(MID(L7,25,1)="G","GUST",0)</f>
        <v>0</v>
      </c>
      <c r="R7" s="33">
        <f t="shared" ref="R7:R14" si="5">IF(G7=Q7,1,0)</f>
        <v>1</v>
      </c>
      <c r="S7" s="34">
        <f>IF(ISNUMBER(VALUE(MID(L7,(FIND("KT",L7,FIND("Z",L7))+3),4))),VALUE(MID(L7,(FIND("KT",L7,FIND("Z",L7))+3),4)),IF(ISNUMBER(VALUE(MID(L7,(FIND("0V",L7)+6),4))),VALUE(MID(L7,(FIND("0V",L7)+6),4)),9999))</f>
        <v>8000</v>
      </c>
      <c r="T7" s="34">
        <f t="shared" ref="T7:T14" si="6">IF(OR(AND(H7&lt;801,S7&lt;801),AND(H7&gt;799,H7&lt;1501,S7&gt;799,S7&lt;1502),AND(H7&gt;1499,H7&lt;3001,S7&gt;1499,S7&lt;3001),AND(H7&gt;2999,H7&lt;5001,S7&gt;2999,S7&lt;5001),AND(H7&gt;4999,S7&gt;4999)),1,0)</f>
        <v>1</v>
      </c>
      <c r="U7" s="34">
        <f t="shared" ref="U7:U14" si="7">IF(AND(IFERROR(FIND("RA",L7),0)&gt;0, IFERROR(FIND("RA",L7),0)&lt;38),"RA",0)</f>
        <v>0</v>
      </c>
      <c r="V7" s="34">
        <f t="shared" ref="V7:V14" si="8">IF(U7=I7,1,0)</f>
        <v>1</v>
      </c>
      <c r="W7" s="34" t="str">
        <f t="shared" ref="W7:W14" si="9">IF(ISNUMBER(VALUE(FIND("FEW",L7))),"FEW",IF(ISNUMBER(VALUE(FIND("SCT",L7))),"SCT",IF(ISNUMBER(VALUE(FIND("BKN",L7))),"BKN",IF(ISNUMBER(VALUE(FIND("OVC",L7))),"OVC",IF(ISNUMBER(VALUE(FIND("SKC",L7))),"SKC",IF(ISNUMBER(VALUE(FIND("CAVOK",L7))),"SKC",IF(ISNUMBER(VALUE(FIND("NSC",L7))),"SKC","EROR")))))))</f>
        <v>BKN</v>
      </c>
      <c r="X7" s="34">
        <f t="shared" ref="X7:X14" si="10">IF(OR(AND(OR(J7="SKC",J7="FEW",J7="SCT"),OR(W7="SKC",W7="FEW",W7="SCT")),(AND(OR(J7="BKN",J7="OVC"),OR(W7="BKN",W7="OVC")))),1,0)</f>
        <v>1</v>
      </c>
      <c r="Y7" s="34">
        <f t="shared" ref="Y7:Y14" si="11">IF(ISNUMBER(VALUE(FIND("CAVOK",L7))),9999,IF(ISNUMBER(VALUE(FIND("NSC",L7))),9999,(MID(L7,(FIND(W7,L7)+4),2))*100))</f>
        <v>800</v>
      </c>
      <c r="Z7" s="34">
        <f t="shared" ref="Z7:Z14" si="12">IF(AND(Y7&lt;1001,ABS(K7-Y7)&lt;101),1,IF(AND(Y7&gt;1000,ABS(Y7-K7)/K7&lt;0.30005),1,0))</f>
        <v>1</v>
      </c>
      <c r="AA7" s="35"/>
      <c r="AB7" s="35">
        <v>0</v>
      </c>
      <c r="AC7" s="35" t="e">
        <v>#VALUE!</v>
      </c>
      <c r="AD7" s="35"/>
      <c r="AE7" s="35"/>
    </row>
    <row r="8" spans="1:31" ht="16.5">
      <c r="A8" s="36"/>
      <c r="B8" s="37">
        <v>4.1666666666666664E-2</v>
      </c>
      <c r="C8" s="29" t="s">
        <v>39</v>
      </c>
      <c r="D8" s="52"/>
      <c r="E8" s="29">
        <v>110</v>
      </c>
      <c r="F8" s="29">
        <v>3</v>
      </c>
      <c r="G8" s="29">
        <v>0</v>
      </c>
      <c r="H8" s="29">
        <v>8000</v>
      </c>
      <c r="I8" s="29">
        <v>0</v>
      </c>
      <c r="J8" s="29" t="s">
        <v>58</v>
      </c>
      <c r="K8" s="29">
        <v>900</v>
      </c>
      <c r="L8" s="1" t="s">
        <v>872</v>
      </c>
      <c r="M8" s="32">
        <f t="shared" si="0"/>
        <v>130</v>
      </c>
      <c r="N8" s="33">
        <f t="shared" si="1"/>
        <v>1</v>
      </c>
      <c r="O8" s="33">
        <f t="shared" si="2"/>
        <v>4</v>
      </c>
      <c r="P8" s="33">
        <f t="shared" si="3"/>
        <v>1</v>
      </c>
      <c r="Q8" s="34">
        <f t="shared" si="4"/>
        <v>0</v>
      </c>
      <c r="R8" s="33">
        <f t="shared" si="5"/>
        <v>1</v>
      </c>
      <c r="S8" s="34">
        <f t="shared" ref="S8:S16" si="13">IF(ISNUMBER(VALUE(MID(L8,(FIND("KT",L8,FIND("Z",L8))+3),4))),VALUE(MID(L8,(FIND("KT",L8,FIND("Z",L8))+3),4)),IF(ISNUMBER(VALUE(MID(L8,(FIND("0V",L8)+6),4))),VALUE(MID(L8,(FIND("0V",L8)+6),4)),9999))</f>
        <v>8000</v>
      </c>
      <c r="T8" s="34">
        <f t="shared" si="6"/>
        <v>1</v>
      </c>
      <c r="U8" s="34">
        <f t="shared" si="7"/>
        <v>0</v>
      </c>
      <c r="V8" s="34">
        <f t="shared" si="8"/>
        <v>1</v>
      </c>
      <c r="W8" s="34" t="str">
        <f t="shared" si="9"/>
        <v>BKN</v>
      </c>
      <c r="X8" s="34">
        <f t="shared" si="10"/>
        <v>1</v>
      </c>
      <c r="Y8" s="34">
        <f t="shared" si="11"/>
        <v>900</v>
      </c>
      <c r="Z8" s="34">
        <f t="shared" si="12"/>
        <v>1</v>
      </c>
      <c r="AA8" s="35"/>
      <c r="AB8" s="35">
        <v>0</v>
      </c>
      <c r="AC8" s="35" t="e">
        <v>#VALUE!</v>
      </c>
      <c r="AD8" s="35"/>
      <c r="AE8" s="35"/>
    </row>
    <row r="9" spans="1:31" ht="16.5">
      <c r="A9" s="36"/>
      <c r="B9" s="37">
        <v>8.3333333333333329E-2</v>
      </c>
      <c r="C9" s="29" t="s">
        <v>39</v>
      </c>
      <c r="D9" s="52"/>
      <c r="E9" s="29">
        <v>110</v>
      </c>
      <c r="F9" s="29">
        <v>3</v>
      </c>
      <c r="G9" s="29">
        <v>0</v>
      </c>
      <c r="H9" s="29">
        <v>8000</v>
      </c>
      <c r="I9" s="29">
        <v>0</v>
      </c>
      <c r="J9" s="29" t="s">
        <v>58</v>
      </c>
      <c r="K9" s="29">
        <v>900</v>
      </c>
      <c r="L9" s="1" t="s">
        <v>873</v>
      </c>
      <c r="M9" s="32">
        <f t="shared" si="0"/>
        <v>90</v>
      </c>
      <c r="N9" s="33">
        <f t="shared" si="1"/>
        <v>1</v>
      </c>
      <c r="O9" s="33">
        <f t="shared" si="2"/>
        <v>5</v>
      </c>
      <c r="P9" s="33">
        <f t="shared" si="3"/>
        <v>1</v>
      </c>
      <c r="Q9" s="34">
        <f t="shared" si="4"/>
        <v>0</v>
      </c>
      <c r="R9" s="33">
        <f t="shared" si="5"/>
        <v>1</v>
      </c>
      <c r="S9" s="34">
        <f t="shared" si="13"/>
        <v>8000</v>
      </c>
      <c r="T9" s="34">
        <f t="shared" si="6"/>
        <v>1</v>
      </c>
      <c r="U9" s="34">
        <f t="shared" si="7"/>
        <v>0</v>
      </c>
      <c r="V9" s="34">
        <f t="shared" si="8"/>
        <v>1</v>
      </c>
      <c r="W9" s="34" t="str">
        <f t="shared" si="9"/>
        <v>SCT</v>
      </c>
      <c r="X9" s="34">
        <f t="shared" si="10"/>
        <v>0</v>
      </c>
      <c r="Y9" s="34">
        <f t="shared" si="11"/>
        <v>900</v>
      </c>
      <c r="Z9" s="34">
        <f t="shared" si="12"/>
        <v>1</v>
      </c>
      <c r="AA9" s="35"/>
      <c r="AB9" s="35">
        <v>0</v>
      </c>
      <c r="AC9" s="35" t="e">
        <v>#VALUE!</v>
      </c>
      <c r="AD9" s="35"/>
      <c r="AE9" s="35"/>
    </row>
    <row r="10" spans="1:31" ht="16.5">
      <c r="A10" s="36"/>
      <c r="B10" s="37">
        <v>0.125</v>
      </c>
      <c r="C10" s="29" t="s">
        <v>39</v>
      </c>
      <c r="D10" s="52"/>
      <c r="E10" s="29">
        <v>110</v>
      </c>
      <c r="F10" s="29">
        <v>3</v>
      </c>
      <c r="G10" s="29">
        <v>0</v>
      </c>
      <c r="H10" s="29">
        <v>8000</v>
      </c>
      <c r="I10" s="29">
        <v>0</v>
      </c>
      <c r="J10" s="29" t="s">
        <v>58</v>
      </c>
      <c r="K10" s="29">
        <v>900</v>
      </c>
      <c r="L10" s="1" t="s">
        <v>874</v>
      </c>
      <c r="M10" s="32">
        <f t="shared" si="0"/>
        <v>130</v>
      </c>
      <c r="N10" s="33">
        <f t="shared" si="1"/>
        <v>1</v>
      </c>
      <c r="O10" s="33">
        <f t="shared" si="2"/>
        <v>4</v>
      </c>
      <c r="P10" s="33">
        <f t="shared" si="3"/>
        <v>1</v>
      </c>
      <c r="Q10" s="34">
        <f t="shared" si="4"/>
        <v>0</v>
      </c>
      <c r="R10" s="33">
        <f t="shared" si="5"/>
        <v>1</v>
      </c>
      <c r="S10" s="34">
        <f t="shared" si="13"/>
        <v>8000</v>
      </c>
      <c r="T10" s="34">
        <f t="shared" si="6"/>
        <v>1</v>
      </c>
      <c r="U10" s="34">
        <f t="shared" si="7"/>
        <v>0</v>
      </c>
      <c r="V10" s="34">
        <f t="shared" si="8"/>
        <v>1</v>
      </c>
      <c r="W10" s="34" t="str">
        <f t="shared" si="9"/>
        <v>SCT</v>
      </c>
      <c r="X10" s="34">
        <f t="shared" si="10"/>
        <v>0</v>
      </c>
      <c r="Y10" s="34">
        <f t="shared" si="11"/>
        <v>900</v>
      </c>
      <c r="Z10" s="34">
        <f t="shared" si="12"/>
        <v>1</v>
      </c>
      <c r="AA10" s="35"/>
      <c r="AB10" s="35">
        <v>0</v>
      </c>
      <c r="AC10" s="35" t="e">
        <v>#VALUE!</v>
      </c>
      <c r="AD10" s="35"/>
      <c r="AE10" s="35"/>
    </row>
    <row r="11" spans="1:31" ht="16.5">
      <c r="A11" s="36"/>
      <c r="B11" s="37">
        <v>0.16666666666666666</v>
      </c>
      <c r="C11" s="29" t="s">
        <v>39</v>
      </c>
      <c r="D11" s="52"/>
      <c r="E11" s="29">
        <v>110</v>
      </c>
      <c r="F11" s="29">
        <v>3</v>
      </c>
      <c r="G11" s="29">
        <v>0</v>
      </c>
      <c r="H11" s="29">
        <v>8000</v>
      </c>
      <c r="I11" s="29">
        <v>0</v>
      </c>
      <c r="J11" s="29" t="s">
        <v>58</v>
      </c>
      <c r="K11" s="29">
        <v>900</v>
      </c>
      <c r="L11" s="1" t="s">
        <v>875</v>
      </c>
      <c r="M11" s="32">
        <f t="shared" si="0"/>
        <v>100</v>
      </c>
      <c r="N11" s="33">
        <f t="shared" si="1"/>
        <v>1</v>
      </c>
      <c r="O11" s="33">
        <f t="shared" si="2"/>
        <v>3</v>
      </c>
      <c r="P11" s="33">
        <f t="shared" si="3"/>
        <v>1</v>
      </c>
      <c r="Q11" s="34">
        <f t="shared" si="4"/>
        <v>0</v>
      </c>
      <c r="R11" s="33">
        <f t="shared" si="5"/>
        <v>1</v>
      </c>
      <c r="S11" s="34">
        <f t="shared" si="13"/>
        <v>8000</v>
      </c>
      <c r="T11" s="34">
        <f t="shared" si="6"/>
        <v>1</v>
      </c>
      <c r="U11" s="34">
        <f t="shared" si="7"/>
        <v>0</v>
      </c>
      <c r="V11" s="34">
        <f t="shared" si="8"/>
        <v>1</v>
      </c>
      <c r="W11" s="34" t="str">
        <f t="shared" si="9"/>
        <v>BKN</v>
      </c>
      <c r="X11" s="34">
        <f t="shared" si="10"/>
        <v>1</v>
      </c>
      <c r="Y11" s="34">
        <f t="shared" si="11"/>
        <v>800</v>
      </c>
      <c r="Z11" s="34">
        <f t="shared" si="12"/>
        <v>1</v>
      </c>
      <c r="AA11" s="35"/>
      <c r="AB11" s="35">
        <v>0</v>
      </c>
      <c r="AC11" s="35" t="e">
        <v>#VALUE!</v>
      </c>
      <c r="AD11" s="35"/>
      <c r="AE11" s="35"/>
    </row>
    <row r="12" spans="1:31" ht="16.5">
      <c r="A12" s="36"/>
      <c r="B12" s="37">
        <v>0.20833333333333334</v>
      </c>
      <c r="C12" s="29" t="s">
        <v>39</v>
      </c>
      <c r="D12" s="52"/>
      <c r="E12" s="29">
        <v>110</v>
      </c>
      <c r="F12" s="29">
        <v>3</v>
      </c>
      <c r="G12" s="29">
        <v>0</v>
      </c>
      <c r="H12" s="29">
        <v>8000</v>
      </c>
      <c r="I12" s="29">
        <v>0</v>
      </c>
      <c r="J12" s="29" t="s">
        <v>58</v>
      </c>
      <c r="K12" s="29">
        <v>900</v>
      </c>
      <c r="L12" s="1" t="s">
        <v>876</v>
      </c>
      <c r="M12" s="32">
        <f t="shared" si="0"/>
        <v>120</v>
      </c>
      <c r="N12" s="33">
        <f t="shared" si="1"/>
        <v>1</v>
      </c>
      <c r="O12" s="33">
        <f t="shared" si="2"/>
        <v>4</v>
      </c>
      <c r="P12" s="33">
        <f t="shared" si="3"/>
        <v>1</v>
      </c>
      <c r="Q12" s="34">
        <f t="shared" si="4"/>
        <v>0</v>
      </c>
      <c r="R12" s="33">
        <f t="shared" si="5"/>
        <v>1</v>
      </c>
      <c r="S12" s="34">
        <f t="shared" si="13"/>
        <v>8000</v>
      </c>
      <c r="T12" s="34">
        <f t="shared" si="6"/>
        <v>1</v>
      </c>
      <c r="U12" s="34">
        <f t="shared" si="7"/>
        <v>0</v>
      </c>
      <c r="V12" s="34">
        <f t="shared" si="8"/>
        <v>1</v>
      </c>
      <c r="W12" s="34" t="str">
        <f t="shared" si="9"/>
        <v>BKN</v>
      </c>
      <c r="X12" s="34">
        <f t="shared" si="10"/>
        <v>1</v>
      </c>
      <c r="Y12" s="34">
        <f t="shared" si="11"/>
        <v>900</v>
      </c>
      <c r="Z12" s="34">
        <f t="shared" si="12"/>
        <v>1</v>
      </c>
      <c r="AA12" s="35"/>
      <c r="AB12" s="35">
        <v>0</v>
      </c>
      <c r="AC12" s="35" t="e">
        <v>#VALUE!</v>
      </c>
      <c r="AD12" s="35"/>
      <c r="AE12" s="35"/>
    </row>
    <row r="13" spans="1:31" ht="16.5">
      <c r="A13" s="36"/>
      <c r="B13" s="37">
        <v>0.25</v>
      </c>
      <c r="C13" s="29" t="s">
        <v>39</v>
      </c>
      <c r="D13" s="52"/>
      <c r="E13" s="29">
        <v>110</v>
      </c>
      <c r="F13" s="29">
        <v>3</v>
      </c>
      <c r="G13" s="29">
        <v>0</v>
      </c>
      <c r="H13" s="29">
        <v>8000</v>
      </c>
      <c r="I13" s="29">
        <v>0</v>
      </c>
      <c r="J13" s="29" t="s">
        <v>58</v>
      </c>
      <c r="K13" s="29">
        <v>900</v>
      </c>
      <c r="L13" s="1" t="s">
        <v>877</v>
      </c>
      <c r="M13" s="32">
        <f t="shared" si="0"/>
        <v>150</v>
      </c>
      <c r="N13" s="33">
        <f t="shared" si="1"/>
        <v>1</v>
      </c>
      <c r="O13" s="33">
        <f t="shared" si="2"/>
        <v>3</v>
      </c>
      <c r="P13" s="33">
        <f t="shared" si="3"/>
        <v>1</v>
      </c>
      <c r="Q13" s="34">
        <f t="shared" si="4"/>
        <v>0</v>
      </c>
      <c r="R13" s="33">
        <f t="shared" si="5"/>
        <v>1</v>
      </c>
      <c r="S13" s="34">
        <f t="shared" si="13"/>
        <v>8000</v>
      </c>
      <c r="T13" s="34">
        <f t="shared" si="6"/>
        <v>1</v>
      </c>
      <c r="U13" s="34">
        <f t="shared" si="7"/>
        <v>0</v>
      </c>
      <c r="V13" s="34">
        <f t="shared" si="8"/>
        <v>1</v>
      </c>
      <c r="W13" s="34" t="str">
        <f t="shared" si="9"/>
        <v>BKN</v>
      </c>
      <c r="X13" s="34">
        <f t="shared" si="10"/>
        <v>1</v>
      </c>
      <c r="Y13" s="34">
        <f t="shared" si="11"/>
        <v>800</v>
      </c>
      <c r="Z13" s="34">
        <f t="shared" si="12"/>
        <v>1</v>
      </c>
      <c r="AA13" s="35"/>
      <c r="AB13" s="35">
        <v>0</v>
      </c>
      <c r="AC13" s="35" t="e">
        <v>#VALUE!</v>
      </c>
      <c r="AD13" s="35"/>
      <c r="AE13" s="35"/>
    </row>
    <row r="14" spans="1:31" ht="16.5">
      <c r="A14" s="36"/>
      <c r="B14" s="37">
        <v>0.29166666666666669</v>
      </c>
      <c r="C14" s="29" t="s">
        <v>39</v>
      </c>
      <c r="D14" s="52"/>
      <c r="E14" s="29">
        <v>110</v>
      </c>
      <c r="F14" s="29">
        <v>3</v>
      </c>
      <c r="G14" s="29">
        <v>0</v>
      </c>
      <c r="H14" s="29">
        <v>8000</v>
      </c>
      <c r="I14" s="29">
        <v>0</v>
      </c>
      <c r="J14" s="29" t="s">
        <v>58</v>
      </c>
      <c r="K14" s="29">
        <v>900</v>
      </c>
      <c r="L14" s="1" t="s">
        <v>879</v>
      </c>
      <c r="M14" s="32">
        <f t="shared" si="0"/>
        <v>130</v>
      </c>
      <c r="N14" s="33">
        <f t="shared" si="1"/>
        <v>1</v>
      </c>
      <c r="O14" s="33">
        <f t="shared" si="2"/>
        <v>3</v>
      </c>
      <c r="P14" s="33">
        <f t="shared" si="3"/>
        <v>1</v>
      </c>
      <c r="Q14" s="34">
        <f t="shared" si="4"/>
        <v>0</v>
      </c>
      <c r="R14" s="33">
        <f t="shared" si="5"/>
        <v>1</v>
      </c>
      <c r="S14" s="34">
        <f t="shared" si="13"/>
        <v>8000</v>
      </c>
      <c r="T14" s="34">
        <f t="shared" si="6"/>
        <v>1</v>
      </c>
      <c r="U14" s="34">
        <f t="shared" si="7"/>
        <v>0</v>
      </c>
      <c r="V14" s="34">
        <f t="shared" si="8"/>
        <v>1</v>
      </c>
      <c r="W14" s="34" t="str">
        <f t="shared" si="9"/>
        <v>BKN</v>
      </c>
      <c r="X14" s="34">
        <f t="shared" si="10"/>
        <v>1</v>
      </c>
      <c r="Y14" s="34">
        <f t="shared" si="11"/>
        <v>900</v>
      </c>
      <c r="Z14" s="34">
        <f t="shared" si="12"/>
        <v>1</v>
      </c>
      <c r="AA14" s="35"/>
      <c r="AB14" s="35">
        <v>0</v>
      </c>
      <c r="AC14" s="35" t="e">
        <v>#VALUE!</v>
      </c>
      <c r="AD14" s="35"/>
      <c r="AE14" s="35"/>
    </row>
    <row r="15" spans="1:31" ht="16.5">
      <c r="A15" s="36"/>
      <c r="B15" s="37">
        <v>0.33333333333333331</v>
      </c>
      <c r="C15" s="29" t="s">
        <v>39</v>
      </c>
      <c r="D15" s="52"/>
      <c r="E15" s="29">
        <v>110</v>
      </c>
      <c r="F15" s="29">
        <v>3</v>
      </c>
      <c r="G15" s="29">
        <v>0</v>
      </c>
      <c r="H15" s="29">
        <v>8000</v>
      </c>
      <c r="I15" s="29">
        <v>0</v>
      </c>
      <c r="J15" s="29" t="s">
        <v>58</v>
      </c>
      <c r="K15" s="29">
        <v>900</v>
      </c>
      <c r="L15" s="29" t="s">
        <v>880</v>
      </c>
      <c r="M15" s="32">
        <f t="shared" ref="M15:M16" si="14">IF(ISNUMBER(VALUE(FIND("VRB",L15))),999,VALUE(MID(L15,20,3)))</f>
        <v>140</v>
      </c>
      <c r="N15" s="33">
        <f t="shared" ref="N15:N16" si="15">IF(OR(ABS(E15-M15)&lt;61,AND(ABS(E15-M15)&gt;60,O15&lt;10),E15=M15,AND(E15=999,ISNUMBER(VALUE(FIND("TS",L15)))),AND(E15=999,ISNUMBER(VALUE(FIND("CB",L15)))),AND(E15=999,O15&lt;10),AND(F15&lt;10,M15=999,O15&lt;10)),1,0)</f>
        <v>1</v>
      </c>
      <c r="O15" s="33">
        <f t="shared" ref="O15:O16" si="16">VALUE(MID(L15,23,2))</f>
        <v>2</v>
      </c>
      <c r="P15" s="33">
        <f t="shared" ref="P15:P18" si="17">IF(ABS(O15-F15)&lt;11,1,0)</f>
        <v>1</v>
      </c>
      <c r="Q15" s="34">
        <f t="shared" ref="Q15:Q16" si="18">IF(MID(L15,25,1)="G","GUST",0)</f>
        <v>0</v>
      </c>
      <c r="R15" s="33">
        <f t="shared" ref="R15:R18" si="19">IF(G15=Q15,1,0)</f>
        <v>1</v>
      </c>
      <c r="S15" s="34">
        <f t="shared" si="13"/>
        <v>8000</v>
      </c>
      <c r="T15" s="34">
        <f t="shared" ref="T15:T18" si="20">IF(OR(AND(H15&lt;801,S15&lt;801),AND(H15&gt;799,H15&lt;1501,S15&gt;799,S15&lt;1502),AND(H15&gt;1499,H15&lt;3001,S15&gt;1499,S15&lt;3001),AND(H15&gt;2999,H15&lt;5001,S15&gt;2999,S15&lt;5001),AND(H15&gt;4999,S15&gt;4999)),1,0)</f>
        <v>1</v>
      </c>
      <c r="U15" s="34">
        <f t="shared" ref="U15:U16" si="21">IF(AND(IFERROR(FIND("RA",L15),0)&gt;0, IFERROR(FIND("RA",L15),0)&lt;38),"RA",0)</f>
        <v>0</v>
      </c>
      <c r="V15" s="34">
        <f t="shared" ref="V15:V18" si="22">IF(U15=I15,1,0)</f>
        <v>1</v>
      </c>
      <c r="W15" s="34" t="str">
        <f t="shared" ref="W15:W16" si="23">IF(ISNUMBER(VALUE(FIND("FEW",L15))),"FEW",IF(ISNUMBER(VALUE(FIND("SCT",L15))),"SCT",IF(ISNUMBER(VALUE(FIND("BKN",L15))),"BKN",IF(ISNUMBER(VALUE(FIND("OVC",L15))),"OVC",IF(ISNUMBER(VALUE(FIND("SKC",L15))),"SKC",IF(ISNUMBER(VALUE(FIND("CAVOK",L15))),"SKC",IF(ISNUMBER(VALUE(FIND("NSC",L15))),"SKC","EROR")))))))</f>
        <v>BKN</v>
      </c>
      <c r="X15" s="34">
        <f t="shared" ref="X15:X18" si="24">IF(OR(AND(OR(J15="SKC",J15="FEW",J15="SCT"),OR(W15="SKC",W15="FEW",W15="SCT")),(AND(OR(J15="BKN",J15="OVC"),OR(W15="BKN",W15="OVC")))),1,0)</f>
        <v>1</v>
      </c>
      <c r="Y15" s="34">
        <f t="shared" ref="Y15:Y16" si="25">IF(ISNUMBER(VALUE(FIND("CAVOK",L15))),9999,IF(ISNUMBER(VALUE(FIND("NSC",L15))),9999,(MID(L15,(FIND(W15,L15)+4),2))*100))</f>
        <v>800</v>
      </c>
      <c r="Z15" s="34">
        <f t="shared" ref="Z15:Z18" si="26">IF(AND(Y15&lt;1001,ABS(K15-Y15)&lt;101),1,IF(AND(Y15&gt;1000,ABS(Y15-K15)/K15&lt;0.30005),1,0))</f>
        <v>1</v>
      </c>
      <c r="AA15" s="35"/>
      <c r="AB15" s="35">
        <v>0</v>
      </c>
      <c r="AC15" s="35" t="e">
        <v>#VALUE!</v>
      </c>
      <c r="AD15" s="35"/>
      <c r="AE15" s="35"/>
    </row>
    <row r="16" spans="1:31" ht="16.5">
      <c r="A16" s="36"/>
      <c r="B16" s="37">
        <v>0.375</v>
      </c>
      <c r="C16" s="29" t="s">
        <v>39</v>
      </c>
      <c r="D16" s="52"/>
      <c r="E16" s="29">
        <v>110</v>
      </c>
      <c r="F16" s="29">
        <v>3</v>
      </c>
      <c r="G16" s="29">
        <v>0</v>
      </c>
      <c r="H16" s="29">
        <v>8000</v>
      </c>
      <c r="I16" s="29">
        <v>0</v>
      </c>
      <c r="J16" s="29" t="s">
        <v>58</v>
      </c>
      <c r="K16" s="29">
        <v>900</v>
      </c>
      <c r="L16" s="29" t="s">
        <v>881</v>
      </c>
      <c r="M16" s="32">
        <f t="shared" si="14"/>
        <v>0</v>
      </c>
      <c r="N16" s="33">
        <f t="shared" si="15"/>
        <v>1</v>
      </c>
      <c r="O16" s="33">
        <f t="shared" si="16"/>
        <v>0</v>
      </c>
      <c r="P16" s="33">
        <f t="shared" si="17"/>
        <v>1</v>
      </c>
      <c r="Q16" s="34">
        <f t="shared" si="18"/>
        <v>0</v>
      </c>
      <c r="R16" s="33">
        <f t="shared" si="19"/>
        <v>1</v>
      </c>
      <c r="S16" s="34">
        <f t="shared" si="13"/>
        <v>8000</v>
      </c>
      <c r="T16" s="34">
        <f t="shared" si="20"/>
        <v>1</v>
      </c>
      <c r="U16" s="34">
        <f t="shared" si="21"/>
        <v>0</v>
      </c>
      <c r="V16" s="34">
        <f t="shared" si="22"/>
        <v>1</v>
      </c>
      <c r="W16" s="34" t="str">
        <f t="shared" si="23"/>
        <v>BKN</v>
      </c>
      <c r="X16" s="34">
        <f t="shared" si="24"/>
        <v>1</v>
      </c>
      <c r="Y16" s="34">
        <f t="shared" si="25"/>
        <v>800</v>
      </c>
      <c r="Z16" s="34">
        <f t="shared" si="26"/>
        <v>1</v>
      </c>
      <c r="AA16" s="35"/>
      <c r="AB16" s="35">
        <v>0</v>
      </c>
      <c r="AC16" s="35" t="e">
        <v>#VALUE!</v>
      </c>
      <c r="AD16" s="35"/>
      <c r="AE16" s="35"/>
    </row>
    <row r="17" spans="1:31" ht="16.5">
      <c r="A17" s="36"/>
      <c r="B17" s="37">
        <v>0.41666666666666669</v>
      </c>
      <c r="C17" s="29" t="s">
        <v>39</v>
      </c>
      <c r="D17" s="52"/>
      <c r="E17" s="29">
        <v>110</v>
      </c>
      <c r="F17" s="29">
        <v>3</v>
      </c>
      <c r="G17" s="29">
        <v>0</v>
      </c>
      <c r="H17" s="29">
        <v>8000</v>
      </c>
      <c r="I17" s="29">
        <v>0</v>
      </c>
      <c r="J17" s="29" t="s">
        <v>58</v>
      </c>
      <c r="K17" s="29">
        <v>900</v>
      </c>
      <c r="L17" s="29" t="s">
        <v>902</v>
      </c>
      <c r="M17" s="32">
        <f>IF(ISNUMBER(VALUE(FIND("VRB",L17))),999,VALUE(MID(L17,20,3)))</f>
        <v>0</v>
      </c>
      <c r="N17" s="33">
        <f>IF(OR(ABS(E17-M17)&lt;61,AND(ABS(E17-M17)&gt;60,O17&lt;10),E17=M17,AND(E17=999,ISNUMBER(VALUE(FIND("TS",L17)))),AND(E17=999,ISNUMBER(VALUE(FIND("CB",L17)))),AND(E17=999,O17&lt;10),AND(F17&lt;10,M17=999,O17&lt;10)),1,0)</f>
        <v>1</v>
      </c>
      <c r="O17" s="33">
        <f>VALUE(MID(L17,23,2))</f>
        <v>0</v>
      </c>
      <c r="P17" s="33">
        <f t="shared" si="17"/>
        <v>1</v>
      </c>
      <c r="Q17" s="34">
        <f>IF(MID(L17,25,1)="G","GUST",0)</f>
        <v>0</v>
      </c>
      <c r="R17" s="33">
        <f t="shared" si="19"/>
        <v>1</v>
      </c>
      <c r="S17" s="34">
        <f>IF(ISNUMBER(VALUE(MID(L17,(FIND("KT",L17,FIND("Z",L17))+3),4))),VALUE(MID(L17,(FIND("KT",L17,FIND("Z",L17))+3),4)),IF(ISNUMBER(VALUE(MID(L17,(FIND("0V",L17)+6),4))),VALUE(MID(L17,(FIND("0V",L17)+6),4)),9999))</f>
        <v>8000</v>
      </c>
      <c r="T17" s="34">
        <f t="shared" si="20"/>
        <v>1</v>
      </c>
      <c r="U17" s="34">
        <f>IF(AND(IFERROR(FIND("RA",L17),0)&gt;0, IFERROR(FIND("RA",L17),0)&lt;38),"RA",0)</f>
        <v>0</v>
      </c>
      <c r="V17" s="34">
        <f t="shared" si="22"/>
        <v>1</v>
      </c>
      <c r="W17" s="34" t="str">
        <f>IF(ISNUMBER(VALUE(FIND("FEW",L17))),"FEW",IF(ISNUMBER(VALUE(FIND("SCT",L17))),"SCT",IF(ISNUMBER(VALUE(FIND("BKN",L17))),"BKN",IF(ISNUMBER(VALUE(FIND("OVC",L17))),"OVC",IF(ISNUMBER(VALUE(FIND("SKC",L17))),"SKC",IF(ISNUMBER(VALUE(FIND("CAVOK",L17))),"SKC",IF(ISNUMBER(VALUE(FIND("NSC",L17))),"SKC","EROR")))))))</f>
        <v>BKN</v>
      </c>
      <c r="X17" s="34">
        <f t="shared" si="24"/>
        <v>1</v>
      </c>
      <c r="Y17" s="34">
        <f>IF(ISNUMBER(VALUE(FIND("CAVOK",L17))),9999,IF(ISNUMBER(VALUE(FIND("NSC",L17))),9999,(MID(L17,(FIND(W17,L17)+4),2))*100))</f>
        <v>800</v>
      </c>
      <c r="Z17" s="34">
        <f t="shared" si="26"/>
        <v>1</v>
      </c>
      <c r="AA17" s="35"/>
      <c r="AB17" s="35">
        <v>0</v>
      </c>
      <c r="AC17" s="35" t="e">
        <v>#VALUE!</v>
      </c>
      <c r="AD17" s="35"/>
      <c r="AE17" s="35"/>
    </row>
    <row r="18" spans="1:31" ht="16.5">
      <c r="A18" s="36"/>
      <c r="B18" s="37">
        <v>0.45833333333333331</v>
      </c>
      <c r="C18" s="29" t="s">
        <v>39</v>
      </c>
      <c r="D18" s="52"/>
      <c r="E18" s="29">
        <v>110</v>
      </c>
      <c r="F18" s="29">
        <v>3</v>
      </c>
      <c r="G18" s="29">
        <v>0</v>
      </c>
      <c r="H18" s="29">
        <v>8000</v>
      </c>
      <c r="I18" s="29">
        <v>0</v>
      </c>
      <c r="J18" s="29" t="s">
        <v>58</v>
      </c>
      <c r="K18" s="29">
        <v>900</v>
      </c>
      <c r="L18" s="29" t="s">
        <v>882</v>
      </c>
      <c r="M18" s="32">
        <f>IF(ISNUMBER(VALUE(FIND("VRB",L18))),999,VALUE(MID(L18,20,3)))</f>
        <v>0</v>
      </c>
      <c r="N18" s="33">
        <f>IF(OR(ABS(E18-M18)&lt;61,AND(ABS(E18-M18)&gt;60,O18&lt;10),E18=M18,AND(E18=999,ISNUMBER(VALUE(FIND("TS",L18)))),AND(E18=999,ISNUMBER(VALUE(FIND("CB",L18)))),AND(E18=999,O18&lt;10),AND(F18&lt;10,M18=999,O18&lt;10)),1,0)</f>
        <v>1</v>
      </c>
      <c r="O18" s="33">
        <f>VALUE(MID(L18,23,2))</f>
        <v>0</v>
      </c>
      <c r="P18" s="33">
        <f t="shared" si="17"/>
        <v>1</v>
      </c>
      <c r="Q18" s="34">
        <f>IF(MID(L18,25,1)="G","GUST",0)</f>
        <v>0</v>
      </c>
      <c r="R18" s="33">
        <f t="shared" si="19"/>
        <v>1</v>
      </c>
      <c r="S18" s="34">
        <f>IF(ISNUMBER(VALUE(MID(L18,(FIND("KT",L18,FIND("Z",L18))+3),4))),VALUE(MID(L18,(FIND("KT",L18,FIND("Z",L18))+3),4)),IF(ISNUMBER(VALUE(MID(L18,(FIND("0V",L18)+6),4))),VALUE(MID(L18,(FIND("0V",L18)+6),4)),9999))</f>
        <v>8000</v>
      </c>
      <c r="T18" s="34">
        <f t="shared" si="20"/>
        <v>1</v>
      </c>
      <c r="U18" s="34">
        <f>IF(AND(IFERROR(FIND("RA",L18),0)&gt;0, IFERROR(FIND("RA",L18),0)&lt;38),"RA",0)</f>
        <v>0</v>
      </c>
      <c r="V18" s="34">
        <f t="shared" si="22"/>
        <v>1</v>
      </c>
      <c r="W18" s="34" t="str">
        <f>IF(ISNUMBER(VALUE(FIND("FEW",L18))),"FEW",IF(ISNUMBER(VALUE(FIND("SCT",L18))),"SCT",IF(ISNUMBER(VALUE(FIND("BKN",L18))),"BKN",IF(ISNUMBER(VALUE(FIND("OVC",L18))),"OVC",IF(ISNUMBER(VALUE(FIND("SKC",L18))),"SKC",IF(ISNUMBER(VALUE(FIND("CAVOK",L18))),"SKC",IF(ISNUMBER(VALUE(FIND("NSC",L18))),"SKC","EROR")))))))</f>
        <v>BKN</v>
      </c>
      <c r="X18" s="34">
        <f t="shared" si="24"/>
        <v>1</v>
      </c>
      <c r="Y18" s="34">
        <f>IF(ISNUMBER(VALUE(FIND("CAVOK",L18))),9999,IF(ISNUMBER(VALUE(FIND("NSC",L18))),9999,(MID(L18,(FIND(W18,L18)+4),2))*100))</f>
        <v>900</v>
      </c>
      <c r="Z18" s="34">
        <f t="shared" si="26"/>
        <v>1</v>
      </c>
      <c r="AA18" s="35"/>
      <c r="AB18" s="35"/>
      <c r="AC18" s="35"/>
      <c r="AD18" s="35"/>
      <c r="AE18" s="35"/>
    </row>
    <row r="19" spans="1:31" ht="16.5">
      <c r="A19" s="25"/>
      <c r="B19" s="25"/>
      <c r="C19" s="38"/>
      <c r="D19" s="39"/>
      <c r="E19" s="39"/>
      <c r="F19" s="39"/>
      <c r="G19" s="39"/>
      <c r="H19" s="39"/>
      <c r="I19" s="39"/>
      <c r="J19" s="39"/>
      <c r="K19" s="39"/>
      <c r="L19" s="38"/>
      <c r="M19" s="40"/>
      <c r="N19" s="38"/>
      <c r="O19" s="40"/>
      <c r="P19" s="38"/>
      <c r="Q19" s="40"/>
      <c r="R19" s="38"/>
      <c r="S19" s="40"/>
      <c r="T19" s="38"/>
      <c r="U19" s="40"/>
      <c r="V19" s="38"/>
      <c r="W19" s="40"/>
      <c r="X19" s="38"/>
      <c r="Y19" s="40"/>
      <c r="Z19" s="38"/>
      <c r="AA19" s="25"/>
      <c r="AB19" s="25"/>
      <c r="AC19" s="25"/>
      <c r="AD19" s="25"/>
      <c r="AE19" s="25"/>
    </row>
    <row r="20" spans="1:31">
      <c r="A20" s="25"/>
      <c r="B20" s="25"/>
      <c r="C20" s="41"/>
      <c r="D20" s="25"/>
      <c r="E20" s="25"/>
      <c r="F20" s="25"/>
      <c r="G20" s="25"/>
      <c r="H20" s="25"/>
      <c r="I20" s="25"/>
      <c r="J20" s="25"/>
      <c r="K20" s="25"/>
      <c r="L20" s="25"/>
      <c r="M20" s="41"/>
      <c r="N20" s="41"/>
      <c r="O20" s="41"/>
      <c r="P20" s="25"/>
      <c r="Q20" s="25"/>
      <c r="R20" s="25"/>
      <c r="S20" s="25"/>
      <c r="T20" s="25"/>
      <c r="U20" s="41"/>
      <c r="V20" s="25"/>
      <c r="W20" s="41"/>
      <c r="X20" s="25"/>
      <c r="Y20" s="41"/>
      <c r="Z20" s="25"/>
      <c r="AA20" s="25"/>
      <c r="AB20" s="25"/>
      <c r="AC20" s="25"/>
      <c r="AD20" s="25"/>
      <c r="AE20" s="25"/>
    </row>
    <row r="21" spans="1:31" ht="20.25">
      <c r="A21" s="25"/>
      <c r="B21" s="25"/>
      <c r="C21" s="41"/>
      <c r="D21" s="25"/>
      <c r="E21" s="56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41"/>
      <c r="X21" s="25"/>
      <c r="Y21" s="25"/>
      <c r="Z21" s="25"/>
      <c r="AA21" s="25"/>
      <c r="AB21" s="25"/>
      <c r="AC21" s="25"/>
      <c r="AD21" s="25"/>
      <c r="AE21" s="25"/>
    </row>
    <row r="22" spans="1:3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>
      <c r="A23" s="25"/>
      <c r="B23" s="25"/>
      <c r="C23" s="41" t="s">
        <v>32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>
        <f>SUM(N7:N18)</f>
        <v>12</v>
      </c>
      <c r="O23" s="25"/>
      <c r="P23" s="25">
        <f>SUM(P7:P18)</f>
        <v>12</v>
      </c>
      <c r="Q23" s="25"/>
      <c r="R23" s="25">
        <f>SUM(R7:R18)</f>
        <v>12</v>
      </c>
      <c r="S23" s="25"/>
      <c r="T23" s="25">
        <f>SUM(T7:T18)</f>
        <v>12</v>
      </c>
      <c r="U23" s="25"/>
      <c r="V23" s="25">
        <f>SUM(V7:V18)</f>
        <v>12</v>
      </c>
      <c r="W23" s="25"/>
      <c r="X23" s="25">
        <f>SUM(X7:X18)</f>
        <v>10</v>
      </c>
      <c r="Y23" s="25"/>
      <c r="Z23" s="25">
        <f>SUM(Z7:Z18)</f>
        <v>12</v>
      </c>
      <c r="AA23" s="25"/>
      <c r="AB23" s="25"/>
      <c r="AC23" s="25"/>
      <c r="AD23" s="25"/>
      <c r="AE23" s="25"/>
    </row>
    <row r="24" spans="1:31">
      <c r="A24" s="25"/>
      <c r="B24" s="25"/>
      <c r="C24" s="41" t="s">
        <v>33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>
        <f>SUMIF($C7:$C18,"GENERAL",N7:N18)</f>
        <v>12</v>
      </c>
      <c r="O24" s="25"/>
      <c r="P24" s="25">
        <f>SUMIF($C7:$C18,"GENERAL",P7:P18)</f>
        <v>12</v>
      </c>
      <c r="Q24" s="25"/>
      <c r="R24" s="25">
        <f>SUMIF($C7:$C18,"GENERAL",R7:R18)</f>
        <v>12</v>
      </c>
      <c r="S24" s="25"/>
      <c r="T24" s="25">
        <f>SUMIF($C7:$C18,"GENERAL",T7:T18)</f>
        <v>12</v>
      </c>
      <c r="U24" s="25"/>
      <c r="V24" s="25">
        <f>SUMIF($C7:$C18,"GENERAL",V7:V18)</f>
        <v>12</v>
      </c>
      <c r="W24" s="25"/>
      <c r="X24" s="25">
        <f>SUMIF($C7:$C18,"GENERAL",X7:X18)</f>
        <v>10</v>
      </c>
      <c r="Y24" s="25"/>
      <c r="Z24" s="25">
        <f>SUMIF($C7:$C18,"GENERAL",Z7:Z18)</f>
        <v>12</v>
      </c>
      <c r="AA24" s="25"/>
      <c r="AB24" s="25"/>
      <c r="AC24" s="25"/>
      <c r="AD24" s="25"/>
      <c r="AE24" s="25"/>
    </row>
    <row r="25" spans="1:31">
      <c r="A25" s="25"/>
      <c r="B25" s="25"/>
      <c r="C25" s="41" t="s">
        <v>34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>
        <f>SUMIF($C7:$C18,"BECMG",N7:N18)</f>
        <v>0</v>
      </c>
      <c r="O25" s="25"/>
      <c r="P25" s="25">
        <f>SUMIF($C7:$C18,"BECMG",P7:P18)</f>
        <v>0</v>
      </c>
      <c r="Q25" s="25"/>
      <c r="R25" s="25">
        <f>SUMIF($C7:$C18,"BECMG",R7:R18)</f>
        <v>0</v>
      </c>
      <c r="S25" s="25"/>
      <c r="T25" s="25">
        <f>SUMIF($C7:$C18,"BECMG",T7:T18)</f>
        <v>0</v>
      </c>
      <c r="U25" s="25"/>
      <c r="V25" s="25">
        <f>SUMIF($C7:$C18,"BECMG",V7:V18)</f>
        <v>0</v>
      </c>
      <c r="W25" s="25"/>
      <c r="X25" s="25">
        <f>SUMIF($C7:$C18,"BECMG",X7:X18)</f>
        <v>0</v>
      </c>
      <c r="Y25" s="25"/>
      <c r="Z25" s="25">
        <f>SUMIF($C7:$C18,"BECMG",Z7:Z18)</f>
        <v>0</v>
      </c>
      <c r="AA25" s="25"/>
      <c r="AB25" s="25"/>
      <c r="AC25" s="25"/>
      <c r="AD25" s="25"/>
      <c r="AE25" s="25"/>
    </row>
    <row r="26" spans="1:3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 t="s">
        <v>35</v>
      </c>
      <c r="M26" s="42" t="s">
        <v>36</v>
      </c>
      <c r="N26" s="42"/>
      <c r="O26" s="42" t="s">
        <v>36</v>
      </c>
      <c r="P26" s="42"/>
      <c r="Q26" s="42" t="s">
        <v>36</v>
      </c>
      <c r="R26" s="42"/>
      <c r="S26" s="42" t="s">
        <v>36</v>
      </c>
      <c r="T26" s="42"/>
      <c r="U26" s="42" t="s">
        <v>36</v>
      </c>
      <c r="V26" s="42"/>
      <c r="W26" s="42" t="s">
        <v>36</v>
      </c>
      <c r="X26" s="42"/>
      <c r="Y26" s="42" t="s">
        <v>36</v>
      </c>
      <c r="Z26" s="42"/>
      <c r="AA26" s="42"/>
      <c r="AB26" s="42"/>
      <c r="AC26" s="42"/>
      <c r="AD26" s="42"/>
      <c r="AE26" s="42"/>
    </row>
    <row r="27" spans="1:31">
      <c r="A27" s="42"/>
      <c r="B27" s="42"/>
      <c r="C27" s="42" t="s">
        <v>37</v>
      </c>
      <c r="D27" s="42"/>
      <c r="E27" s="42"/>
      <c r="F27" s="42"/>
      <c r="G27" s="42"/>
      <c r="H27" s="42"/>
      <c r="I27" s="42"/>
      <c r="J27" s="42"/>
      <c r="K27" s="42"/>
      <c r="L27" s="42">
        <f>COUNTIF($C7:$C18,"=TEMPO")</f>
        <v>0</v>
      </c>
      <c r="M27" s="42">
        <f>SUMIF($C7:$C18,"TEMPO",N7:N18)</f>
        <v>0</v>
      </c>
      <c r="N27" s="42">
        <f>M27</f>
        <v>0</v>
      </c>
      <c r="O27" s="42">
        <f>SUMIF($C7:$C18,"TEMPO",P7:P18)</f>
        <v>0</v>
      </c>
      <c r="P27" s="42">
        <f>O27</f>
        <v>0</v>
      </c>
      <c r="Q27" s="42">
        <f>SUMIF($C7:$C18,"TEMPO",R7:R18)</f>
        <v>0</v>
      </c>
      <c r="R27" s="42">
        <f>Q27</f>
        <v>0</v>
      </c>
      <c r="S27" s="42">
        <f>SUMIF($C7:$C18,"TEMPO",T7:T18)</f>
        <v>0</v>
      </c>
      <c r="T27" s="42">
        <f>S27</f>
        <v>0</v>
      </c>
      <c r="U27" s="42">
        <f>SUMIF($C7:$C18,"TEMPO",V7:V18)</f>
        <v>0</v>
      </c>
      <c r="V27" s="42">
        <f>U27</f>
        <v>0</v>
      </c>
      <c r="W27" s="42">
        <f>SUMIF($C7:$C18,"TEMPO",X7:X18)</f>
        <v>0</v>
      </c>
      <c r="X27" s="42">
        <f>W27</f>
        <v>0</v>
      </c>
      <c r="Y27" s="42">
        <f>SUMIF($C7:$C18,"TEMPO",Z7:Z18)</f>
        <v>0</v>
      </c>
      <c r="Z27" s="42">
        <f>Y27</f>
        <v>0</v>
      </c>
      <c r="AA27" s="42"/>
      <c r="AB27" s="42"/>
      <c r="AC27" s="42"/>
      <c r="AD27" s="42"/>
      <c r="AE27" s="42"/>
    </row>
    <row r="28" spans="1:31">
      <c r="A28" s="25"/>
      <c r="B28" s="25"/>
      <c r="C28" s="38" t="s">
        <v>38</v>
      </c>
      <c r="D28" s="38"/>
      <c r="E28" s="39"/>
      <c r="F28" s="39"/>
      <c r="G28" s="39"/>
      <c r="H28" s="39"/>
      <c r="I28" s="39"/>
      <c r="J28" s="39"/>
      <c r="K28" s="39"/>
      <c r="L28" s="38"/>
      <c r="M28" s="39"/>
      <c r="N28" s="38">
        <f>(SUM(N24:N27)/COUNTA(N7:N18))*100</f>
        <v>100</v>
      </c>
      <c r="O28" s="38"/>
      <c r="P28" s="38">
        <f>(SUM(P24:P27)/COUNTA(P7:P18))*100</f>
        <v>100</v>
      </c>
      <c r="Q28" s="38"/>
      <c r="R28" s="38">
        <f>(SUM(R24:R27)/COUNTA(R7:R18))*100</f>
        <v>100</v>
      </c>
      <c r="S28" s="38"/>
      <c r="T28" s="38">
        <f>(SUM(T24:T27)/COUNTA(T7:T18))*100</f>
        <v>100</v>
      </c>
      <c r="U28" s="38"/>
      <c r="V28" s="38">
        <f>(SUM(V24:V27)/COUNTA(V7:V18))*100</f>
        <v>100</v>
      </c>
      <c r="W28" s="38"/>
      <c r="X28" s="38">
        <f>(SUM(X24:X27)/COUNTA(X7:X18))*100</f>
        <v>83.333333333333343</v>
      </c>
      <c r="Y28" s="38"/>
      <c r="Z28" s="38">
        <f>(SUM(Z24:Z27)/COUNTA(Z7:Z18))*100</f>
        <v>100</v>
      </c>
      <c r="AA28" s="38" t="e">
        <v>#DIV/0!</v>
      </c>
      <c r="AB28" s="38"/>
      <c r="AC28" s="25"/>
      <c r="AD28" s="25"/>
      <c r="AE28" s="25"/>
    </row>
    <row r="29" spans="1:31">
      <c r="A29" s="25"/>
      <c r="B29" s="25"/>
      <c r="C29" s="41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25"/>
      <c r="AB30" s="25"/>
      <c r="AC30" s="25"/>
      <c r="AD30" s="25"/>
      <c r="AE30" s="25"/>
    </row>
    <row r="31" spans="1:31">
      <c r="A31" s="44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6"/>
      <c r="AA31" s="46"/>
      <c r="AB31" s="46"/>
      <c r="AC31" s="46"/>
      <c r="AD31" s="46"/>
      <c r="AE31" s="46"/>
    </row>
    <row r="32" spans="1:31">
      <c r="A32" s="44"/>
      <c r="B32" s="45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6"/>
      <c r="AA32" s="46"/>
      <c r="AB32" s="46"/>
      <c r="AC32" s="46"/>
      <c r="AD32" s="46"/>
      <c r="AE32" s="46"/>
    </row>
    <row r="33" spans="1:31" ht="39.950000000000003" customHeight="1">
      <c r="A33" s="73" t="s">
        <v>17</v>
      </c>
      <c r="B33" s="73" t="s">
        <v>18</v>
      </c>
      <c r="C33" s="26" t="s">
        <v>19</v>
      </c>
      <c r="D33" s="76" t="s">
        <v>855</v>
      </c>
      <c r="E33" s="77"/>
      <c r="F33" s="77"/>
      <c r="G33" s="77"/>
      <c r="H33" s="77"/>
      <c r="I33" s="77"/>
      <c r="J33" s="77"/>
      <c r="K33" s="78"/>
      <c r="L33" s="79" t="s">
        <v>20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1"/>
      <c r="AA33" s="25"/>
      <c r="AB33" s="25"/>
      <c r="AC33" s="25"/>
      <c r="AD33" s="25"/>
      <c r="AE33" s="25"/>
    </row>
    <row r="34" spans="1:31" ht="27" customHeight="1">
      <c r="A34" s="75"/>
      <c r="B34" s="75"/>
      <c r="C34" s="73" t="s">
        <v>21</v>
      </c>
      <c r="D34" s="73" t="s">
        <v>22</v>
      </c>
      <c r="E34" s="73" t="s">
        <v>23</v>
      </c>
      <c r="F34" s="73" t="s">
        <v>24</v>
      </c>
      <c r="G34" s="73" t="s">
        <v>25</v>
      </c>
      <c r="H34" s="73" t="s">
        <v>26</v>
      </c>
      <c r="I34" s="73" t="s">
        <v>27</v>
      </c>
      <c r="J34" s="73" t="s">
        <v>28</v>
      </c>
      <c r="K34" s="73" t="s">
        <v>29</v>
      </c>
      <c r="L34" s="71" t="s">
        <v>30</v>
      </c>
      <c r="M34" s="71" t="s">
        <v>23</v>
      </c>
      <c r="N34" s="71" t="s">
        <v>31</v>
      </c>
      <c r="O34" s="71" t="s">
        <v>24</v>
      </c>
      <c r="P34" s="71" t="s">
        <v>31</v>
      </c>
      <c r="Q34" s="71" t="s">
        <v>25</v>
      </c>
      <c r="R34" s="71" t="s">
        <v>31</v>
      </c>
      <c r="S34" s="71" t="s">
        <v>26</v>
      </c>
      <c r="T34" s="71" t="s">
        <v>31</v>
      </c>
      <c r="U34" s="71" t="s">
        <v>27</v>
      </c>
      <c r="V34" s="71" t="s">
        <v>31</v>
      </c>
      <c r="W34" s="71" t="s">
        <v>28</v>
      </c>
      <c r="X34" s="71" t="s">
        <v>31</v>
      </c>
      <c r="Y34" s="71" t="s">
        <v>29</v>
      </c>
      <c r="Z34" s="71" t="s">
        <v>31</v>
      </c>
      <c r="AA34" s="25"/>
      <c r="AB34" s="25"/>
      <c r="AC34" s="25"/>
      <c r="AD34" s="25"/>
      <c r="AE34" s="25"/>
    </row>
    <row r="35" spans="1:31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25"/>
      <c r="AB35" s="25"/>
      <c r="AC35" s="25"/>
      <c r="AD35" s="25"/>
      <c r="AE35" s="25"/>
    </row>
    <row r="36" spans="1:31" ht="16.5">
      <c r="A36" s="27">
        <v>30</v>
      </c>
      <c r="B36" s="28">
        <v>0.25</v>
      </c>
      <c r="C36" s="29" t="s">
        <v>39</v>
      </c>
      <c r="D36" s="52"/>
      <c r="E36" s="29">
        <v>130</v>
      </c>
      <c r="F36" s="29">
        <v>3</v>
      </c>
      <c r="G36" s="29">
        <v>0</v>
      </c>
      <c r="H36" s="29">
        <v>8000</v>
      </c>
      <c r="I36" s="29">
        <v>0</v>
      </c>
      <c r="J36" s="29" t="s">
        <v>58</v>
      </c>
      <c r="K36" s="29">
        <v>800</v>
      </c>
      <c r="L36" s="1" t="s">
        <v>877</v>
      </c>
      <c r="M36" s="32">
        <f t="shared" ref="M36:M41" si="27">IF(ISNUMBER(VALUE(FIND("VRB",L36))),999,VALUE(MID(L36,20,3)))</f>
        <v>150</v>
      </c>
      <c r="N36" s="33">
        <f t="shared" ref="N36:N41" si="28">IF(OR(ABS(E36-M36)&lt;61,AND(ABS(E36-M36)&gt;60,O36&lt;10),E36=M36,AND(E36=999,ISNUMBER(VALUE(FIND("TS",L36)))),AND(E36=999,ISNUMBER(VALUE(FIND("CB",L36)))),AND(E36=999,O36&lt;10),AND(F36&lt;10,M36=999,O36&lt;10)),1,0)</f>
        <v>1</v>
      </c>
      <c r="O36" s="33">
        <f t="shared" ref="O36:O41" si="29">VALUE(MID(L36,23,2))</f>
        <v>3</v>
      </c>
      <c r="P36" s="33">
        <f t="shared" ref="P36:P41" si="30">IF(ABS(O36-F36)&lt;11,1,0)</f>
        <v>1</v>
      </c>
      <c r="Q36" s="34">
        <f t="shared" ref="Q36:Q41" si="31">IF(MID(L36,25,1)="G","GUST",0)</f>
        <v>0</v>
      </c>
      <c r="R36" s="33">
        <f t="shared" ref="R36:R41" si="32">IF(G36=Q36,1,0)</f>
        <v>1</v>
      </c>
      <c r="S36" s="34">
        <f>IF(ISNUMBER(VALUE(MID(L36,(FIND("KT",L36,FIND("Z",L36))+3),4))),VALUE(MID(L36,(FIND("KT",L36,FIND("Z",L36))+3),4)),IF(ISNUMBER(VALUE(MID(L36,(FIND("0V",L36)+6),4))),VALUE(MID(L36,(FIND("0V",L36)+6),4)),9999))</f>
        <v>8000</v>
      </c>
      <c r="T36" s="34">
        <f t="shared" ref="T36:T41" si="33">IF(OR(AND(H36&lt;801,S36&lt;801),AND(H36&gt;799,H36&lt;1501,S36&gt;799,S36&lt;1502),AND(H36&gt;1499,H36&lt;3001,S36&gt;1499,S36&lt;3001),AND(H36&gt;2999,H36&lt;5001,S36&gt;2999,S36&lt;5001),AND(H36&gt;4999,S36&gt;4999)),1,0)</f>
        <v>1</v>
      </c>
      <c r="U36" s="34">
        <f t="shared" ref="U36:U41" si="34">IF(AND(IFERROR(FIND("RA",L36),0)&gt;0, IFERROR(FIND("RA",L36),0)&lt;38),"RA",0)</f>
        <v>0</v>
      </c>
      <c r="V36" s="34">
        <f t="shared" ref="V36:V41" si="35">IF(U36=I36,1,0)</f>
        <v>1</v>
      </c>
      <c r="W36" s="34" t="str">
        <f t="shared" ref="W36:W41" si="36">IF(ISNUMBER(VALUE(FIND("FEW",L36))),"FEW",IF(ISNUMBER(VALUE(FIND("SCT",L36))),"SCT",IF(ISNUMBER(VALUE(FIND("BKN",L36))),"BKN",IF(ISNUMBER(VALUE(FIND("OVC",L36))),"OVC",IF(ISNUMBER(VALUE(FIND("SKC",L36))),"SKC",IF(ISNUMBER(VALUE(FIND("CAVOK",L36))),"SKC",IF(ISNUMBER(VALUE(FIND("NSC",L36))),"SKC","EROR")))))))</f>
        <v>BKN</v>
      </c>
      <c r="X36" s="34">
        <f t="shared" ref="X36:X41" si="37">IF(OR(AND(OR(J36="SKC",J36="FEW",J36="SCT"),OR(W36="SKC",W36="FEW",W36="SCT")),(AND(OR(J36="BKN",J36="OVC"),OR(W36="BKN",W36="OVC")))),1,0)</f>
        <v>1</v>
      </c>
      <c r="Y36" s="34">
        <f t="shared" ref="Y36:Y41" si="38">IF(ISNUMBER(VALUE(FIND("CAVOK",L36))),9999,IF(ISNUMBER(VALUE(FIND("NSC",L36))),9999,(MID(L36,(FIND(W36,L36)+4),2))*100))</f>
        <v>800</v>
      </c>
      <c r="Z36" s="34">
        <f t="shared" ref="Z36:Z41" si="39">IF(AND(Y36&lt;1001,ABS(K36-Y36)&lt;101),1,IF(AND(Y36&gt;1000,ABS(Y36-K36)/K36&lt;0.30005),1,0))</f>
        <v>1</v>
      </c>
      <c r="AA36" s="35"/>
      <c r="AB36" s="35"/>
      <c r="AC36" s="35"/>
      <c r="AD36" s="35"/>
      <c r="AE36" s="35"/>
    </row>
    <row r="37" spans="1:31" ht="16.5">
      <c r="A37" s="36"/>
      <c r="B37" s="37">
        <v>0.29166666666666669</v>
      </c>
      <c r="C37" s="29" t="s">
        <v>39</v>
      </c>
      <c r="D37" s="52"/>
      <c r="E37" s="29">
        <v>130</v>
      </c>
      <c r="F37" s="29">
        <v>3</v>
      </c>
      <c r="G37" s="29">
        <v>0</v>
      </c>
      <c r="H37" s="29">
        <v>8000</v>
      </c>
      <c r="I37" s="29">
        <v>0</v>
      </c>
      <c r="J37" s="29" t="s">
        <v>58</v>
      </c>
      <c r="K37" s="29">
        <v>800</v>
      </c>
      <c r="L37" s="1" t="s">
        <v>879</v>
      </c>
      <c r="M37" s="32">
        <f t="shared" si="27"/>
        <v>130</v>
      </c>
      <c r="N37" s="33">
        <f t="shared" si="28"/>
        <v>1</v>
      </c>
      <c r="O37" s="33">
        <f t="shared" si="29"/>
        <v>3</v>
      </c>
      <c r="P37" s="33">
        <f t="shared" si="30"/>
        <v>1</v>
      </c>
      <c r="Q37" s="34">
        <f t="shared" si="31"/>
        <v>0</v>
      </c>
      <c r="R37" s="33">
        <f t="shared" si="32"/>
        <v>1</v>
      </c>
      <c r="S37" s="34">
        <f t="shared" ref="S37:S47" si="40">IF(ISNUMBER(VALUE(MID(L37,(FIND("KT",L37,FIND("Z",L37))+3),4))),VALUE(MID(L37,(FIND("KT",L37,FIND("Z",L37))+3),4)),IF(ISNUMBER(VALUE(MID(L37,(FIND("0V",L37)+6),4))),VALUE(MID(L37,(FIND("0V",L37)+6),4)),9999))</f>
        <v>8000</v>
      </c>
      <c r="T37" s="34">
        <f t="shared" si="33"/>
        <v>1</v>
      </c>
      <c r="U37" s="34">
        <f t="shared" si="34"/>
        <v>0</v>
      </c>
      <c r="V37" s="34">
        <f t="shared" si="35"/>
        <v>1</v>
      </c>
      <c r="W37" s="34" t="str">
        <f t="shared" si="36"/>
        <v>BKN</v>
      </c>
      <c r="X37" s="34">
        <f t="shared" si="37"/>
        <v>1</v>
      </c>
      <c r="Y37" s="34">
        <f t="shared" si="38"/>
        <v>900</v>
      </c>
      <c r="Z37" s="34">
        <f t="shared" si="39"/>
        <v>1</v>
      </c>
      <c r="AA37" s="35"/>
      <c r="AB37" s="35"/>
      <c r="AC37" s="35"/>
      <c r="AD37" s="35"/>
      <c r="AE37" s="35"/>
    </row>
    <row r="38" spans="1:31" ht="16.5">
      <c r="A38" s="36"/>
      <c r="B38" s="37">
        <v>0.33333333333333331</v>
      </c>
      <c r="C38" s="29" t="s">
        <v>39</v>
      </c>
      <c r="D38" s="52"/>
      <c r="E38" s="29">
        <v>130</v>
      </c>
      <c r="F38" s="29">
        <v>3</v>
      </c>
      <c r="G38" s="29">
        <v>0</v>
      </c>
      <c r="H38" s="29">
        <v>8000</v>
      </c>
      <c r="I38" s="29">
        <v>0</v>
      </c>
      <c r="J38" s="29" t="s">
        <v>58</v>
      </c>
      <c r="K38" s="29">
        <v>800</v>
      </c>
      <c r="L38" s="29" t="s">
        <v>880</v>
      </c>
      <c r="M38" s="32">
        <f t="shared" si="27"/>
        <v>140</v>
      </c>
      <c r="N38" s="33">
        <f t="shared" si="28"/>
        <v>1</v>
      </c>
      <c r="O38" s="33">
        <f t="shared" si="29"/>
        <v>2</v>
      </c>
      <c r="P38" s="33">
        <f t="shared" si="30"/>
        <v>1</v>
      </c>
      <c r="Q38" s="34">
        <f t="shared" si="31"/>
        <v>0</v>
      </c>
      <c r="R38" s="33">
        <f t="shared" si="32"/>
        <v>1</v>
      </c>
      <c r="S38" s="34">
        <f t="shared" si="40"/>
        <v>8000</v>
      </c>
      <c r="T38" s="34">
        <f t="shared" si="33"/>
        <v>1</v>
      </c>
      <c r="U38" s="34">
        <f t="shared" si="34"/>
        <v>0</v>
      </c>
      <c r="V38" s="34">
        <f t="shared" si="35"/>
        <v>1</v>
      </c>
      <c r="W38" s="34" t="str">
        <f t="shared" si="36"/>
        <v>BKN</v>
      </c>
      <c r="X38" s="34">
        <f t="shared" si="37"/>
        <v>1</v>
      </c>
      <c r="Y38" s="34">
        <f t="shared" si="38"/>
        <v>800</v>
      </c>
      <c r="Z38" s="34">
        <f t="shared" si="39"/>
        <v>1</v>
      </c>
      <c r="AA38" s="35"/>
      <c r="AB38" s="35"/>
      <c r="AC38" s="35"/>
      <c r="AD38" s="35"/>
      <c r="AE38" s="35"/>
    </row>
    <row r="39" spans="1:31" ht="16.5">
      <c r="A39" s="36"/>
      <c r="B39" s="37">
        <v>0.375</v>
      </c>
      <c r="C39" s="29" t="s">
        <v>39</v>
      </c>
      <c r="D39" s="52"/>
      <c r="E39" s="29">
        <v>130</v>
      </c>
      <c r="F39" s="29">
        <v>3</v>
      </c>
      <c r="G39" s="29">
        <v>0</v>
      </c>
      <c r="H39" s="29">
        <v>8000</v>
      </c>
      <c r="I39" s="29">
        <v>0</v>
      </c>
      <c r="J39" s="29" t="s">
        <v>58</v>
      </c>
      <c r="K39" s="29">
        <v>800</v>
      </c>
      <c r="L39" s="29" t="s">
        <v>881</v>
      </c>
      <c r="M39" s="32">
        <f t="shared" si="27"/>
        <v>0</v>
      </c>
      <c r="N39" s="33">
        <f t="shared" si="28"/>
        <v>1</v>
      </c>
      <c r="O39" s="33">
        <f t="shared" si="29"/>
        <v>0</v>
      </c>
      <c r="P39" s="33">
        <f t="shared" si="30"/>
        <v>1</v>
      </c>
      <c r="Q39" s="34">
        <f t="shared" si="31"/>
        <v>0</v>
      </c>
      <c r="R39" s="33">
        <f t="shared" si="32"/>
        <v>1</v>
      </c>
      <c r="S39" s="34">
        <f t="shared" si="40"/>
        <v>8000</v>
      </c>
      <c r="T39" s="34">
        <f t="shared" si="33"/>
        <v>1</v>
      </c>
      <c r="U39" s="34">
        <f t="shared" si="34"/>
        <v>0</v>
      </c>
      <c r="V39" s="34">
        <f t="shared" si="35"/>
        <v>1</v>
      </c>
      <c r="W39" s="34" t="str">
        <f t="shared" si="36"/>
        <v>BKN</v>
      </c>
      <c r="X39" s="34">
        <f t="shared" si="37"/>
        <v>1</v>
      </c>
      <c r="Y39" s="34">
        <f t="shared" si="38"/>
        <v>800</v>
      </c>
      <c r="Z39" s="34">
        <f t="shared" si="39"/>
        <v>1</v>
      </c>
      <c r="AA39" s="35"/>
      <c r="AB39" s="35"/>
      <c r="AC39" s="35"/>
      <c r="AD39" s="35"/>
      <c r="AE39" s="35"/>
    </row>
    <row r="40" spans="1:31" ht="16.5">
      <c r="A40" s="36"/>
      <c r="B40" s="37">
        <v>0.41666666666666669</v>
      </c>
      <c r="C40" s="29" t="s">
        <v>39</v>
      </c>
      <c r="D40" s="52"/>
      <c r="E40" s="29">
        <v>130</v>
      </c>
      <c r="F40" s="29">
        <v>3</v>
      </c>
      <c r="G40" s="29">
        <v>0</v>
      </c>
      <c r="H40" s="29">
        <v>8000</v>
      </c>
      <c r="I40" s="29">
        <v>0</v>
      </c>
      <c r="J40" s="29" t="s">
        <v>58</v>
      </c>
      <c r="K40" s="29">
        <v>800</v>
      </c>
      <c r="L40" s="29" t="s">
        <v>902</v>
      </c>
      <c r="M40" s="32">
        <f t="shared" si="27"/>
        <v>0</v>
      </c>
      <c r="N40" s="33">
        <f t="shared" si="28"/>
        <v>1</v>
      </c>
      <c r="O40" s="33">
        <f t="shared" si="29"/>
        <v>0</v>
      </c>
      <c r="P40" s="33">
        <f t="shared" si="30"/>
        <v>1</v>
      </c>
      <c r="Q40" s="34">
        <f t="shared" si="31"/>
        <v>0</v>
      </c>
      <c r="R40" s="33">
        <f t="shared" si="32"/>
        <v>1</v>
      </c>
      <c r="S40" s="34">
        <f t="shared" si="40"/>
        <v>8000</v>
      </c>
      <c r="T40" s="34">
        <f t="shared" si="33"/>
        <v>1</v>
      </c>
      <c r="U40" s="34">
        <f t="shared" si="34"/>
        <v>0</v>
      </c>
      <c r="V40" s="34">
        <f t="shared" si="35"/>
        <v>1</v>
      </c>
      <c r="W40" s="34" t="str">
        <f t="shared" si="36"/>
        <v>BKN</v>
      </c>
      <c r="X40" s="34">
        <f t="shared" si="37"/>
        <v>1</v>
      </c>
      <c r="Y40" s="34">
        <f t="shared" si="38"/>
        <v>800</v>
      </c>
      <c r="Z40" s="34">
        <f t="shared" si="39"/>
        <v>1</v>
      </c>
      <c r="AA40" s="35"/>
      <c r="AB40" s="35"/>
      <c r="AC40" s="35"/>
      <c r="AD40" s="35"/>
      <c r="AE40" s="35"/>
    </row>
    <row r="41" spans="1:31" ht="16.5">
      <c r="A41" s="36"/>
      <c r="B41" s="37">
        <v>0.45833333333333331</v>
      </c>
      <c r="C41" s="29" t="s">
        <v>39</v>
      </c>
      <c r="D41" s="52"/>
      <c r="E41" s="29">
        <v>130</v>
      </c>
      <c r="F41" s="29">
        <v>3</v>
      </c>
      <c r="G41" s="29">
        <v>0</v>
      </c>
      <c r="H41" s="29">
        <v>8000</v>
      </c>
      <c r="I41" s="29">
        <v>0</v>
      </c>
      <c r="J41" s="29" t="s">
        <v>58</v>
      </c>
      <c r="K41" s="29">
        <v>800</v>
      </c>
      <c r="L41" s="29" t="s">
        <v>882</v>
      </c>
      <c r="M41" s="32">
        <f t="shared" si="27"/>
        <v>0</v>
      </c>
      <c r="N41" s="33">
        <f t="shared" si="28"/>
        <v>1</v>
      </c>
      <c r="O41" s="33">
        <f t="shared" si="29"/>
        <v>0</v>
      </c>
      <c r="P41" s="33">
        <f t="shared" si="30"/>
        <v>1</v>
      </c>
      <c r="Q41" s="34">
        <f t="shared" si="31"/>
        <v>0</v>
      </c>
      <c r="R41" s="33">
        <f t="shared" si="32"/>
        <v>1</v>
      </c>
      <c r="S41" s="34">
        <f t="shared" si="40"/>
        <v>8000</v>
      </c>
      <c r="T41" s="34">
        <f t="shared" si="33"/>
        <v>1</v>
      </c>
      <c r="U41" s="34">
        <f t="shared" si="34"/>
        <v>0</v>
      </c>
      <c r="V41" s="34">
        <f t="shared" si="35"/>
        <v>1</v>
      </c>
      <c r="W41" s="34" t="str">
        <f t="shared" si="36"/>
        <v>BKN</v>
      </c>
      <c r="X41" s="34">
        <f t="shared" si="37"/>
        <v>1</v>
      </c>
      <c r="Y41" s="34">
        <f t="shared" si="38"/>
        <v>900</v>
      </c>
      <c r="Z41" s="34">
        <f t="shared" si="39"/>
        <v>1</v>
      </c>
      <c r="AA41" s="35"/>
      <c r="AB41" s="35"/>
      <c r="AC41" s="35"/>
      <c r="AD41" s="35"/>
      <c r="AE41" s="35"/>
    </row>
    <row r="42" spans="1:31" ht="16.5">
      <c r="A42" s="36"/>
      <c r="B42" s="37">
        <v>0.5</v>
      </c>
      <c r="C42" s="29" t="s">
        <v>39</v>
      </c>
      <c r="D42" s="52"/>
      <c r="E42" s="29">
        <v>130</v>
      </c>
      <c r="F42" s="29">
        <v>3</v>
      </c>
      <c r="G42" s="29">
        <v>0</v>
      </c>
      <c r="H42" s="29">
        <v>8000</v>
      </c>
      <c r="I42" s="29">
        <v>0</v>
      </c>
      <c r="J42" s="29" t="s">
        <v>58</v>
      </c>
      <c r="K42" s="29">
        <v>800</v>
      </c>
      <c r="L42" s="29" t="s">
        <v>883</v>
      </c>
      <c r="M42" s="32">
        <f t="shared" ref="M42:M47" si="41">IF(ISNUMBER(VALUE(FIND("VRB",L42))),999,VALUE(MID(L42,20,3)))</f>
        <v>0</v>
      </c>
      <c r="N42" s="33">
        <f t="shared" ref="N42:N47" si="42">IF(OR(ABS(E42-M42)&lt;61,AND(ABS(E42-M42)&gt;60,O42&lt;10),E42=M42,AND(E42=999,ISNUMBER(VALUE(FIND("TS",L42)))),AND(E42=999,ISNUMBER(VALUE(FIND("CB",L42)))),AND(E42=999,O42&lt;10),AND(F42&lt;10,M42=999,O42&lt;10)),1,0)</f>
        <v>1</v>
      </c>
      <c r="O42" s="33">
        <f t="shared" ref="O42:O47" si="43">VALUE(MID(L42,23,2))</f>
        <v>0</v>
      </c>
      <c r="P42" s="33">
        <f t="shared" ref="P42:P47" si="44">IF(ABS(O42-F42)&lt;11,1,0)</f>
        <v>1</v>
      </c>
      <c r="Q42" s="34">
        <f t="shared" ref="Q42:Q47" si="45">IF(MID(L42,25,1)="G","GUST",0)</f>
        <v>0</v>
      </c>
      <c r="R42" s="33">
        <f t="shared" ref="R42:R47" si="46">IF(G42=Q42,1,0)</f>
        <v>1</v>
      </c>
      <c r="S42" s="34">
        <f t="shared" si="40"/>
        <v>8000</v>
      </c>
      <c r="T42" s="34">
        <f t="shared" ref="T42:T47" si="47">IF(OR(AND(H42&lt;801,S42&lt;801),AND(H42&gt;799,H42&lt;1501,S42&gt;799,S42&lt;1502),AND(H42&gt;1499,H42&lt;3001,S42&gt;1499,S42&lt;3001),AND(H42&gt;2999,H42&lt;5001,S42&gt;2999,S42&lt;5001),AND(H42&gt;4999,S42&gt;4999)),1,0)</f>
        <v>1</v>
      </c>
      <c r="U42" s="34">
        <f t="shared" ref="U42:U47" si="48">IF(AND(IFERROR(FIND("RA",L42),0)&gt;0, IFERROR(FIND("RA",L42),0)&lt;38),"RA",0)</f>
        <v>0</v>
      </c>
      <c r="V42" s="34">
        <f t="shared" ref="V42:V47" si="49">IF(U42=I42,1,0)</f>
        <v>1</v>
      </c>
      <c r="W42" s="34" t="str">
        <f t="shared" ref="W42:W47" si="50">IF(ISNUMBER(VALUE(FIND("FEW",L42))),"FEW",IF(ISNUMBER(VALUE(FIND("SCT",L42))),"SCT",IF(ISNUMBER(VALUE(FIND("BKN",L42))),"BKN",IF(ISNUMBER(VALUE(FIND("OVC",L42))),"OVC",IF(ISNUMBER(VALUE(FIND("SKC",L42))),"SKC",IF(ISNUMBER(VALUE(FIND("CAVOK",L42))),"SKC",IF(ISNUMBER(VALUE(FIND("NSC",L42))),"SKC","EROR")))))))</f>
        <v>BKN</v>
      </c>
      <c r="X42" s="34">
        <f t="shared" ref="X42:X47" si="51">IF(OR(AND(OR(J42="SKC",J42="FEW",J42="SCT"),OR(W42="SKC",W42="FEW",W42="SCT")),(AND(OR(J42="BKN",J42="OVC"),OR(W42="BKN",W42="OVC")))),1,0)</f>
        <v>1</v>
      </c>
      <c r="Y42" s="34">
        <f t="shared" ref="Y42:Y47" si="52">IF(ISNUMBER(VALUE(FIND("CAVOK",L42))),9999,IF(ISNUMBER(VALUE(FIND("NSC",L42))),9999,(MID(L42,(FIND(W42,L42)+4),2))*100))</f>
        <v>900</v>
      </c>
      <c r="Z42" s="34">
        <f t="shared" ref="Z42:Z47" si="53">IF(AND(Y42&lt;1001,ABS(K42-Y42)&lt;101),1,IF(AND(Y42&gt;1000,ABS(Y42-K42)/K42&lt;0.30005),1,0))</f>
        <v>1</v>
      </c>
      <c r="AA42" s="82"/>
      <c r="AB42" s="35"/>
      <c r="AC42" s="35"/>
      <c r="AD42" s="35"/>
      <c r="AE42" s="35"/>
    </row>
    <row r="43" spans="1:31" ht="16.5">
      <c r="A43" s="36"/>
      <c r="B43" s="37">
        <v>0.54166666666666663</v>
      </c>
      <c r="C43" s="29" t="s">
        <v>39</v>
      </c>
      <c r="D43" s="52"/>
      <c r="E43" s="29">
        <v>130</v>
      </c>
      <c r="F43" s="29">
        <v>3</v>
      </c>
      <c r="G43" s="29">
        <v>0</v>
      </c>
      <c r="H43" s="29">
        <v>8000</v>
      </c>
      <c r="I43" s="29">
        <v>0</v>
      </c>
      <c r="J43" s="29" t="s">
        <v>58</v>
      </c>
      <c r="K43" s="29">
        <v>800</v>
      </c>
      <c r="L43" s="29" t="s">
        <v>903</v>
      </c>
      <c r="M43" s="32">
        <f t="shared" si="41"/>
        <v>0</v>
      </c>
      <c r="N43" s="33">
        <f t="shared" si="42"/>
        <v>1</v>
      </c>
      <c r="O43" s="33">
        <f t="shared" si="43"/>
        <v>0</v>
      </c>
      <c r="P43" s="33">
        <f t="shared" si="44"/>
        <v>1</v>
      </c>
      <c r="Q43" s="34">
        <f t="shared" si="45"/>
        <v>0</v>
      </c>
      <c r="R43" s="33">
        <f t="shared" si="46"/>
        <v>1</v>
      </c>
      <c r="S43" s="34">
        <f t="shared" si="40"/>
        <v>8000</v>
      </c>
      <c r="T43" s="34">
        <f t="shared" si="47"/>
        <v>1</v>
      </c>
      <c r="U43" s="34">
        <f t="shared" si="48"/>
        <v>0</v>
      </c>
      <c r="V43" s="34">
        <f t="shared" si="49"/>
        <v>1</v>
      </c>
      <c r="W43" s="34" t="str">
        <f t="shared" si="50"/>
        <v>BKN</v>
      </c>
      <c r="X43" s="34">
        <f t="shared" si="51"/>
        <v>1</v>
      </c>
      <c r="Y43" s="34">
        <f t="shared" si="52"/>
        <v>900</v>
      </c>
      <c r="Z43" s="34">
        <f t="shared" si="53"/>
        <v>1</v>
      </c>
      <c r="AA43" s="82"/>
      <c r="AB43" s="35"/>
      <c r="AC43" s="35"/>
      <c r="AD43" s="35"/>
      <c r="AE43" s="35"/>
    </row>
    <row r="44" spans="1:31" ht="16.5">
      <c r="A44" s="36"/>
      <c r="B44" s="37">
        <v>0.58333333333333337</v>
      </c>
      <c r="C44" s="29" t="s">
        <v>39</v>
      </c>
      <c r="D44" s="52"/>
      <c r="E44" s="29">
        <v>130</v>
      </c>
      <c r="F44" s="29">
        <v>3</v>
      </c>
      <c r="G44" s="29">
        <v>0</v>
      </c>
      <c r="H44" s="29">
        <v>8000</v>
      </c>
      <c r="I44" s="29">
        <v>0</v>
      </c>
      <c r="J44" s="29" t="s">
        <v>58</v>
      </c>
      <c r="K44" s="29">
        <v>800</v>
      </c>
      <c r="L44" s="29" t="s">
        <v>884</v>
      </c>
      <c r="M44" s="32">
        <f t="shared" si="41"/>
        <v>0</v>
      </c>
      <c r="N44" s="33">
        <f t="shared" si="42"/>
        <v>1</v>
      </c>
      <c r="O44" s="33">
        <f t="shared" si="43"/>
        <v>0</v>
      </c>
      <c r="P44" s="33">
        <f t="shared" si="44"/>
        <v>1</v>
      </c>
      <c r="Q44" s="34">
        <f t="shared" si="45"/>
        <v>0</v>
      </c>
      <c r="R44" s="33">
        <f t="shared" si="46"/>
        <v>1</v>
      </c>
      <c r="S44" s="34">
        <f t="shared" si="40"/>
        <v>8000</v>
      </c>
      <c r="T44" s="34">
        <f t="shared" si="47"/>
        <v>1</v>
      </c>
      <c r="U44" s="34">
        <f t="shared" si="48"/>
        <v>0</v>
      </c>
      <c r="V44" s="34">
        <f t="shared" si="49"/>
        <v>1</v>
      </c>
      <c r="W44" s="34" t="str">
        <f t="shared" si="50"/>
        <v>BKN</v>
      </c>
      <c r="X44" s="34">
        <f t="shared" si="51"/>
        <v>1</v>
      </c>
      <c r="Y44" s="34">
        <f t="shared" si="52"/>
        <v>900</v>
      </c>
      <c r="Z44" s="34">
        <f t="shared" si="53"/>
        <v>1</v>
      </c>
      <c r="AA44" s="82"/>
      <c r="AB44" s="35"/>
      <c r="AC44" s="35"/>
      <c r="AD44" s="35"/>
      <c r="AE44" s="35"/>
    </row>
    <row r="45" spans="1:31" ht="16.5">
      <c r="A45" s="36"/>
      <c r="B45" s="37">
        <v>0.625</v>
      </c>
      <c r="C45" s="29" t="s">
        <v>39</v>
      </c>
      <c r="D45" s="52"/>
      <c r="E45" s="29">
        <v>130</v>
      </c>
      <c r="F45" s="29">
        <v>3</v>
      </c>
      <c r="G45" s="29">
        <v>0</v>
      </c>
      <c r="H45" s="29">
        <v>8000</v>
      </c>
      <c r="I45" s="29">
        <v>0</v>
      </c>
      <c r="J45" s="29" t="s">
        <v>58</v>
      </c>
      <c r="K45" s="29">
        <v>800</v>
      </c>
      <c r="L45" s="29" t="s">
        <v>885</v>
      </c>
      <c r="M45" s="32">
        <f t="shared" si="41"/>
        <v>0</v>
      </c>
      <c r="N45" s="33">
        <f t="shared" si="42"/>
        <v>1</v>
      </c>
      <c r="O45" s="33">
        <f t="shared" si="43"/>
        <v>0</v>
      </c>
      <c r="P45" s="33">
        <f t="shared" si="44"/>
        <v>1</v>
      </c>
      <c r="Q45" s="34">
        <f t="shared" si="45"/>
        <v>0</v>
      </c>
      <c r="R45" s="33">
        <f t="shared" si="46"/>
        <v>1</v>
      </c>
      <c r="S45" s="34">
        <f t="shared" si="40"/>
        <v>8000</v>
      </c>
      <c r="T45" s="34">
        <f t="shared" si="47"/>
        <v>1</v>
      </c>
      <c r="U45" s="34">
        <f t="shared" si="48"/>
        <v>0</v>
      </c>
      <c r="V45" s="34">
        <f t="shared" si="49"/>
        <v>1</v>
      </c>
      <c r="W45" s="34" t="str">
        <f t="shared" si="50"/>
        <v>BKN</v>
      </c>
      <c r="X45" s="34">
        <f t="shared" si="51"/>
        <v>1</v>
      </c>
      <c r="Y45" s="34">
        <f t="shared" si="52"/>
        <v>900</v>
      </c>
      <c r="Z45" s="34">
        <f t="shared" si="53"/>
        <v>1</v>
      </c>
      <c r="AA45" s="35"/>
      <c r="AB45" s="35"/>
      <c r="AC45" s="35"/>
      <c r="AD45" s="35"/>
      <c r="AE45" s="35"/>
    </row>
    <row r="46" spans="1:31" ht="16.5">
      <c r="A46" s="36"/>
      <c r="B46" s="37">
        <v>0.66666666666666663</v>
      </c>
      <c r="C46" s="29" t="s">
        <v>39</v>
      </c>
      <c r="D46" s="52"/>
      <c r="E46" s="29">
        <v>130</v>
      </c>
      <c r="F46" s="29">
        <v>3</v>
      </c>
      <c r="G46" s="29">
        <v>0</v>
      </c>
      <c r="H46" s="29">
        <v>8000</v>
      </c>
      <c r="I46" s="29">
        <v>0</v>
      </c>
      <c r="J46" s="29" t="s">
        <v>58</v>
      </c>
      <c r="K46" s="29">
        <v>800</v>
      </c>
      <c r="L46" s="29" t="s">
        <v>886</v>
      </c>
      <c r="M46" s="32">
        <f t="shared" si="41"/>
        <v>0</v>
      </c>
      <c r="N46" s="33">
        <f t="shared" si="42"/>
        <v>1</v>
      </c>
      <c r="O46" s="33">
        <f t="shared" si="43"/>
        <v>0</v>
      </c>
      <c r="P46" s="33">
        <f t="shared" si="44"/>
        <v>1</v>
      </c>
      <c r="Q46" s="34">
        <f t="shared" si="45"/>
        <v>0</v>
      </c>
      <c r="R46" s="33">
        <f t="shared" si="46"/>
        <v>1</v>
      </c>
      <c r="S46" s="34">
        <f t="shared" si="40"/>
        <v>8000</v>
      </c>
      <c r="T46" s="34">
        <f t="shared" si="47"/>
        <v>1</v>
      </c>
      <c r="U46" s="34">
        <f t="shared" si="48"/>
        <v>0</v>
      </c>
      <c r="V46" s="34">
        <f t="shared" si="49"/>
        <v>1</v>
      </c>
      <c r="W46" s="34" t="str">
        <f t="shared" si="50"/>
        <v>BKN</v>
      </c>
      <c r="X46" s="34">
        <f t="shared" si="51"/>
        <v>1</v>
      </c>
      <c r="Y46" s="34">
        <f t="shared" si="52"/>
        <v>900</v>
      </c>
      <c r="Z46" s="34">
        <f t="shared" si="53"/>
        <v>1</v>
      </c>
      <c r="AA46" s="35"/>
      <c r="AB46" s="35"/>
      <c r="AC46" s="35"/>
      <c r="AD46" s="35"/>
      <c r="AE46" s="35"/>
    </row>
    <row r="47" spans="1:31" ht="16.5">
      <c r="A47" s="36"/>
      <c r="B47" s="37">
        <v>0.70833333333333337</v>
      </c>
      <c r="C47" s="29" t="s">
        <v>39</v>
      </c>
      <c r="D47" s="52"/>
      <c r="E47" s="29">
        <v>130</v>
      </c>
      <c r="F47" s="29">
        <v>3</v>
      </c>
      <c r="G47" s="29">
        <v>0</v>
      </c>
      <c r="H47" s="29">
        <v>8000</v>
      </c>
      <c r="I47" s="29">
        <v>0</v>
      </c>
      <c r="J47" s="29" t="s">
        <v>58</v>
      </c>
      <c r="K47" s="29">
        <v>800</v>
      </c>
      <c r="L47" s="29" t="s">
        <v>887</v>
      </c>
      <c r="M47" s="32">
        <f t="shared" si="41"/>
        <v>0</v>
      </c>
      <c r="N47" s="33">
        <f t="shared" si="42"/>
        <v>1</v>
      </c>
      <c r="O47" s="33">
        <f t="shared" si="43"/>
        <v>0</v>
      </c>
      <c r="P47" s="33">
        <f t="shared" si="44"/>
        <v>1</v>
      </c>
      <c r="Q47" s="34">
        <f t="shared" si="45"/>
        <v>0</v>
      </c>
      <c r="R47" s="33">
        <f t="shared" si="46"/>
        <v>1</v>
      </c>
      <c r="S47" s="34">
        <f t="shared" si="40"/>
        <v>6000</v>
      </c>
      <c r="T47" s="34">
        <f t="shared" si="47"/>
        <v>1</v>
      </c>
      <c r="U47" s="34">
        <f t="shared" si="48"/>
        <v>0</v>
      </c>
      <c r="V47" s="34">
        <f t="shared" si="49"/>
        <v>1</v>
      </c>
      <c r="W47" s="34" t="str">
        <f t="shared" si="50"/>
        <v>BKN</v>
      </c>
      <c r="X47" s="34">
        <f t="shared" si="51"/>
        <v>1</v>
      </c>
      <c r="Y47" s="34">
        <f t="shared" si="52"/>
        <v>900</v>
      </c>
      <c r="Z47" s="34">
        <f t="shared" si="53"/>
        <v>1</v>
      </c>
      <c r="AA47" s="35"/>
      <c r="AB47" s="35"/>
      <c r="AC47" s="35"/>
      <c r="AD47" s="35"/>
      <c r="AE47" s="35"/>
    </row>
    <row r="48" spans="1:31" ht="16.5">
      <c r="A48" s="25"/>
      <c r="B48" s="25"/>
      <c r="C48" s="38"/>
      <c r="D48" s="39"/>
      <c r="E48" s="39"/>
      <c r="F48" s="39"/>
      <c r="G48" s="39"/>
      <c r="H48" s="39"/>
      <c r="I48" s="39"/>
      <c r="J48" s="39"/>
      <c r="K48" s="39"/>
      <c r="L48" s="38"/>
      <c r="M48" s="40"/>
      <c r="N48" s="38"/>
      <c r="O48" s="40"/>
      <c r="P48" s="38"/>
      <c r="Q48" s="40"/>
      <c r="R48" s="38"/>
      <c r="S48" s="40"/>
      <c r="T48" s="38"/>
      <c r="U48" s="40"/>
      <c r="V48" s="38"/>
      <c r="W48" s="40"/>
      <c r="X48" s="38"/>
      <c r="Y48" s="40"/>
      <c r="Z48" s="38"/>
      <c r="AA48" s="25"/>
      <c r="AB48" s="25"/>
      <c r="AC48" s="25"/>
      <c r="AD48" s="25"/>
      <c r="AE48" s="25"/>
    </row>
    <row r="49" spans="1:31" ht="16.5">
      <c r="A49" s="25"/>
      <c r="B49" s="25"/>
      <c r="C49" s="41"/>
      <c r="D49" s="25"/>
      <c r="E49" s="25"/>
      <c r="F49" s="25"/>
      <c r="G49" s="25"/>
      <c r="H49" s="25"/>
      <c r="I49" s="25"/>
      <c r="J49" s="25"/>
      <c r="K49" s="25"/>
      <c r="L49" s="25"/>
      <c r="M49" s="41"/>
      <c r="N49" s="41"/>
      <c r="O49" s="41"/>
      <c r="P49" s="25"/>
      <c r="Q49" s="25"/>
      <c r="R49" s="25"/>
      <c r="S49" s="25"/>
      <c r="T49" s="25"/>
      <c r="U49" s="41"/>
      <c r="V49" s="25"/>
      <c r="W49" s="41"/>
      <c r="X49" s="25"/>
      <c r="Y49" s="41"/>
      <c r="Z49" s="25"/>
      <c r="AA49" s="25"/>
      <c r="AB49" s="25"/>
      <c r="AC49" s="47"/>
      <c r="AD49" s="25"/>
      <c r="AE49" s="25"/>
    </row>
    <row r="50" spans="1:31">
      <c r="A50" s="25"/>
      <c r="B50" s="25"/>
      <c r="C50" s="41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41"/>
      <c r="X50" s="25"/>
      <c r="Y50" s="25"/>
      <c r="Z50" s="25"/>
      <c r="AA50" s="25"/>
      <c r="AB50" s="25"/>
      <c r="AC50" s="25"/>
      <c r="AD50" s="25"/>
      <c r="AE50" s="25"/>
    </row>
    <row r="51" spans="1:3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>
      <c r="A52" s="25"/>
      <c r="B52" s="25"/>
      <c r="C52" s="41" t="s">
        <v>32</v>
      </c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>
        <f>SUM(N36:N47)</f>
        <v>12</v>
      </c>
      <c r="O52" s="25"/>
      <c r="P52" s="25">
        <f>SUM(P36:P47)</f>
        <v>12</v>
      </c>
      <c r="Q52" s="25"/>
      <c r="R52" s="25">
        <f>SUM(R36:R47)</f>
        <v>12</v>
      </c>
      <c r="S52" s="25"/>
      <c r="T52" s="25">
        <f>SUM(T36:T47)</f>
        <v>12</v>
      </c>
      <c r="U52" s="25"/>
      <c r="V52" s="25">
        <f>SUM(V36:V47)</f>
        <v>12</v>
      </c>
      <c r="W52" s="25"/>
      <c r="X52" s="25">
        <f>SUM(X36:X47)</f>
        <v>12</v>
      </c>
      <c r="Y52" s="25"/>
      <c r="Z52" s="25">
        <f>SUM(Z36:Z47)</f>
        <v>12</v>
      </c>
      <c r="AA52" s="25"/>
      <c r="AB52" s="25"/>
      <c r="AC52" s="25"/>
      <c r="AD52" s="25"/>
      <c r="AE52" s="25"/>
    </row>
    <row r="53" spans="1:31">
      <c r="A53" s="25"/>
      <c r="B53" s="25"/>
      <c r="C53" s="41" t="s">
        <v>33</v>
      </c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>
        <f>SUMIF($C36:$C47,"GENERAL",N36:N47)</f>
        <v>12</v>
      </c>
      <c r="O53" s="25"/>
      <c r="P53" s="25">
        <f>SUMIF($C36:$C47,"GENERAL",P36:P47)</f>
        <v>12</v>
      </c>
      <c r="Q53" s="25"/>
      <c r="R53" s="25">
        <f>SUMIF($C36:$C47,"GENERAL",R36:R47)</f>
        <v>12</v>
      </c>
      <c r="S53" s="25"/>
      <c r="T53" s="25">
        <f>SUMIF($C36:$C47,"GENERAL",T36:T47)</f>
        <v>12</v>
      </c>
      <c r="U53" s="25"/>
      <c r="V53" s="25">
        <f>SUMIF($C36:$C47,"GENERAL",V36:V47)</f>
        <v>12</v>
      </c>
      <c r="W53" s="25"/>
      <c r="X53" s="25">
        <f>SUMIF($C36:$C47,"GENERAL",X36:X47)</f>
        <v>12</v>
      </c>
      <c r="Y53" s="25"/>
      <c r="Z53" s="25">
        <f>SUMIF($C36:$C47,"GENERAL",Z36:Z47)</f>
        <v>12</v>
      </c>
      <c r="AA53" s="25"/>
      <c r="AB53" s="25"/>
      <c r="AC53" s="25"/>
      <c r="AD53" s="25"/>
      <c r="AE53" s="25"/>
    </row>
    <row r="54" spans="1:31">
      <c r="A54" s="25"/>
      <c r="B54" s="25"/>
      <c r="C54" s="41" t="s">
        <v>34</v>
      </c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>
        <f>SUMIF($C36:$C47,"BECMG",N36:N47)</f>
        <v>0</v>
      </c>
      <c r="O54" s="25"/>
      <c r="P54" s="25">
        <f>SUMIF($C36:$C47,"BECMG",P36:P47)</f>
        <v>0</v>
      </c>
      <c r="Q54" s="25"/>
      <c r="R54" s="25">
        <f>SUMIF($C36:$C47,"BECMG",R36:R47)</f>
        <v>0</v>
      </c>
      <c r="S54" s="25"/>
      <c r="T54" s="25">
        <f>SUMIF($C36:$C47,"BECMG",T36:T47)</f>
        <v>0</v>
      </c>
      <c r="U54" s="25"/>
      <c r="V54" s="25">
        <f>SUMIF($C36:$C47,"BECMG",V36:V47)</f>
        <v>0</v>
      </c>
      <c r="W54" s="25"/>
      <c r="X54" s="25">
        <f>SUMIF($C36:$C47,"BECMG",X36:X47)</f>
        <v>0</v>
      </c>
      <c r="Y54" s="25"/>
      <c r="Z54" s="25">
        <f>SUMIF($C36:$C47,"BECMG",Z36:Z47)</f>
        <v>0</v>
      </c>
      <c r="AA54" s="25"/>
      <c r="AB54" s="25"/>
      <c r="AC54" s="25"/>
      <c r="AD54" s="25"/>
      <c r="AE54" s="25"/>
    </row>
    <row r="55" spans="1:31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 t="s">
        <v>35</v>
      </c>
      <c r="M55" s="42" t="s">
        <v>36</v>
      </c>
      <c r="N55" s="42"/>
      <c r="O55" s="42" t="s">
        <v>36</v>
      </c>
      <c r="P55" s="42"/>
      <c r="Q55" s="42" t="s">
        <v>36</v>
      </c>
      <c r="R55" s="42"/>
      <c r="S55" s="42" t="s">
        <v>36</v>
      </c>
      <c r="T55" s="42"/>
      <c r="U55" s="42" t="s">
        <v>36</v>
      </c>
      <c r="V55" s="42"/>
      <c r="W55" s="42" t="s">
        <v>36</v>
      </c>
      <c r="X55" s="42"/>
      <c r="Y55" s="42" t="s">
        <v>36</v>
      </c>
      <c r="Z55" s="42"/>
      <c r="AA55" s="42"/>
      <c r="AB55" s="42"/>
      <c r="AC55" s="42"/>
      <c r="AD55" s="42"/>
      <c r="AE55" s="42"/>
    </row>
    <row r="56" spans="1:31">
      <c r="A56" s="42"/>
      <c r="B56" s="42"/>
      <c r="C56" s="42" t="s">
        <v>37</v>
      </c>
      <c r="D56" s="42"/>
      <c r="E56" s="42"/>
      <c r="F56" s="42"/>
      <c r="G56" s="42"/>
      <c r="H56" s="42"/>
      <c r="I56" s="42"/>
      <c r="J56" s="42"/>
      <c r="K56" s="42"/>
      <c r="L56" s="42">
        <f>COUNTIF($C36:$C47,"=TEMPO")</f>
        <v>0</v>
      </c>
      <c r="M56" s="42">
        <f>SUMIF($C36:$C47,"TEMPO",N36:N47)</f>
        <v>0</v>
      </c>
      <c r="N56" s="42">
        <f>M56</f>
        <v>0</v>
      </c>
      <c r="O56" s="42">
        <f>SUMIF($C36:$C47,"TEMPO",P36:P47)</f>
        <v>0</v>
      </c>
      <c r="P56" s="42">
        <f>O56</f>
        <v>0</v>
      </c>
      <c r="Q56" s="42">
        <f>SUMIF($C36:$C47,"TEMPO",R36:R47)</f>
        <v>0</v>
      </c>
      <c r="R56" s="42">
        <f>Q56</f>
        <v>0</v>
      </c>
      <c r="S56" s="42">
        <f>SUMIF($C36:$C47,"TEMPO",T36:T47)</f>
        <v>0</v>
      </c>
      <c r="T56" s="42">
        <f>S56</f>
        <v>0</v>
      </c>
      <c r="U56" s="42">
        <f>SUMIF($C36:$C47,"TEMPO",V36:V47)</f>
        <v>0</v>
      </c>
      <c r="V56" s="42">
        <f>U56</f>
        <v>0</v>
      </c>
      <c r="W56" s="42">
        <f>SUMIF($C36:$C47,"TEMPO",X36:X47)</f>
        <v>0</v>
      </c>
      <c r="X56" s="42">
        <f>W56</f>
        <v>0</v>
      </c>
      <c r="Y56" s="42">
        <f>SUMIF($C36:$C47,"TEMPO",Z36:Z47)</f>
        <v>0</v>
      </c>
      <c r="Z56" s="42">
        <f>Y56</f>
        <v>0</v>
      </c>
      <c r="AA56" s="42"/>
      <c r="AB56" s="42"/>
      <c r="AC56" s="42"/>
      <c r="AD56" s="42"/>
      <c r="AE56" s="42"/>
    </row>
    <row r="57" spans="1:31">
      <c r="A57" s="25"/>
      <c r="B57" s="25"/>
      <c r="C57" s="38" t="s">
        <v>38</v>
      </c>
      <c r="D57" s="38"/>
      <c r="E57" s="39"/>
      <c r="F57" s="39"/>
      <c r="G57" s="39"/>
      <c r="H57" s="39"/>
      <c r="I57" s="39"/>
      <c r="J57" s="39"/>
      <c r="K57" s="39"/>
      <c r="L57" s="38"/>
      <c r="M57" s="39"/>
      <c r="N57" s="38">
        <f>(SUM(N53:N56)/COUNTA(N36:N47))*100</f>
        <v>100</v>
      </c>
      <c r="O57" s="38"/>
      <c r="P57" s="38">
        <f>(SUM(P53:P56)/COUNTA(P36:P47))*100</f>
        <v>100</v>
      </c>
      <c r="Q57" s="38"/>
      <c r="R57" s="38">
        <f>(SUM(R53:R56)/COUNTA(R36:R47))*100</f>
        <v>100</v>
      </c>
      <c r="S57" s="38"/>
      <c r="T57" s="38">
        <f>(SUM(T53:T56)/COUNTA(T36:T47))*100</f>
        <v>100</v>
      </c>
      <c r="U57" s="38"/>
      <c r="V57" s="38">
        <f>(SUM(V53:V56)/COUNTA(V36:V47))*100</f>
        <v>100</v>
      </c>
      <c r="W57" s="38"/>
      <c r="X57" s="38">
        <f>(SUM(X53:X56)/COUNTA(X36:X47))*100</f>
        <v>100</v>
      </c>
      <c r="Y57" s="38"/>
      <c r="Z57" s="38">
        <f>(SUM(Z53:Z56)/COUNTA(Z36:Z47))*100</f>
        <v>100</v>
      </c>
      <c r="AA57" s="38" t="e">
        <v>#DIV/0!</v>
      </c>
      <c r="AB57" s="38"/>
      <c r="AC57" s="25"/>
      <c r="AD57" s="25"/>
      <c r="AE57" s="25"/>
    </row>
    <row r="58" spans="1:31">
      <c r="A58" s="25"/>
      <c r="B58" s="25"/>
      <c r="C58" s="41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</row>
    <row r="59" spans="1:3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25"/>
      <c r="AB59" s="25"/>
      <c r="AC59" s="25"/>
      <c r="AD59" s="25"/>
      <c r="AE59" s="25"/>
    </row>
    <row r="60" spans="1:31" ht="16.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8"/>
      <c r="AD60" s="46"/>
      <c r="AE60" s="46"/>
    </row>
    <row r="61" spans="1:3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ht="63" customHeight="1">
      <c r="A62" s="73" t="s">
        <v>17</v>
      </c>
      <c r="B62" s="73" t="s">
        <v>18</v>
      </c>
      <c r="C62" s="26" t="s">
        <v>19</v>
      </c>
      <c r="D62" s="76" t="s">
        <v>900</v>
      </c>
      <c r="E62" s="77"/>
      <c r="F62" s="77"/>
      <c r="G62" s="77"/>
      <c r="H62" s="77"/>
      <c r="I62" s="77"/>
      <c r="J62" s="77"/>
      <c r="K62" s="78"/>
      <c r="L62" s="79" t="s">
        <v>20</v>
      </c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1"/>
      <c r="AA62" s="25"/>
      <c r="AB62" s="25"/>
      <c r="AC62" s="25"/>
      <c r="AD62" s="25"/>
      <c r="AE62" s="25"/>
    </row>
    <row r="63" spans="1:31" ht="27" customHeight="1">
      <c r="A63" s="75"/>
      <c r="B63" s="75"/>
      <c r="C63" s="73" t="s">
        <v>21</v>
      </c>
      <c r="D63" s="73" t="s">
        <v>22</v>
      </c>
      <c r="E63" s="73" t="s">
        <v>23</v>
      </c>
      <c r="F63" s="73" t="s">
        <v>24</v>
      </c>
      <c r="G63" s="73" t="s">
        <v>25</v>
      </c>
      <c r="H63" s="73" t="s">
        <v>26</v>
      </c>
      <c r="I63" s="73" t="s">
        <v>27</v>
      </c>
      <c r="J63" s="73" t="s">
        <v>28</v>
      </c>
      <c r="K63" s="73" t="s">
        <v>29</v>
      </c>
      <c r="L63" s="71" t="s">
        <v>30</v>
      </c>
      <c r="M63" s="71" t="s">
        <v>23</v>
      </c>
      <c r="N63" s="71" t="s">
        <v>31</v>
      </c>
      <c r="O63" s="71" t="s">
        <v>24</v>
      </c>
      <c r="P63" s="71" t="s">
        <v>31</v>
      </c>
      <c r="Q63" s="71" t="s">
        <v>25</v>
      </c>
      <c r="R63" s="71" t="s">
        <v>31</v>
      </c>
      <c r="S63" s="71" t="s">
        <v>26</v>
      </c>
      <c r="T63" s="71" t="s">
        <v>31</v>
      </c>
      <c r="U63" s="71" t="s">
        <v>27</v>
      </c>
      <c r="V63" s="71" t="s">
        <v>31</v>
      </c>
      <c r="W63" s="71" t="s">
        <v>28</v>
      </c>
      <c r="X63" s="71" t="s">
        <v>31</v>
      </c>
      <c r="Y63" s="71" t="s">
        <v>29</v>
      </c>
      <c r="Z63" s="71" t="s">
        <v>31</v>
      </c>
      <c r="AA63" s="25"/>
      <c r="AB63" s="25"/>
      <c r="AC63" s="47"/>
      <c r="AD63" s="25"/>
      <c r="AE63" s="25"/>
    </row>
    <row r="64" spans="1:3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25"/>
      <c r="AB64" s="25"/>
      <c r="AC64" s="25"/>
      <c r="AD64" s="25"/>
      <c r="AE64" s="25"/>
    </row>
    <row r="65" spans="1:31" ht="16.5">
      <c r="A65" s="49">
        <v>30</v>
      </c>
      <c r="B65" s="50">
        <v>0.5</v>
      </c>
      <c r="C65" s="51" t="s">
        <v>39</v>
      </c>
      <c r="D65" s="52"/>
      <c r="E65" s="51">
        <v>120</v>
      </c>
      <c r="F65" s="51">
        <v>3</v>
      </c>
      <c r="G65" s="51">
        <v>0</v>
      </c>
      <c r="H65" s="51">
        <v>8000</v>
      </c>
      <c r="I65" s="51">
        <v>0</v>
      </c>
      <c r="J65" s="51" t="s">
        <v>58</v>
      </c>
      <c r="K65" s="51">
        <v>800</v>
      </c>
      <c r="L65" s="51" t="s">
        <v>883</v>
      </c>
      <c r="M65" s="32">
        <f t="shared" ref="M65:M70" si="54">IF(ISNUMBER(VALUE(FIND("VRB",L65))),999,VALUE(MID(L65,20,3)))</f>
        <v>0</v>
      </c>
      <c r="N65" s="33">
        <f t="shared" ref="N65:N70" si="55">IF(OR(ABS(E65-M65)&lt;61,AND(ABS(E65-M65)&gt;60,O65&lt;10),E65=M65,AND(E65=999,ISNUMBER(VALUE(FIND("TS",L65)))),AND(E65=999,ISNUMBER(VALUE(FIND("CB",L65)))),AND(E65=999,O65&lt;10),AND(F65&lt;10,M65=999,O65&lt;10)),1,0)</f>
        <v>1</v>
      </c>
      <c r="O65" s="33">
        <f t="shared" ref="O65:O70" si="56">VALUE(MID(L65,23,2))</f>
        <v>0</v>
      </c>
      <c r="P65" s="33">
        <f t="shared" ref="P65:P70" si="57">IF(ABS(O65-F65)&lt;11,1,0)</f>
        <v>1</v>
      </c>
      <c r="Q65" s="34">
        <f t="shared" ref="Q65:Q70" si="58">IF(MID(L65,25,1)="G","GUST",0)</f>
        <v>0</v>
      </c>
      <c r="R65" s="33">
        <f t="shared" ref="R65:R70" si="59">IF(G65=Q65,1,0)</f>
        <v>1</v>
      </c>
      <c r="S65" s="34">
        <f>IF(ISNUMBER(VALUE(MID(L65,(FIND("KT",L65,FIND("Z",L65))+3),4))),VALUE(MID(L65,(FIND("KT",L65,FIND("Z",L65))+3),4)),IF(ISNUMBER(VALUE(MID(L65,(FIND("0V",L65)+6),4))),VALUE(MID(L65,(FIND("0V",L65)+6),4)),9999))</f>
        <v>8000</v>
      </c>
      <c r="T65" s="34">
        <f t="shared" ref="T65:T70" si="60">IF(OR(AND(H65&lt;801,S65&lt;801),AND(H65&gt;799,H65&lt;1501,S65&gt;799,S65&lt;1502),AND(H65&gt;1499,H65&lt;3001,S65&gt;1499,S65&lt;3001),AND(H65&gt;2999,H65&lt;5001,S65&gt;2999,S65&lt;5001),AND(H65&gt;4999,S65&gt;4999)),1,0)</f>
        <v>1</v>
      </c>
      <c r="U65" s="34">
        <f t="shared" ref="U65:U70" si="61">IF(AND(IFERROR(FIND("RA",L65),0)&gt;0, IFERROR(FIND("RA",L65),0)&lt;38),"RA",0)</f>
        <v>0</v>
      </c>
      <c r="V65" s="34">
        <f t="shared" ref="V65:V70" si="62">IF(U65=I65,1,0)</f>
        <v>1</v>
      </c>
      <c r="W65" s="34" t="str">
        <f t="shared" ref="W65:W70" si="63">IF(ISNUMBER(VALUE(FIND("FEW",L65))),"FEW",IF(ISNUMBER(VALUE(FIND("SCT",L65))),"SCT",IF(ISNUMBER(VALUE(FIND("BKN",L65))),"BKN",IF(ISNUMBER(VALUE(FIND("OVC",L65))),"OVC",IF(ISNUMBER(VALUE(FIND("SKC",L65))),"SKC",IF(ISNUMBER(VALUE(FIND("CAVOK",L65))),"SKC",IF(ISNUMBER(VALUE(FIND("NSC",L65))),"SKC","EROR")))))))</f>
        <v>BKN</v>
      </c>
      <c r="X65" s="34">
        <f t="shared" ref="X65:X70" si="64">IF(OR(AND(OR(J65="SKC",J65="FEW",J65="SCT"),OR(W65="SKC",W65="FEW",W65="SCT")),(AND(OR(J65="BKN",J65="OVC"),OR(W65="BKN",W65="OVC")))),1,0)</f>
        <v>1</v>
      </c>
      <c r="Y65" s="34">
        <f t="shared" ref="Y65:Y70" si="65">IF(ISNUMBER(VALUE(FIND("CAVOK",L65))),9999,IF(ISNUMBER(VALUE(FIND("NSC",L65))),9999,(MID(L65,(FIND(W65,L65)+4),2))*100))</f>
        <v>900</v>
      </c>
      <c r="Z65" s="34">
        <f t="shared" ref="Z65:Z70" si="66">IF(AND(Y65&lt;1001,ABS(K65-Y65)&lt;101),1,IF(AND(Y65&gt;1000,ABS(Y65-K65)/K65&lt;0.30005),1,0))</f>
        <v>1</v>
      </c>
      <c r="AA65" s="25"/>
      <c r="AB65" s="25"/>
      <c r="AC65" s="25"/>
      <c r="AD65" s="25"/>
      <c r="AE65" s="25"/>
    </row>
    <row r="66" spans="1:31" ht="16.5">
      <c r="A66" s="53"/>
      <c r="B66" s="54">
        <v>0.54166666666666663</v>
      </c>
      <c r="C66" s="51" t="s">
        <v>39</v>
      </c>
      <c r="D66" s="52"/>
      <c r="E66" s="51">
        <v>120</v>
      </c>
      <c r="F66" s="51">
        <v>3</v>
      </c>
      <c r="G66" s="51">
        <v>0</v>
      </c>
      <c r="H66" s="51">
        <v>8000</v>
      </c>
      <c r="I66" s="51">
        <v>0</v>
      </c>
      <c r="J66" s="51" t="s">
        <v>58</v>
      </c>
      <c r="K66" s="51">
        <v>800</v>
      </c>
      <c r="L66" s="29" t="s">
        <v>903</v>
      </c>
      <c r="M66" s="32">
        <f t="shared" si="54"/>
        <v>0</v>
      </c>
      <c r="N66" s="33">
        <f t="shared" si="55"/>
        <v>1</v>
      </c>
      <c r="O66" s="33">
        <f t="shared" si="56"/>
        <v>0</v>
      </c>
      <c r="P66" s="33">
        <f t="shared" si="57"/>
        <v>1</v>
      </c>
      <c r="Q66" s="34">
        <f t="shared" si="58"/>
        <v>0</v>
      </c>
      <c r="R66" s="33">
        <f t="shared" si="59"/>
        <v>1</v>
      </c>
      <c r="S66" s="34">
        <f t="shared" ref="S66:S76" si="67">IF(ISNUMBER(VALUE(MID(L66,(FIND("KT",L66,FIND("Z",L66))+3),4))),VALUE(MID(L66,(FIND("KT",L66,FIND("Z",L66))+3),4)),IF(ISNUMBER(VALUE(MID(L66,(FIND("0V",L66)+6),4))),VALUE(MID(L66,(FIND("0V",L66)+6),4)),9999))</f>
        <v>8000</v>
      </c>
      <c r="T66" s="34">
        <f t="shared" si="60"/>
        <v>1</v>
      </c>
      <c r="U66" s="34">
        <f t="shared" si="61"/>
        <v>0</v>
      </c>
      <c r="V66" s="34">
        <f t="shared" si="62"/>
        <v>1</v>
      </c>
      <c r="W66" s="34" t="str">
        <f t="shared" si="63"/>
        <v>BKN</v>
      </c>
      <c r="X66" s="34">
        <f t="shared" si="64"/>
        <v>1</v>
      </c>
      <c r="Y66" s="34">
        <f t="shared" si="65"/>
        <v>900</v>
      </c>
      <c r="Z66" s="34">
        <f t="shared" si="66"/>
        <v>1</v>
      </c>
      <c r="AA66" s="25"/>
      <c r="AB66" s="25"/>
      <c r="AC66" s="25"/>
      <c r="AD66" s="25"/>
      <c r="AE66" s="25"/>
    </row>
    <row r="67" spans="1:31" ht="16.5">
      <c r="A67" s="53"/>
      <c r="B67" s="54">
        <v>0.58333333333333337</v>
      </c>
      <c r="C67" s="51" t="s">
        <v>39</v>
      </c>
      <c r="D67" s="52"/>
      <c r="E67" s="51">
        <v>120</v>
      </c>
      <c r="F67" s="51">
        <v>3</v>
      </c>
      <c r="G67" s="51">
        <v>0</v>
      </c>
      <c r="H67" s="51">
        <v>8000</v>
      </c>
      <c r="I67" s="51">
        <v>0</v>
      </c>
      <c r="J67" s="51" t="s">
        <v>58</v>
      </c>
      <c r="K67" s="51">
        <v>800</v>
      </c>
      <c r="L67" s="51" t="s">
        <v>884</v>
      </c>
      <c r="M67" s="32">
        <f t="shared" si="54"/>
        <v>0</v>
      </c>
      <c r="N67" s="33">
        <f t="shared" si="55"/>
        <v>1</v>
      </c>
      <c r="O67" s="33">
        <f t="shared" si="56"/>
        <v>0</v>
      </c>
      <c r="P67" s="33">
        <f t="shared" si="57"/>
        <v>1</v>
      </c>
      <c r="Q67" s="34">
        <f t="shared" si="58"/>
        <v>0</v>
      </c>
      <c r="R67" s="33">
        <f t="shared" si="59"/>
        <v>1</v>
      </c>
      <c r="S67" s="34">
        <f t="shared" si="67"/>
        <v>8000</v>
      </c>
      <c r="T67" s="34">
        <f t="shared" si="60"/>
        <v>1</v>
      </c>
      <c r="U67" s="34">
        <f t="shared" si="61"/>
        <v>0</v>
      </c>
      <c r="V67" s="34">
        <f t="shared" si="62"/>
        <v>1</v>
      </c>
      <c r="W67" s="34" t="str">
        <f t="shared" si="63"/>
        <v>BKN</v>
      </c>
      <c r="X67" s="34">
        <f t="shared" si="64"/>
        <v>1</v>
      </c>
      <c r="Y67" s="34">
        <f t="shared" si="65"/>
        <v>900</v>
      </c>
      <c r="Z67" s="34">
        <f t="shared" si="66"/>
        <v>1</v>
      </c>
      <c r="AA67" s="25"/>
      <c r="AB67" s="25"/>
      <c r="AC67" s="47"/>
      <c r="AD67" s="25"/>
      <c r="AE67" s="25"/>
    </row>
    <row r="68" spans="1:31" ht="16.5">
      <c r="A68" s="53"/>
      <c r="B68" s="54">
        <v>0.625</v>
      </c>
      <c r="C68" s="51" t="s">
        <v>40</v>
      </c>
      <c r="D68" s="52"/>
      <c r="E68" s="51">
        <v>0</v>
      </c>
      <c r="F68" s="51">
        <v>0</v>
      </c>
      <c r="G68" s="51">
        <v>0</v>
      </c>
      <c r="H68" s="51">
        <v>4000</v>
      </c>
      <c r="I68" s="51" t="s">
        <v>52</v>
      </c>
      <c r="J68" s="51" t="s">
        <v>51</v>
      </c>
      <c r="K68" s="51">
        <v>800</v>
      </c>
      <c r="L68" s="51" t="s">
        <v>885</v>
      </c>
      <c r="M68" s="32">
        <f t="shared" si="54"/>
        <v>0</v>
      </c>
      <c r="N68" s="33">
        <f t="shared" si="55"/>
        <v>1</v>
      </c>
      <c r="O68" s="33">
        <f t="shared" si="56"/>
        <v>0</v>
      </c>
      <c r="P68" s="33">
        <f t="shared" si="57"/>
        <v>1</v>
      </c>
      <c r="Q68" s="34">
        <f t="shared" si="58"/>
        <v>0</v>
      </c>
      <c r="R68" s="33">
        <f t="shared" si="59"/>
        <v>1</v>
      </c>
      <c r="S68" s="34">
        <f t="shared" si="67"/>
        <v>8000</v>
      </c>
      <c r="T68" s="34">
        <f t="shared" si="60"/>
        <v>0</v>
      </c>
      <c r="U68" s="34">
        <f t="shared" si="61"/>
        <v>0</v>
      </c>
      <c r="V68" s="34">
        <f t="shared" si="62"/>
        <v>0</v>
      </c>
      <c r="W68" s="34" t="str">
        <f t="shared" si="63"/>
        <v>BKN</v>
      </c>
      <c r="X68" s="34">
        <f t="shared" si="64"/>
        <v>0</v>
      </c>
      <c r="Y68" s="34">
        <f t="shared" si="65"/>
        <v>900</v>
      </c>
      <c r="Z68" s="34">
        <f t="shared" si="66"/>
        <v>1</v>
      </c>
      <c r="AA68" s="25"/>
      <c r="AB68" s="25"/>
      <c r="AC68" s="25"/>
      <c r="AD68" s="25"/>
      <c r="AE68" s="25"/>
    </row>
    <row r="69" spans="1:31" ht="16.5">
      <c r="A69" s="53"/>
      <c r="B69" s="54">
        <v>0.66666666666666663</v>
      </c>
      <c r="C69" s="51" t="s">
        <v>40</v>
      </c>
      <c r="D69" s="52"/>
      <c r="E69" s="51">
        <v>0</v>
      </c>
      <c r="F69" s="51">
        <v>0</v>
      </c>
      <c r="G69" s="51">
        <v>0</v>
      </c>
      <c r="H69" s="51">
        <v>4000</v>
      </c>
      <c r="I69" s="51" t="s">
        <v>52</v>
      </c>
      <c r="J69" s="51" t="s">
        <v>51</v>
      </c>
      <c r="K69" s="51">
        <v>800</v>
      </c>
      <c r="L69" s="51" t="s">
        <v>886</v>
      </c>
      <c r="M69" s="32">
        <f t="shared" si="54"/>
        <v>0</v>
      </c>
      <c r="N69" s="33">
        <f t="shared" si="55"/>
        <v>1</v>
      </c>
      <c r="O69" s="33">
        <f t="shared" si="56"/>
        <v>0</v>
      </c>
      <c r="P69" s="33">
        <f t="shared" si="57"/>
        <v>1</v>
      </c>
      <c r="Q69" s="34">
        <f t="shared" si="58"/>
        <v>0</v>
      </c>
      <c r="R69" s="33">
        <f t="shared" si="59"/>
        <v>1</v>
      </c>
      <c r="S69" s="34">
        <f t="shared" si="67"/>
        <v>8000</v>
      </c>
      <c r="T69" s="34">
        <f t="shared" si="60"/>
        <v>0</v>
      </c>
      <c r="U69" s="34">
        <f t="shared" si="61"/>
        <v>0</v>
      </c>
      <c r="V69" s="34">
        <f t="shared" si="62"/>
        <v>0</v>
      </c>
      <c r="W69" s="34" t="str">
        <f t="shared" si="63"/>
        <v>BKN</v>
      </c>
      <c r="X69" s="34">
        <f t="shared" si="64"/>
        <v>0</v>
      </c>
      <c r="Y69" s="34">
        <f t="shared" si="65"/>
        <v>900</v>
      </c>
      <c r="Z69" s="34">
        <f t="shared" si="66"/>
        <v>1</v>
      </c>
      <c r="AA69" s="25"/>
      <c r="AB69" s="25"/>
      <c r="AC69" s="25"/>
      <c r="AD69" s="25"/>
      <c r="AE69" s="25"/>
    </row>
    <row r="70" spans="1:31" ht="16.5">
      <c r="A70" s="53"/>
      <c r="B70" s="54">
        <v>0.70833333333333337</v>
      </c>
      <c r="C70" s="51" t="s">
        <v>40</v>
      </c>
      <c r="D70" s="52"/>
      <c r="E70" s="51">
        <v>0</v>
      </c>
      <c r="F70" s="51">
        <v>0</v>
      </c>
      <c r="G70" s="51">
        <v>0</v>
      </c>
      <c r="H70" s="51">
        <v>4000</v>
      </c>
      <c r="I70" s="51" t="s">
        <v>52</v>
      </c>
      <c r="J70" s="51" t="s">
        <v>51</v>
      </c>
      <c r="K70" s="51">
        <v>800</v>
      </c>
      <c r="L70" s="51" t="s">
        <v>887</v>
      </c>
      <c r="M70" s="32">
        <f t="shared" si="54"/>
        <v>0</v>
      </c>
      <c r="N70" s="33">
        <f t="shared" si="55"/>
        <v>1</v>
      </c>
      <c r="O70" s="33">
        <f t="shared" si="56"/>
        <v>0</v>
      </c>
      <c r="P70" s="33">
        <f t="shared" si="57"/>
        <v>1</v>
      </c>
      <c r="Q70" s="34">
        <f t="shared" si="58"/>
        <v>0</v>
      </c>
      <c r="R70" s="33">
        <f t="shared" si="59"/>
        <v>1</v>
      </c>
      <c r="S70" s="34">
        <f t="shared" si="67"/>
        <v>6000</v>
      </c>
      <c r="T70" s="34">
        <f t="shared" si="60"/>
        <v>0</v>
      </c>
      <c r="U70" s="34">
        <f t="shared" si="61"/>
        <v>0</v>
      </c>
      <c r="V70" s="34">
        <f t="shared" si="62"/>
        <v>0</v>
      </c>
      <c r="W70" s="34" t="str">
        <f t="shared" si="63"/>
        <v>BKN</v>
      </c>
      <c r="X70" s="34">
        <f t="shared" si="64"/>
        <v>0</v>
      </c>
      <c r="Y70" s="34">
        <f t="shared" si="65"/>
        <v>900</v>
      </c>
      <c r="Z70" s="34">
        <f t="shared" si="66"/>
        <v>1</v>
      </c>
      <c r="AA70" s="25"/>
      <c r="AB70" s="25"/>
      <c r="AC70" s="47"/>
      <c r="AD70" s="25"/>
      <c r="AE70" s="25"/>
    </row>
    <row r="71" spans="1:31" ht="16.5">
      <c r="A71" s="53"/>
      <c r="B71" s="54">
        <v>0.75</v>
      </c>
      <c r="C71" s="51" t="s">
        <v>39</v>
      </c>
      <c r="D71" s="52"/>
      <c r="E71" s="51">
        <v>120</v>
      </c>
      <c r="F71" s="51">
        <v>3</v>
      </c>
      <c r="G71" s="51">
        <v>0</v>
      </c>
      <c r="H71" s="51">
        <v>8000</v>
      </c>
      <c r="I71" s="51">
        <v>0</v>
      </c>
      <c r="J71" s="51" t="s">
        <v>58</v>
      </c>
      <c r="K71" s="51">
        <v>800</v>
      </c>
      <c r="L71" s="51" t="s">
        <v>888</v>
      </c>
      <c r="M71" s="32">
        <f t="shared" ref="M71:M76" si="68">IF(ISNUMBER(VALUE(FIND("VRB",L71))),999,VALUE(MID(L71,20,3)))</f>
        <v>0</v>
      </c>
      <c r="N71" s="33">
        <f t="shared" ref="N71:N76" si="69">IF(OR(ABS(E71-M71)&lt;61,AND(ABS(E71-M71)&gt;60,O71&lt;10),E71=M71,AND(E71=999,ISNUMBER(VALUE(FIND("TS",L71)))),AND(E71=999,ISNUMBER(VALUE(FIND("CB",L71)))),AND(E71=999,O71&lt;10),AND(F71&lt;10,M71=999,O71&lt;10)),1,0)</f>
        <v>1</v>
      </c>
      <c r="O71" s="33">
        <f t="shared" ref="O71:O76" si="70">VALUE(MID(L71,23,2))</f>
        <v>0</v>
      </c>
      <c r="P71" s="33">
        <f t="shared" ref="P71:P76" si="71">IF(ABS(O71-F71)&lt;11,1,0)</f>
        <v>1</v>
      </c>
      <c r="Q71" s="34">
        <f t="shared" ref="Q71:Q76" si="72">IF(MID(L71,25,1)="G","GUST",0)</f>
        <v>0</v>
      </c>
      <c r="R71" s="33">
        <f t="shared" ref="R71:R76" si="73">IF(G71=Q71,1,0)</f>
        <v>1</v>
      </c>
      <c r="S71" s="34">
        <f t="shared" si="67"/>
        <v>6000</v>
      </c>
      <c r="T71" s="34">
        <f t="shared" ref="T71:T76" si="74">IF(OR(AND(H71&lt;801,S71&lt;801),AND(H71&gt;799,H71&lt;1501,S71&gt;799,S71&lt;1502),AND(H71&gt;1499,H71&lt;3001,S71&gt;1499,S71&lt;3001),AND(H71&gt;2999,H71&lt;5001,S71&gt;2999,S71&lt;5001),AND(H71&gt;4999,S71&gt;4999)),1,0)</f>
        <v>1</v>
      </c>
      <c r="U71" s="34">
        <f t="shared" ref="U71:U76" si="75">IF(AND(IFERROR(FIND("RA",L71),0)&gt;0, IFERROR(FIND("RA",L71),0)&lt;38),"RA",0)</f>
        <v>0</v>
      </c>
      <c r="V71" s="34">
        <f t="shared" ref="V71:V76" si="76">IF(U71=I71,1,0)</f>
        <v>1</v>
      </c>
      <c r="W71" s="34" t="str">
        <f t="shared" ref="W71:W76" si="77">IF(ISNUMBER(VALUE(FIND("FEW",L71))),"FEW",IF(ISNUMBER(VALUE(FIND("SCT",L71))),"SCT",IF(ISNUMBER(VALUE(FIND("BKN",L71))),"BKN",IF(ISNUMBER(VALUE(FIND("OVC",L71))),"OVC",IF(ISNUMBER(VALUE(FIND("SKC",L71))),"SKC",IF(ISNUMBER(VALUE(FIND("CAVOK",L71))),"SKC",IF(ISNUMBER(VALUE(FIND("NSC",L71))),"SKC","EROR")))))))</f>
        <v>BKN</v>
      </c>
      <c r="X71" s="34">
        <f t="shared" ref="X71:X76" si="78">IF(OR(AND(OR(J71="SKC",J71="FEW",J71="SCT"),OR(W71="SKC",W71="FEW",W71="SCT")),(AND(OR(J71="BKN",J71="OVC"),OR(W71="BKN",W71="OVC")))),1,0)</f>
        <v>1</v>
      </c>
      <c r="Y71" s="34">
        <f t="shared" ref="Y71:Y76" si="79">IF(ISNUMBER(VALUE(FIND("CAVOK",L71))),9999,IF(ISNUMBER(VALUE(FIND("NSC",L71))),9999,(MID(L71,(FIND(W71,L71)+4),2))*100))</f>
        <v>800</v>
      </c>
      <c r="Z71" s="34">
        <f t="shared" ref="Z71:Z76" si="80">IF(AND(Y71&lt;1001,ABS(K71-Y71)&lt;101),1,IF(AND(Y71&gt;1000,ABS(Y71-K71)/K71&lt;0.30005),1,0))</f>
        <v>1</v>
      </c>
      <c r="AA71" s="25"/>
      <c r="AB71" s="25"/>
      <c r="AC71" s="25"/>
      <c r="AD71" s="25"/>
      <c r="AE71" s="25"/>
    </row>
    <row r="72" spans="1:31" ht="16.5">
      <c r="A72" s="53"/>
      <c r="B72" s="54">
        <v>0.79166666666666663</v>
      </c>
      <c r="C72" s="51" t="s">
        <v>39</v>
      </c>
      <c r="D72" s="52"/>
      <c r="E72" s="51">
        <v>120</v>
      </c>
      <c r="F72" s="51">
        <v>3</v>
      </c>
      <c r="G72" s="51">
        <v>0</v>
      </c>
      <c r="H72" s="51">
        <v>8000</v>
      </c>
      <c r="I72" s="51">
        <v>0</v>
      </c>
      <c r="J72" s="51" t="s">
        <v>58</v>
      </c>
      <c r="K72" s="51">
        <v>800</v>
      </c>
      <c r="L72" s="51" t="s">
        <v>889</v>
      </c>
      <c r="M72" s="32">
        <f t="shared" si="68"/>
        <v>0</v>
      </c>
      <c r="N72" s="33">
        <f t="shared" si="69"/>
        <v>1</v>
      </c>
      <c r="O72" s="33">
        <f t="shared" si="70"/>
        <v>0</v>
      </c>
      <c r="P72" s="33">
        <f t="shared" si="71"/>
        <v>1</v>
      </c>
      <c r="Q72" s="34">
        <f t="shared" si="72"/>
        <v>0</v>
      </c>
      <c r="R72" s="33">
        <f t="shared" si="73"/>
        <v>1</v>
      </c>
      <c r="S72" s="34">
        <f t="shared" si="67"/>
        <v>6000</v>
      </c>
      <c r="T72" s="34">
        <f t="shared" si="74"/>
        <v>1</v>
      </c>
      <c r="U72" s="34">
        <f t="shared" si="75"/>
        <v>0</v>
      </c>
      <c r="V72" s="34">
        <f t="shared" si="76"/>
        <v>1</v>
      </c>
      <c r="W72" s="34" t="str">
        <f t="shared" si="77"/>
        <v>BKN</v>
      </c>
      <c r="X72" s="34">
        <f t="shared" si="78"/>
        <v>1</v>
      </c>
      <c r="Y72" s="34">
        <f t="shared" si="79"/>
        <v>900</v>
      </c>
      <c r="Z72" s="34">
        <f t="shared" si="80"/>
        <v>1</v>
      </c>
      <c r="AA72" s="25"/>
      <c r="AB72" s="25"/>
      <c r="AC72" s="25"/>
      <c r="AD72" s="25"/>
      <c r="AE72" s="25"/>
    </row>
    <row r="73" spans="1:31" ht="16.5">
      <c r="A73" s="53"/>
      <c r="B73" s="54">
        <v>0.83333333333333337</v>
      </c>
      <c r="C73" s="51" t="s">
        <v>39</v>
      </c>
      <c r="D73" s="52"/>
      <c r="E73" s="51">
        <v>120</v>
      </c>
      <c r="F73" s="51">
        <v>3</v>
      </c>
      <c r="G73" s="51">
        <v>0</v>
      </c>
      <c r="H73" s="51">
        <v>8000</v>
      </c>
      <c r="I73" s="51">
        <v>0</v>
      </c>
      <c r="J73" s="51" t="s">
        <v>58</v>
      </c>
      <c r="K73" s="51">
        <v>800</v>
      </c>
      <c r="L73" s="51" t="s">
        <v>890</v>
      </c>
      <c r="M73" s="32">
        <f t="shared" si="68"/>
        <v>0</v>
      </c>
      <c r="N73" s="33">
        <f t="shared" si="69"/>
        <v>1</v>
      </c>
      <c r="O73" s="33">
        <f t="shared" si="70"/>
        <v>0</v>
      </c>
      <c r="P73" s="33">
        <f t="shared" si="71"/>
        <v>1</v>
      </c>
      <c r="Q73" s="34">
        <f t="shared" si="72"/>
        <v>0</v>
      </c>
      <c r="R73" s="33">
        <f t="shared" si="73"/>
        <v>1</v>
      </c>
      <c r="S73" s="34">
        <f t="shared" si="67"/>
        <v>7000</v>
      </c>
      <c r="T73" s="34">
        <f t="shared" si="74"/>
        <v>1</v>
      </c>
      <c r="U73" s="34">
        <f t="shared" si="75"/>
        <v>0</v>
      </c>
      <c r="V73" s="34">
        <f t="shared" si="76"/>
        <v>1</v>
      </c>
      <c r="W73" s="34" t="str">
        <f t="shared" si="77"/>
        <v>BKN</v>
      </c>
      <c r="X73" s="34">
        <f t="shared" si="78"/>
        <v>1</v>
      </c>
      <c r="Y73" s="34">
        <f t="shared" si="79"/>
        <v>900</v>
      </c>
      <c r="Z73" s="34">
        <f t="shared" si="80"/>
        <v>1</v>
      </c>
      <c r="AA73" s="25"/>
      <c r="AB73" s="25"/>
      <c r="AC73" s="47"/>
      <c r="AD73" s="25"/>
      <c r="AE73" s="25"/>
    </row>
    <row r="74" spans="1:31" ht="16.5">
      <c r="A74" s="53"/>
      <c r="B74" s="54">
        <v>0.875</v>
      </c>
      <c r="C74" s="51" t="s">
        <v>39</v>
      </c>
      <c r="D74" s="52"/>
      <c r="E74" s="51">
        <v>120</v>
      </c>
      <c r="F74" s="51">
        <v>3</v>
      </c>
      <c r="G74" s="51">
        <v>0</v>
      </c>
      <c r="H74" s="51">
        <v>8000</v>
      </c>
      <c r="I74" s="51">
        <v>0</v>
      </c>
      <c r="J74" s="51" t="s">
        <v>58</v>
      </c>
      <c r="K74" s="51">
        <v>800</v>
      </c>
      <c r="L74" s="51" t="s">
        <v>891</v>
      </c>
      <c r="M74" s="32">
        <f t="shared" si="68"/>
        <v>0</v>
      </c>
      <c r="N74" s="33">
        <f t="shared" si="69"/>
        <v>1</v>
      </c>
      <c r="O74" s="33">
        <f t="shared" si="70"/>
        <v>0</v>
      </c>
      <c r="P74" s="33">
        <f t="shared" si="71"/>
        <v>1</v>
      </c>
      <c r="Q74" s="34">
        <f t="shared" si="72"/>
        <v>0</v>
      </c>
      <c r="R74" s="33">
        <f t="shared" si="73"/>
        <v>1</v>
      </c>
      <c r="S74" s="34">
        <f t="shared" si="67"/>
        <v>8000</v>
      </c>
      <c r="T74" s="34">
        <f t="shared" si="74"/>
        <v>1</v>
      </c>
      <c r="U74" s="34">
        <f t="shared" si="75"/>
        <v>0</v>
      </c>
      <c r="V74" s="34">
        <f t="shared" si="76"/>
        <v>1</v>
      </c>
      <c r="W74" s="34" t="str">
        <f t="shared" si="77"/>
        <v>BKN</v>
      </c>
      <c r="X74" s="34">
        <f t="shared" si="78"/>
        <v>1</v>
      </c>
      <c r="Y74" s="34">
        <f t="shared" si="79"/>
        <v>900</v>
      </c>
      <c r="Z74" s="34">
        <f t="shared" si="80"/>
        <v>1</v>
      </c>
      <c r="AA74" s="25"/>
      <c r="AB74" s="25"/>
      <c r="AC74" s="25"/>
      <c r="AD74" s="25"/>
      <c r="AE74" s="25"/>
    </row>
    <row r="75" spans="1:31" ht="16.5">
      <c r="A75" s="53"/>
      <c r="B75" s="54">
        <v>0.91666666666666663</v>
      </c>
      <c r="C75" s="51" t="s">
        <v>39</v>
      </c>
      <c r="D75" s="52"/>
      <c r="E75" s="51">
        <v>120</v>
      </c>
      <c r="F75" s="51">
        <v>3</v>
      </c>
      <c r="G75" s="51">
        <v>0</v>
      </c>
      <c r="H75" s="51">
        <v>8000</v>
      </c>
      <c r="I75" s="51">
        <v>0</v>
      </c>
      <c r="J75" s="51" t="s">
        <v>58</v>
      </c>
      <c r="K75" s="51">
        <v>800</v>
      </c>
      <c r="L75" s="51" t="s">
        <v>892</v>
      </c>
      <c r="M75" s="32">
        <f t="shared" si="68"/>
        <v>0</v>
      </c>
      <c r="N75" s="33">
        <f t="shared" si="69"/>
        <v>1</v>
      </c>
      <c r="O75" s="33">
        <f t="shared" si="70"/>
        <v>0</v>
      </c>
      <c r="P75" s="33">
        <f t="shared" si="71"/>
        <v>1</v>
      </c>
      <c r="Q75" s="34">
        <f t="shared" si="72"/>
        <v>0</v>
      </c>
      <c r="R75" s="33">
        <f t="shared" si="73"/>
        <v>1</v>
      </c>
      <c r="S75" s="34">
        <f t="shared" si="67"/>
        <v>8000</v>
      </c>
      <c r="T75" s="34">
        <f t="shared" si="74"/>
        <v>1</v>
      </c>
      <c r="U75" s="34">
        <f t="shared" si="75"/>
        <v>0</v>
      </c>
      <c r="V75" s="34">
        <f t="shared" si="76"/>
        <v>1</v>
      </c>
      <c r="W75" s="34" t="str">
        <f t="shared" si="77"/>
        <v>BKN</v>
      </c>
      <c r="X75" s="34">
        <f t="shared" si="78"/>
        <v>1</v>
      </c>
      <c r="Y75" s="34">
        <f t="shared" si="79"/>
        <v>900</v>
      </c>
      <c r="Z75" s="34">
        <f t="shared" si="80"/>
        <v>1</v>
      </c>
      <c r="AA75" s="25"/>
      <c r="AB75" s="25"/>
      <c r="AC75" s="25"/>
      <c r="AD75" s="25"/>
      <c r="AE75" s="25"/>
    </row>
    <row r="76" spans="1:31" ht="16.5">
      <c r="A76" s="53"/>
      <c r="B76" s="54">
        <v>0.95833333333333337</v>
      </c>
      <c r="C76" s="51" t="s">
        <v>39</v>
      </c>
      <c r="D76" s="52"/>
      <c r="E76" s="51">
        <v>120</v>
      </c>
      <c r="F76" s="51">
        <v>3</v>
      </c>
      <c r="G76" s="51">
        <v>0</v>
      </c>
      <c r="H76" s="51">
        <v>8000</v>
      </c>
      <c r="I76" s="51">
        <v>0</v>
      </c>
      <c r="J76" s="51" t="s">
        <v>58</v>
      </c>
      <c r="K76" s="51">
        <v>800</v>
      </c>
      <c r="L76" s="51" t="s">
        <v>893</v>
      </c>
      <c r="M76" s="32">
        <f t="shared" si="68"/>
        <v>0</v>
      </c>
      <c r="N76" s="33">
        <f t="shared" si="69"/>
        <v>1</v>
      </c>
      <c r="O76" s="33">
        <f t="shared" si="70"/>
        <v>0</v>
      </c>
      <c r="P76" s="33">
        <f t="shared" si="71"/>
        <v>1</v>
      </c>
      <c r="Q76" s="34">
        <f t="shared" si="72"/>
        <v>0</v>
      </c>
      <c r="R76" s="33">
        <f t="shared" si="73"/>
        <v>1</v>
      </c>
      <c r="S76" s="34">
        <f t="shared" si="67"/>
        <v>8000</v>
      </c>
      <c r="T76" s="34">
        <f t="shared" si="74"/>
        <v>1</v>
      </c>
      <c r="U76" s="34">
        <f t="shared" si="75"/>
        <v>0</v>
      </c>
      <c r="V76" s="34">
        <f t="shared" si="76"/>
        <v>1</v>
      </c>
      <c r="W76" s="34" t="str">
        <f t="shared" si="77"/>
        <v>SCT</v>
      </c>
      <c r="X76" s="34">
        <f t="shared" si="78"/>
        <v>0</v>
      </c>
      <c r="Y76" s="34">
        <f t="shared" si="79"/>
        <v>900</v>
      </c>
      <c r="Z76" s="34">
        <f t="shared" si="80"/>
        <v>1</v>
      </c>
      <c r="AA76" s="25"/>
      <c r="AB76" s="25"/>
      <c r="AC76" s="47"/>
      <c r="AD76" s="25"/>
      <c r="AE76" s="25"/>
    </row>
    <row r="77" spans="1:31" ht="16.5">
      <c r="A77" s="25"/>
      <c r="B77" s="25"/>
      <c r="C77" s="38"/>
      <c r="D77" s="39"/>
      <c r="E77" s="39"/>
      <c r="F77" s="39"/>
      <c r="G77" s="39"/>
      <c r="H77" s="39"/>
      <c r="I77" s="39"/>
      <c r="J77" s="39"/>
      <c r="K77" s="39"/>
      <c r="L77" s="38"/>
      <c r="M77" s="40"/>
      <c r="N77" s="38"/>
      <c r="O77" s="40"/>
      <c r="P77" s="38"/>
      <c r="Q77" s="40"/>
      <c r="R77" s="38"/>
      <c r="S77" s="40"/>
      <c r="T77" s="38"/>
      <c r="U77" s="40"/>
      <c r="V77" s="38"/>
      <c r="W77" s="40"/>
      <c r="X77" s="38"/>
      <c r="Y77" s="40"/>
      <c r="Z77" s="38"/>
      <c r="AA77" s="25"/>
      <c r="AB77" s="25"/>
      <c r="AC77" s="25"/>
      <c r="AD77" s="25"/>
      <c r="AE77" s="25"/>
    </row>
    <row r="78" spans="1:31">
      <c r="A78" s="25"/>
      <c r="B78" s="25"/>
      <c r="C78" s="41"/>
      <c r="D78" s="25"/>
      <c r="E78" s="25"/>
      <c r="F78" s="25"/>
      <c r="G78" s="25"/>
      <c r="H78" s="25"/>
      <c r="I78" s="25"/>
      <c r="J78" s="25"/>
      <c r="K78" s="25"/>
      <c r="L78" s="25"/>
      <c r="M78" s="41"/>
      <c r="N78" s="41"/>
      <c r="O78" s="41"/>
      <c r="P78" s="25"/>
      <c r="Q78" s="25"/>
      <c r="R78" s="25"/>
      <c r="S78" s="25"/>
      <c r="T78" s="25"/>
      <c r="U78" s="41"/>
      <c r="V78" s="25"/>
      <c r="W78" s="41"/>
      <c r="X78" s="25"/>
      <c r="Y78" s="41"/>
      <c r="Z78" s="25"/>
      <c r="AA78" s="25"/>
      <c r="AB78" s="25"/>
      <c r="AC78" s="25"/>
      <c r="AD78" s="25"/>
      <c r="AE78" s="25"/>
    </row>
    <row r="79" spans="1:31">
      <c r="A79" s="25"/>
      <c r="B79" s="25"/>
      <c r="C79" s="41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41"/>
      <c r="X79" s="25"/>
      <c r="Y79" s="25"/>
      <c r="Z79" s="25"/>
      <c r="AA79" s="25"/>
      <c r="AB79" s="25"/>
      <c r="AC79" s="25"/>
      <c r="AD79" s="25"/>
      <c r="AE79" s="25"/>
    </row>
    <row r="80" spans="1:31">
      <c r="A80" s="25"/>
      <c r="B80" s="25"/>
      <c r="C80" s="41" t="s">
        <v>32</v>
      </c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>
        <f>SUM(N64:N76)</f>
        <v>12</v>
      </c>
      <c r="O80" s="25"/>
      <c r="P80" s="25">
        <f>SUM(P64:P76)</f>
        <v>12</v>
      </c>
      <c r="Q80" s="25"/>
      <c r="R80" s="25">
        <f>SUM(R64:R76)</f>
        <v>12</v>
      </c>
      <c r="S80" s="25"/>
      <c r="T80" s="25">
        <f>SUM(T64:T76)</f>
        <v>9</v>
      </c>
      <c r="U80" s="25"/>
      <c r="V80" s="25">
        <f>SUM(V64:V76)</f>
        <v>9</v>
      </c>
      <c r="W80" s="25"/>
      <c r="X80" s="25">
        <f>SUM(X64:X76)</f>
        <v>8</v>
      </c>
      <c r="Y80" s="25"/>
      <c r="Z80" s="25">
        <f>SUM(Z64:Z76)</f>
        <v>12</v>
      </c>
      <c r="AA80" s="25"/>
      <c r="AB80" s="25"/>
      <c r="AC80" s="25"/>
      <c r="AD80" s="25"/>
      <c r="AE80" s="25"/>
    </row>
    <row r="81" spans="1:31">
      <c r="A81" s="25"/>
      <c r="B81" s="25"/>
      <c r="C81" s="41" t="s">
        <v>33</v>
      </c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>
        <f>SUMIF($C64:$C76,"GENERAL",N64:N76)</f>
        <v>9</v>
      </c>
      <c r="O81" s="25"/>
      <c r="P81" s="25">
        <f>SUMIF($C64:$C76,"GENERAL",P64:P76)</f>
        <v>9</v>
      </c>
      <c r="Q81" s="25"/>
      <c r="R81" s="25">
        <f>SUMIF($C64:$C76,"GENERAL",R64:R76)</f>
        <v>9</v>
      </c>
      <c r="S81" s="25"/>
      <c r="T81" s="25">
        <f>SUMIF($C64:$C76,"GENERAL",T64:T76)</f>
        <v>9</v>
      </c>
      <c r="U81" s="25"/>
      <c r="V81" s="25">
        <f>SUMIF($C64:$C76,"GENERAL",V64:V76)</f>
        <v>9</v>
      </c>
      <c r="W81" s="25"/>
      <c r="X81" s="25">
        <f>SUMIF($C64:$C76,"GENERAL",X64:X76)</f>
        <v>8</v>
      </c>
      <c r="Y81" s="25"/>
      <c r="Z81" s="25">
        <f>SUMIF($C64:$C76,"GENERAL",Z64:Z76)</f>
        <v>9</v>
      </c>
      <c r="AA81" s="25"/>
      <c r="AB81" s="25"/>
      <c r="AC81" s="25"/>
      <c r="AD81" s="25"/>
      <c r="AE81" s="25"/>
    </row>
    <row r="82" spans="1:31">
      <c r="A82" s="25"/>
      <c r="B82" s="25"/>
      <c r="C82" s="41" t="s">
        <v>34</v>
      </c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>
        <f>SUMIF($C64:$C76,"BECMG",N64:N76)</f>
        <v>0</v>
      </c>
      <c r="O82" s="25"/>
      <c r="P82" s="25">
        <f>SUMIF($C64:$C76,"BECMG",P64:P76)</f>
        <v>0</v>
      </c>
      <c r="Q82" s="25"/>
      <c r="R82" s="25">
        <f>SUMIF($C64:$C76,"BECMG",R64:R76)</f>
        <v>0</v>
      </c>
      <c r="S82" s="25"/>
      <c r="T82" s="25">
        <f>SUMIF($C64:$C76,"BECMG",T64:T76)</f>
        <v>0</v>
      </c>
      <c r="U82" s="25"/>
      <c r="V82" s="25">
        <f>SUMIF($C64:$C76,"BECMG",V64:V76)</f>
        <v>0</v>
      </c>
      <c r="W82" s="25"/>
      <c r="X82" s="25">
        <f>SUMIF($C64:$C76,"BECMG",X64:X76)</f>
        <v>0</v>
      </c>
      <c r="Y82" s="25"/>
      <c r="Z82" s="25">
        <f>SUMIF($C64:$C76,"BECMG",Z64:Z76)</f>
        <v>0</v>
      </c>
      <c r="AA82" s="25"/>
      <c r="AB82" s="25"/>
      <c r="AC82" s="25"/>
      <c r="AD82" s="25"/>
      <c r="AE82" s="25"/>
    </row>
    <row r="83" spans="1:31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 t="s">
        <v>35</v>
      </c>
      <c r="M83" s="42" t="s">
        <v>36</v>
      </c>
      <c r="N83" s="42"/>
      <c r="O83" s="42" t="s">
        <v>36</v>
      </c>
      <c r="P83" s="42"/>
      <c r="Q83" s="42" t="s">
        <v>36</v>
      </c>
      <c r="R83" s="42"/>
      <c r="S83" s="42" t="s">
        <v>36</v>
      </c>
      <c r="T83" s="42"/>
      <c r="U83" s="42" t="s">
        <v>36</v>
      </c>
      <c r="V83" s="42"/>
      <c r="W83" s="42" t="s">
        <v>36</v>
      </c>
      <c r="X83" s="42"/>
      <c r="Y83" s="42" t="s">
        <v>36</v>
      </c>
      <c r="Z83" s="42"/>
      <c r="AA83" s="42"/>
      <c r="AB83" s="42"/>
      <c r="AC83" s="42"/>
      <c r="AD83" s="42"/>
      <c r="AE83" s="42"/>
    </row>
    <row r="84" spans="1:31">
      <c r="A84" s="42"/>
      <c r="B84" s="42"/>
      <c r="C84" s="42" t="s">
        <v>37</v>
      </c>
      <c r="D84" s="42"/>
      <c r="E84" s="42"/>
      <c r="F84" s="42"/>
      <c r="G84" s="42"/>
      <c r="H84" s="42"/>
      <c r="I84" s="42"/>
      <c r="J84" s="42"/>
      <c r="K84" s="42"/>
      <c r="L84" s="42">
        <f>COUNTIF($C64:$C76,"=TEMPO")</f>
        <v>3</v>
      </c>
      <c r="M84" s="42">
        <f>SUMIF($C64:$C76,"TEMPO",N64:N76)</f>
        <v>3</v>
      </c>
      <c r="N84" s="42">
        <f>M84</f>
        <v>3</v>
      </c>
      <c r="O84" s="42">
        <f>SUMIF($C64:$C76,"TEMPO",P64:P76)</f>
        <v>3</v>
      </c>
      <c r="P84" s="42">
        <f>O84</f>
        <v>3</v>
      </c>
      <c r="Q84" s="42">
        <f>SUMIF($C64:$C76,"TEMPO",R64:R76)</f>
        <v>3</v>
      </c>
      <c r="R84" s="42">
        <f>Q84</f>
        <v>3</v>
      </c>
      <c r="S84" s="42">
        <f>SUMIF($C64:$C76,"TEMPO",T64:T76)</f>
        <v>0</v>
      </c>
      <c r="T84" s="42">
        <f>S84</f>
        <v>0</v>
      </c>
      <c r="U84" s="42">
        <f>SUMIF($C64:$C76,"TEMPO",V64:V76)</f>
        <v>0</v>
      </c>
      <c r="V84" s="42">
        <f>U84</f>
        <v>0</v>
      </c>
      <c r="W84" s="42">
        <f>SUMIF($C64:$C76,"TEMPO",X64:X76)</f>
        <v>0</v>
      </c>
      <c r="X84" s="42">
        <f>W84</f>
        <v>0</v>
      </c>
      <c r="Y84" s="42">
        <f>SUMIF($C64:$C76,"TEMPO",Z64:Z76)</f>
        <v>3</v>
      </c>
      <c r="Z84" s="42">
        <f>Y84</f>
        <v>3</v>
      </c>
      <c r="AA84" s="42"/>
      <c r="AB84" s="42"/>
      <c r="AC84" s="42"/>
      <c r="AD84" s="42"/>
      <c r="AE84" s="42"/>
    </row>
    <row r="85" spans="1:31">
      <c r="A85" s="25"/>
      <c r="B85" s="25"/>
      <c r="C85" s="38" t="s">
        <v>38</v>
      </c>
      <c r="D85" s="38"/>
      <c r="E85" s="39"/>
      <c r="F85" s="39"/>
      <c r="G85" s="39"/>
      <c r="H85" s="39"/>
      <c r="I85" s="39"/>
      <c r="J85" s="39"/>
      <c r="K85" s="39"/>
      <c r="L85" s="38"/>
      <c r="M85" s="39"/>
      <c r="N85" s="38">
        <f>(SUM(N81:N84)/COUNTA(N64:N76))*100</f>
        <v>100</v>
      </c>
      <c r="O85" s="38"/>
      <c r="P85" s="38">
        <f>(SUM(P81:P84)/COUNTA(P64:P76))*100</f>
        <v>100</v>
      </c>
      <c r="Q85" s="38"/>
      <c r="R85" s="38">
        <f>(SUM(R81:R84)/COUNTA(R64:R76))*100</f>
        <v>100</v>
      </c>
      <c r="S85" s="38"/>
      <c r="T85" s="38">
        <f>(SUM(T81:T84)/COUNTA(T64:T76))*100</f>
        <v>75</v>
      </c>
      <c r="U85" s="38"/>
      <c r="V85" s="38">
        <f>(SUM(V81:V84)/COUNTA(V64:V76))*100</f>
        <v>75</v>
      </c>
      <c r="W85" s="38"/>
      <c r="X85" s="38">
        <f>(SUM(X81:X84)/COUNTA(X64:X76))*100</f>
        <v>66.666666666666657</v>
      </c>
      <c r="Y85" s="38"/>
      <c r="Z85" s="38">
        <f>(SUM(Z81:Z84)/COUNTA(Z64:Z76))*100</f>
        <v>100</v>
      </c>
      <c r="AA85" s="38" t="e">
        <v>#DIV/0!</v>
      </c>
      <c r="AB85" s="38"/>
      <c r="AC85" s="25"/>
      <c r="AD85" s="25"/>
      <c r="AE85" s="25"/>
    </row>
    <row r="86" spans="1:31">
      <c r="A86" s="25"/>
      <c r="B86" s="25"/>
      <c r="C86" s="41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</row>
    <row r="87" spans="1:3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25"/>
      <c r="AB87" s="25"/>
      <c r="AC87" s="25"/>
      <c r="AD87" s="25"/>
      <c r="AE87" s="25"/>
    </row>
    <row r="88" spans="1:31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</row>
    <row r="89" spans="1:31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</row>
    <row r="90" spans="1:31" ht="48" customHeight="1">
      <c r="A90" s="73" t="s">
        <v>17</v>
      </c>
      <c r="B90" s="73" t="s">
        <v>18</v>
      </c>
      <c r="C90" s="26" t="s">
        <v>19</v>
      </c>
      <c r="D90" s="76" t="s">
        <v>901</v>
      </c>
      <c r="E90" s="77"/>
      <c r="F90" s="77"/>
      <c r="G90" s="77"/>
      <c r="H90" s="77"/>
      <c r="I90" s="77"/>
      <c r="J90" s="77"/>
      <c r="K90" s="78"/>
      <c r="L90" s="79" t="s">
        <v>20</v>
      </c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1"/>
      <c r="AA90" s="25"/>
      <c r="AB90" s="25"/>
      <c r="AC90" s="25"/>
      <c r="AD90" s="25"/>
      <c r="AE90" s="25"/>
    </row>
    <row r="91" spans="1:31" ht="27" customHeight="1">
      <c r="A91" s="75"/>
      <c r="B91" s="75"/>
      <c r="C91" s="73" t="s">
        <v>21</v>
      </c>
      <c r="D91" s="73" t="s">
        <v>22</v>
      </c>
      <c r="E91" s="73" t="s">
        <v>23</v>
      </c>
      <c r="F91" s="73" t="s">
        <v>24</v>
      </c>
      <c r="G91" s="73" t="s">
        <v>25</v>
      </c>
      <c r="H91" s="73" t="s">
        <v>26</v>
      </c>
      <c r="I91" s="73" t="s">
        <v>27</v>
      </c>
      <c r="J91" s="73" t="s">
        <v>28</v>
      </c>
      <c r="K91" s="73" t="s">
        <v>29</v>
      </c>
      <c r="L91" s="71" t="s">
        <v>30</v>
      </c>
      <c r="M91" s="71" t="s">
        <v>23</v>
      </c>
      <c r="N91" s="71" t="s">
        <v>31</v>
      </c>
      <c r="O91" s="71" t="s">
        <v>24</v>
      </c>
      <c r="P91" s="71" t="s">
        <v>31</v>
      </c>
      <c r="Q91" s="71" t="s">
        <v>25</v>
      </c>
      <c r="R91" s="71" t="s">
        <v>31</v>
      </c>
      <c r="S91" s="71" t="s">
        <v>26</v>
      </c>
      <c r="T91" s="71" t="s">
        <v>31</v>
      </c>
      <c r="U91" s="71" t="s">
        <v>27</v>
      </c>
      <c r="V91" s="71" t="s">
        <v>31</v>
      </c>
      <c r="W91" s="71" t="s">
        <v>28</v>
      </c>
      <c r="X91" s="71" t="s">
        <v>31</v>
      </c>
      <c r="Y91" s="71" t="s">
        <v>29</v>
      </c>
      <c r="Z91" s="71" t="s">
        <v>31</v>
      </c>
      <c r="AA91" s="25"/>
      <c r="AB91" s="25"/>
      <c r="AC91" s="25"/>
      <c r="AD91" s="25"/>
      <c r="AE91" s="25"/>
    </row>
    <row r="92" spans="1:31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25"/>
      <c r="AB92" s="25"/>
      <c r="AC92" s="25"/>
      <c r="AD92" s="25"/>
      <c r="AE92" s="25"/>
    </row>
    <row r="93" spans="1:31" ht="16.5">
      <c r="A93" s="49">
        <v>30</v>
      </c>
      <c r="B93" s="50">
        <v>0.75</v>
      </c>
      <c r="C93" s="51" t="s">
        <v>39</v>
      </c>
      <c r="D93" s="52"/>
      <c r="E93" s="51">
        <v>0</v>
      </c>
      <c r="F93" s="51">
        <v>0</v>
      </c>
      <c r="G93" s="51">
        <v>0</v>
      </c>
      <c r="H93" s="51">
        <v>8000</v>
      </c>
      <c r="I93" s="51">
        <v>0</v>
      </c>
      <c r="J93" s="51" t="s">
        <v>58</v>
      </c>
      <c r="K93" s="51">
        <v>900</v>
      </c>
      <c r="L93" s="51" t="s">
        <v>888</v>
      </c>
      <c r="M93" s="32">
        <f t="shared" ref="M93:M98" si="81">IF(ISNUMBER(VALUE(FIND("VRB",L93))),999,VALUE(MID(L93,20,3)))</f>
        <v>0</v>
      </c>
      <c r="N93" s="33">
        <f t="shared" ref="N93:N98" si="82">IF(OR(ABS(E93-M93)&lt;61,AND(ABS(E93-M93)&gt;60,O93&lt;10),E93=M93,AND(E93=999,ISNUMBER(VALUE(FIND("TS",L93)))),AND(E93=999,ISNUMBER(VALUE(FIND("CB",L93)))),AND(E93=999,O93&lt;10),AND(F93&lt;10,M93=999,O93&lt;10)),1,0)</f>
        <v>1</v>
      </c>
      <c r="O93" s="33">
        <f t="shared" ref="O93:O98" si="83">VALUE(MID(L93,23,2))</f>
        <v>0</v>
      </c>
      <c r="P93" s="33">
        <f t="shared" ref="P93:P98" si="84">IF(ABS(O93-F93)&lt;11,1,0)</f>
        <v>1</v>
      </c>
      <c r="Q93" s="34">
        <f t="shared" ref="Q93:Q98" si="85">IF(MID(L93,25,1)="G","GUST",0)</f>
        <v>0</v>
      </c>
      <c r="R93" s="33">
        <f t="shared" ref="R93:R98" si="86">IF(G93=Q93,1,0)</f>
        <v>1</v>
      </c>
      <c r="S93" s="34">
        <f>IF(ISNUMBER(VALUE(MID(L93,(FIND("KT",L93,FIND("Z",L93))+3),4))),VALUE(MID(L93,(FIND("KT",L93,FIND("Z",L93))+3),4)),IF(ISNUMBER(VALUE(MID(L93,(FIND("0V",L93)+6),4))),VALUE(MID(L93,(FIND("0V",L93)+6),4)),9999))</f>
        <v>6000</v>
      </c>
      <c r="T93" s="34">
        <f t="shared" ref="T93:T98" si="87">IF(OR(AND(H93&lt;801,S93&lt;801),AND(H93&gt;799,H93&lt;1501,S93&gt;799,S93&lt;1502),AND(H93&gt;1499,H93&lt;3001,S93&gt;1499,S93&lt;3001),AND(H93&gt;2999,H93&lt;5001,S93&gt;2999,S93&lt;5001),AND(H93&gt;4999,S93&gt;4999)),1,0)</f>
        <v>1</v>
      </c>
      <c r="U93" s="34">
        <f t="shared" ref="U93:U98" si="88">IF(AND(IFERROR(FIND("RA",L93),0)&gt;0, IFERROR(FIND("RA",L93),0)&lt;38),"RA",0)</f>
        <v>0</v>
      </c>
      <c r="V93" s="34">
        <f t="shared" ref="V93:V98" si="89">IF(U93=I93,1,0)</f>
        <v>1</v>
      </c>
      <c r="W93" s="34" t="str">
        <f t="shared" ref="W93:W98" si="90">IF(ISNUMBER(VALUE(FIND("FEW",L93))),"FEW",IF(ISNUMBER(VALUE(FIND("SCT",L93))),"SCT",IF(ISNUMBER(VALUE(FIND("BKN",L93))),"BKN",IF(ISNUMBER(VALUE(FIND("OVC",L93))),"OVC",IF(ISNUMBER(VALUE(FIND("SKC",L93))),"SKC",IF(ISNUMBER(VALUE(FIND("CAVOK",L93))),"SKC",IF(ISNUMBER(VALUE(FIND("NSC",L93))),"SKC","EROR")))))))</f>
        <v>BKN</v>
      </c>
      <c r="X93" s="34">
        <f t="shared" ref="X93:X98" si="91">IF(OR(AND(OR(J93="SKC",J93="FEW",J93="SCT"),OR(W93="SKC",W93="FEW",W93="SCT")),(AND(OR(J93="BKN",J93="OVC"),OR(W93="BKN",W93="OVC")))),1,0)</f>
        <v>1</v>
      </c>
      <c r="Y93" s="34">
        <f t="shared" ref="Y93:Y98" si="92">IF(ISNUMBER(VALUE(FIND("CAVOK",L93))),9999,IF(ISNUMBER(VALUE(FIND("NSC",L93))),9999,(MID(L93,(FIND(W93,L93)+4),2))*100))</f>
        <v>800</v>
      </c>
      <c r="Z93" s="34">
        <f t="shared" ref="Z93:Z98" si="93">IF(AND(Y93&lt;1001,ABS(K93-Y93)&lt;101),1,IF(AND(Y93&gt;1000,ABS(Y93-K93)/K93&lt;0.30005),1,0))</f>
        <v>1</v>
      </c>
      <c r="AA93" s="25"/>
      <c r="AB93" s="25"/>
      <c r="AC93" s="25"/>
      <c r="AD93" s="25"/>
      <c r="AE93" s="25"/>
    </row>
    <row r="94" spans="1:31" ht="16.5">
      <c r="A94" s="53"/>
      <c r="B94" s="54">
        <v>0.79166666666666663</v>
      </c>
      <c r="C94" s="51" t="s">
        <v>39</v>
      </c>
      <c r="D94" s="52"/>
      <c r="E94" s="51">
        <v>0</v>
      </c>
      <c r="F94" s="51">
        <v>0</v>
      </c>
      <c r="G94" s="51">
        <v>0</v>
      </c>
      <c r="H94" s="51">
        <v>8000</v>
      </c>
      <c r="I94" s="51">
        <v>0</v>
      </c>
      <c r="J94" s="51" t="s">
        <v>58</v>
      </c>
      <c r="K94" s="51">
        <v>900</v>
      </c>
      <c r="L94" s="51" t="s">
        <v>889</v>
      </c>
      <c r="M94" s="32">
        <f t="shared" si="81"/>
        <v>0</v>
      </c>
      <c r="N94" s="33">
        <f t="shared" si="82"/>
        <v>1</v>
      </c>
      <c r="O94" s="33">
        <f t="shared" si="83"/>
        <v>0</v>
      </c>
      <c r="P94" s="33">
        <f t="shared" si="84"/>
        <v>1</v>
      </c>
      <c r="Q94" s="34">
        <f t="shared" si="85"/>
        <v>0</v>
      </c>
      <c r="R94" s="33">
        <f t="shared" si="86"/>
        <v>1</v>
      </c>
      <c r="S94" s="34">
        <f t="shared" ref="S94:S104" si="94">IF(ISNUMBER(VALUE(MID(L94,(FIND("KT",L94,FIND("Z",L94))+3),4))),VALUE(MID(L94,(FIND("KT",L94,FIND("Z",L94))+3),4)),IF(ISNUMBER(VALUE(MID(L94,(FIND("0V",L94)+6),4))),VALUE(MID(L94,(FIND("0V",L94)+6),4)),9999))</f>
        <v>6000</v>
      </c>
      <c r="T94" s="34">
        <f t="shared" si="87"/>
        <v>1</v>
      </c>
      <c r="U94" s="34">
        <f t="shared" si="88"/>
        <v>0</v>
      </c>
      <c r="V94" s="34">
        <f t="shared" si="89"/>
        <v>1</v>
      </c>
      <c r="W94" s="34" t="str">
        <f t="shared" si="90"/>
        <v>BKN</v>
      </c>
      <c r="X94" s="34">
        <f t="shared" si="91"/>
        <v>1</v>
      </c>
      <c r="Y94" s="34">
        <f t="shared" si="92"/>
        <v>900</v>
      </c>
      <c r="Z94" s="34">
        <f t="shared" si="93"/>
        <v>1</v>
      </c>
      <c r="AA94" s="25"/>
      <c r="AB94" s="25"/>
      <c r="AC94" s="25"/>
      <c r="AD94" s="25"/>
      <c r="AE94" s="25"/>
    </row>
    <row r="95" spans="1:31" ht="16.5">
      <c r="A95" s="53"/>
      <c r="B95" s="54">
        <v>0.83333333333333337</v>
      </c>
      <c r="C95" s="51" t="s">
        <v>39</v>
      </c>
      <c r="D95" s="52"/>
      <c r="E95" s="51">
        <v>0</v>
      </c>
      <c r="F95" s="51">
        <v>0</v>
      </c>
      <c r="G95" s="51">
        <v>0</v>
      </c>
      <c r="H95" s="51">
        <v>8000</v>
      </c>
      <c r="I95" s="51">
        <v>0</v>
      </c>
      <c r="J95" s="51" t="s">
        <v>58</v>
      </c>
      <c r="K95" s="51">
        <v>900</v>
      </c>
      <c r="L95" s="51" t="s">
        <v>890</v>
      </c>
      <c r="M95" s="32">
        <f t="shared" si="81"/>
        <v>0</v>
      </c>
      <c r="N95" s="33">
        <f t="shared" si="82"/>
        <v>1</v>
      </c>
      <c r="O95" s="33">
        <f t="shared" si="83"/>
        <v>0</v>
      </c>
      <c r="P95" s="33">
        <f t="shared" si="84"/>
        <v>1</v>
      </c>
      <c r="Q95" s="34">
        <f t="shared" si="85"/>
        <v>0</v>
      </c>
      <c r="R95" s="33">
        <f t="shared" si="86"/>
        <v>1</v>
      </c>
      <c r="S95" s="34">
        <f t="shared" si="94"/>
        <v>7000</v>
      </c>
      <c r="T95" s="34">
        <f t="shared" si="87"/>
        <v>1</v>
      </c>
      <c r="U95" s="34">
        <f t="shared" si="88"/>
        <v>0</v>
      </c>
      <c r="V95" s="34">
        <f t="shared" si="89"/>
        <v>1</v>
      </c>
      <c r="W95" s="34" t="str">
        <f t="shared" si="90"/>
        <v>BKN</v>
      </c>
      <c r="X95" s="34">
        <f t="shared" si="91"/>
        <v>1</v>
      </c>
      <c r="Y95" s="34">
        <f t="shared" si="92"/>
        <v>900</v>
      </c>
      <c r="Z95" s="34">
        <f t="shared" si="93"/>
        <v>1</v>
      </c>
      <c r="AA95" s="25"/>
      <c r="AB95" s="25"/>
      <c r="AC95" s="25"/>
      <c r="AD95" s="25"/>
      <c r="AE95" s="25"/>
    </row>
    <row r="96" spans="1:31" ht="16.5">
      <c r="A96" s="53"/>
      <c r="B96" s="54">
        <v>0.875</v>
      </c>
      <c r="C96" s="51" t="s">
        <v>39</v>
      </c>
      <c r="D96" s="52"/>
      <c r="E96" s="51">
        <v>0</v>
      </c>
      <c r="F96" s="51">
        <v>0</v>
      </c>
      <c r="G96" s="51">
        <v>0</v>
      </c>
      <c r="H96" s="51">
        <v>8000</v>
      </c>
      <c r="I96" s="51">
        <v>0</v>
      </c>
      <c r="J96" s="51" t="s">
        <v>58</v>
      </c>
      <c r="K96" s="51">
        <v>900</v>
      </c>
      <c r="L96" s="51" t="s">
        <v>891</v>
      </c>
      <c r="M96" s="32">
        <f t="shared" si="81"/>
        <v>0</v>
      </c>
      <c r="N96" s="33">
        <f t="shared" si="82"/>
        <v>1</v>
      </c>
      <c r="O96" s="33">
        <f t="shared" si="83"/>
        <v>0</v>
      </c>
      <c r="P96" s="33">
        <f t="shared" si="84"/>
        <v>1</v>
      </c>
      <c r="Q96" s="34">
        <f t="shared" si="85"/>
        <v>0</v>
      </c>
      <c r="R96" s="33">
        <f t="shared" si="86"/>
        <v>1</v>
      </c>
      <c r="S96" s="34">
        <f t="shared" si="94"/>
        <v>8000</v>
      </c>
      <c r="T96" s="34">
        <f t="shared" si="87"/>
        <v>1</v>
      </c>
      <c r="U96" s="34">
        <f t="shared" si="88"/>
        <v>0</v>
      </c>
      <c r="V96" s="34">
        <f t="shared" si="89"/>
        <v>1</v>
      </c>
      <c r="W96" s="34" t="str">
        <f t="shared" si="90"/>
        <v>BKN</v>
      </c>
      <c r="X96" s="34">
        <f t="shared" si="91"/>
        <v>1</v>
      </c>
      <c r="Y96" s="34">
        <f t="shared" si="92"/>
        <v>900</v>
      </c>
      <c r="Z96" s="34">
        <f t="shared" si="93"/>
        <v>1</v>
      </c>
      <c r="AA96" s="25"/>
      <c r="AB96" s="25"/>
      <c r="AC96" s="25"/>
      <c r="AD96" s="25"/>
      <c r="AE96" s="25"/>
    </row>
    <row r="97" spans="1:31" ht="16.5">
      <c r="A97" s="53"/>
      <c r="B97" s="54">
        <v>0.91666666666666663</v>
      </c>
      <c r="C97" s="51" t="s">
        <v>39</v>
      </c>
      <c r="D97" s="52"/>
      <c r="E97" s="51">
        <v>0</v>
      </c>
      <c r="F97" s="51">
        <v>0</v>
      </c>
      <c r="G97" s="51">
        <v>0</v>
      </c>
      <c r="H97" s="51">
        <v>8000</v>
      </c>
      <c r="I97" s="51">
        <v>0</v>
      </c>
      <c r="J97" s="51" t="s">
        <v>58</v>
      </c>
      <c r="K97" s="51">
        <v>900</v>
      </c>
      <c r="L97" s="51" t="s">
        <v>892</v>
      </c>
      <c r="M97" s="32">
        <f t="shared" si="81"/>
        <v>0</v>
      </c>
      <c r="N97" s="33">
        <f t="shared" si="82"/>
        <v>1</v>
      </c>
      <c r="O97" s="33">
        <f t="shared" si="83"/>
        <v>0</v>
      </c>
      <c r="P97" s="33">
        <f t="shared" si="84"/>
        <v>1</v>
      </c>
      <c r="Q97" s="34">
        <f t="shared" si="85"/>
        <v>0</v>
      </c>
      <c r="R97" s="33">
        <f t="shared" si="86"/>
        <v>1</v>
      </c>
      <c r="S97" s="34">
        <f t="shared" si="94"/>
        <v>8000</v>
      </c>
      <c r="T97" s="34">
        <f t="shared" si="87"/>
        <v>1</v>
      </c>
      <c r="U97" s="34">
        <f t="shared" si="88"/>
        <v>0</v>
      </c>
      <c r="V97" s="34">
        <f t="shared" si="89"/>
        <v>1</v>
      </c>
      <c r="W97" s="34" t="str">
        <f t="shared" si="90"/>
        <v>BKN</v>
      </c>
      <c r="X97" s="34">
        <f t="shared" si="91"/>
        <v>1</v>
      </c>
      <c r="Y97" s="34">
        <f t="shared" si="92"/>
        <v>900</v>
      </c>
      <c r="Z97" s="34">
        <f t="shared" si="93"/>
        <v>1</v>
      </c>
      <c r="AA97" s="25"/>
      <c r="AB97" s="25"/>
      <c r="AC97" s="25"/>
      <c r="AD97" s="25"/>
      <c r="AE97" s="25"/>
    </row>
    <row r="98" spans="1:31" ht="16.5">
      <c r="A98" s="53"/>
      <c r="B98" s="54">
        <v>0.95833333333333337</v>
      </c>
      <c r="C98" s="51" t="s">
        <v>39</v>
      </c>
      <c r="D98" s="52"/>
      <c r="E98" s="51">
        <v>0</v>
      </c>
      <c r="F98" s="51">
        <v>0</v>
      </c>
      <c r="G98" s="51">
        <v>0</v>
      </c>
      <c r="H98" s="51">
        <v>8000</v>
      </c>
      <c r="I98" s="51">
        <v>0</v>
      </c>
      <c r="J98" s="51" t="s">
        <v>58</v>
      </c>
      <c r="K98" s="51">
        <v>900</v>
      </c>
      <c r="L98" s="51" t="s">
        <v>893</v>
      </c>
      <c r="M98" s="32">
        <f t="shared" si="81"/>
        <v>0</v>
      </c>
      <c r="N98" s="33">
        <f t="shared" si="82"/>
        <v>1</v>
      </c>
      <c r="O98" s="33">
        <f t="shared" si="83"/>
        <v>0</v>
      </c>
      <c r="P98" s="33">
        <f t="shared" si="84"/>
        <v>1</v>
      </c>
      <c r="Q98" s="34">
        <f t="shared" si="85"/>
        <v>0</v>
      </c>
      <c r="R98" s="33">
        <f t="shared" si="86"/>
        <v>1</v>
      </c>
      <c r="S98" s="34">
        <f t="shared" si="94"/>
        <v>8000</v>
      </c>
      <c r="T98" s="34">
        <f t="shared" si="87"/>
        <v>1</v>
      </c>
      <c r="U98" s="34">
        <f t="shared" si="88"/>
        <v>0</v>
      </c>
      <c r="V98" s="34">
        <f t="shared" si="89"/>
        <v>1</v>
      </c>
      <c r="W98" s="34" t="str">
        <f t="shared" si="90"/>
        <v>SCT</v>
      </c>
      <c r="X98" s="34">
        <f t="shared" si="91"/>
        <v>0</v>
      </c>
      <c r="Y98" s="34">
        <f t="shared" si="92"/>
        <v>900</v>
      </c>
      <c r="Z98" s="34">
        <f t="shared" si="93"/>
        <v>1</v>
      </c>
      <c r="AA98" s="25"/>
      <c r="AB98" s="25"/>
      <c r="AC98" s="25"/>
      <c r="AD98" s="25"/>
      <c r="AE98" s="25"/>
    </row>
    <row r="99" spans="1:31" ht="16.5">
      <c r="A99" s="55">
        <v>1</v>
      </c>
      <c r="B99" s="54">
        <v>0</v>
      </c>
      <c r="C99" s="51" t="s">
        <v>39</v>
      </c>
      <c r="D99" s="52"/>
      <c r="E99" s="51">
        <v>0</v>
      </c>
      <c r="F99" s="51">
        <v>0</v>
      </c>
      <c r="G99" s="51">
        <v>0</v>
      </c>
      <c r="H99" s="51">
        <v>8000</v>
      </c>
      <c r="I99" s="51">
        <v>0</v>
      </c>
      <c r="J99" s="51" t="s">
        <v>58</v>
      </c>
      <c r="K99" s="51">
        <v>900</v>
      </c>
      <c r="L99" s="51" t="s">
        <v>894</v>
      </c>
      <c r="M99" s="32">
        <f t="shared" ref="M99:M104" si="95">IF(ISNUMBER(VALUE(FIND("VRB",L99))),999,VALUE(MID(L99,20,3)))</f>
        <v>110</v>
      </c>
      <c r="N99" s="33">
        <f t="shared" ref="N99:N104" si="96">IF(OR(ABS(E99-M99)&lt;61,AND(ABS(E99-M99)&gt;60,O99&lt;10),E99=M99,AND(E99=999,ISNUMBER(VALUE(FIND("TS",L99)))),AND(E99=999,ISNUMBER(VALUE(FIND("CB",L99)))),AND(E99=999,O99&lt;10),AND(F99&lt;10,M99=999,O99&lt;10)),1,0)</f>
        <v>1</v>
      </c>
      <c r="O99" s="33">
        <f t="shared" ref="O99:O104" si="97">VALUE(MID(L99,23,2))</f>
        <v>5</v>
      </c>
      <c r="P99" s="33">
        <f t="shared" ref="P99:P104" si="98">IF(ABS(O99-F99)&lt;11,1,0)</f>
        <v>1</v>
      </c>
      <c r="Q99" s="34">
        <f t="shared" ref="Q99:Q104" si="99">IF(MID(L99,25,1)="G","GUST",0)</f>
        <v>0</v>
      </c>
      <c r="R99" s="33">
        <f t="shared" ref="R99:R104" si="100">IF(G99=Q99,1,0)</f>
        <v>1</v>
      </c>
      <c r="S99" s="34">
        <f t="shared" si="94"/>
        <v>8000</v>
      </c>
      <c r="T99" s="34">
        <f t="shared" ref="T99:T104" si="101">IF(OR(AND(H99&lt;801,S99&lt;801),AND(H99&gt;799,H99&lt;1501,S99&gt;799,S99&lt;1502),AND(H99&gt;1499,H99&lt;3001,S99&gt;1499,S99&lt;3001),AND(H99&gt;2999,H99&lt;5001,S99&gt;2999,S99&lt;5001),AND(H99&gt;4999,S99&gt;4999)),1,0)</f>
        <v>1</v>
      </c>
      <c r="U99" s="34">
        <f t="shared" ref="U99:U104" si="102">IF(AND(IFERROR(FIND("RA",L99),0)&gt;0, IFERROR(FIND("RA",L99),0)&lt;38),"RA",0)</f>
        <v>0</v>
      </c>
      <c r="V99" s="34">
        <f t="shared" ref="V99:V104" si="103">IF(U99=I99,1,0)</f>
        <v>1</v>
      </c>
      <c r="W99" s="34" t="str">
        <f t="shared" ref="W99:W104" si="104">IF(ISNUMBER(VALUE(FIND("FEW",L99))),"FEW",IF(ISNUMBER(VALUE(FIND("SCT",L99))),"SCT",IF(ISNUMBER(VALUE(FIND("BKN",L99))),"BKN",IF(ISNUMBER(VALUE(FIND("OVC",L99))),"OVC",IF(ISNUMBER(VALUE(FIND("SKC",L99))),"SKC",IF(ISNUMBER(VALUE(FIND("CAVOK",L99))),"SKC",IF(ISNUMBER(VALUE(FIND("NSC",L99))),"SKC","EROR")))))))</f>
        <v>SCT</v>
      </c>
      <c r="X99" s="34">
        <f t="shared" ref="X99:X104" si="105">IF(OR(AND(OR(J99="SKC",J99="FEW",J99="SCT"),OR(W99="SKC",W99="FEW",W99="SCT")),(AND(OR(J99="BKN",J99="OVC"),OR(W99="BKN",W99="OVC")))),1,0)</f>
        <v>0</v>
      </c>
      <c r="Y99" s="34">
        <f t="shared" ref="Y99:Y104" si="106">IF(ISNUMBER(VALUE(FIND("CAVOK",L99))),9999,IF(ISNUMBER(VALUE(FIND("NSC",L99))),9999,(MID(L99,(FIND(W99,L99)+4),2))*100))</f>
        <v>900</v>
      </c>
      <c r="Z99" s="34">
        <f t="shared" ref="Z99:Z104" si="107">IF(AND(Y99&lt;1001,ABS(K99-Y99)&lt;101),1,IF(AND(Y99&gt;1000,ABS(Y99-K99)/K99&lt;0.30005),1,0))</f>
        <v>1</v>
      </c>
      <c r="AA99" s="25"/>
      <c r="AB99" s="25"/>
      <c r="AC99" s="25"/>
      <c r="AD99" s="25"/>
      <c r="AE99" s="25"/>
    </row>
    <row r="100" spans="1:31" ht="16.5">
      <c r="A100" s="53"/>
      <c r="B100" s="54">
        <v>4.1666666666666664E-2</v>
      </c>
      <c r="C100" s="51" t="s">
        <v>39</v>
      </c>
      <c r="D100" s="52"/>
      <c r="E100" s="51">
        <v>0</v>
      </c>
      <c r="F100" s="51">
        <v>0</v>
      </c>
      <c r="G100" s="51">
        <v>0</v>
      </c>
      <c r="H100" s="51">
        <v>8000</v>
      </c>
      <c r="I100" s="51">
        <v>0</v>
      </c>
      <c r="J100" s="51" t="s">
        <v>58</v>
      </c>
      <c r="K100" s="51">
        <v>900</v>
      </c>
      <c r="L100" s="51" t="s">
        <v>895</v>
      </c>
      <c r="M100" s="32">
        <f t="shared" si="95"/>
        <v>100</v>
      </c>
      <c r="N100" s="33">
        <f t="shared" si="96"/>
        <v>1</v>
      </c>
      <c r="O100" s="33">
        <f t="shared" si="97"/>
        <v>6</v>
      </c>
      <c r="P100" s="33">
        <f t="shared" si="98"/>
        <v>1</v>
      </c>
      <c r="Q100" s="34">
        <f t="shared" si="99"/>
        <v>0</v>
      </c>
      <c r="R100" s="33">
        <f t="shared" si="100"/>
        <v>1</v>
      </c>
      <c r="S100" s="34">
        <f t="shared" si="94"/>
        <v>8000</v>
      </c>
      <c r="T100" s="34">
        <f t="shared" si="101"/>
        <v>1</v>
      </c>
      <c r="U100" s="34">
        <f t="shared" si="102"/>
        <v>0</v>
      </c>
      <c r="V100" s="34">
        <f t="shared" si="103"/>
        <v>1</v>
      </c>
      <c r="W100" s="34" t="str">
        <f t="shared" si="104"/>
        <v>SCT</v>
      </c>
      <c r="X100" s="34">
        <f t="shared" si="105"/>
        <v>0</v>
      </c>
      <c r="Y100" s="34">
        <f t="shared" si="106"/>
        <v>900</v>
      </c>
      <c r="Z100" s="34">
        <f t="shared" si="107"/>
        <v>1</v>
      </c>
      <c r="AA100" s="25"/>
      <c r="AB100" s="25"/>
      <c r="AC100" s="25"/>
      <c r="AD100" s="25"/>
      <c r="AE100" s="25"/>
    </row>
    <row r="101" spans="1:31" ht="16.5">
      <c r="A101" s="53"/>
      <c r="B101" s="54">
        <v>8.3333333333333329E-2</v>
      </c>
      <c r="C101" s="51" t="s">
        <v>39</v>
      </c>
      <c r="D101" s="52"/>
      <c r="E101" s="51">
        <v>0</v>
      </c>
      <c r="F101" s="51">
        <v>0</v>
      </c>
      <c r="G101" s="51">
        <v>0</v>
      </c>
      <c r="H101" s="51">
        <v>8000</v>
      </c>
      <c r="I101" s="51">
        <v>0</v>
      </c>
      <c r="J101" s="51" t="s">
        <v>58</v>
      </c>
      <c r="K101" s="51">
        <v>900</v>
      </c>
      <c r="L101" s="51" t="s">
        <v>896</v>
      </c>
      <c r="M101" s="32">
        <f t="shared" si="95"/>
        <v>100</v>
      </c>
      <c r="N101" s="33">
        <f t="shared" si="96"/>
        <v>1</v>
      </c>
      <c r="O101" s="33">
        <f t="shared" si="97"/>
        <v>4</v>
      </c>
      <c r="P101" s="33">
        <f t="shared" si="98"/>
        <v>1</v>
      </c>
      <c r="Q101" s="34">
        <f t="shared" si="99"/>
        <v>0</v>
      </c>
      <c r="R101" s="33">
        <f t="shared" si="100"/>
        <v>1</v>
      </c>
      <c r="S101" s="34">
        <f t="shared" si="94"/>
        <v>8000</v>
      </c>
      <c r="T101" s="34">
        <f t="shared" si="101"/>
        <v>1</v>
      </c>
      <c r="U101" s="34">
        <f t="shared" si="102"/>
        <v>0</v>
      </c>
      <c r="V101" s="34">
        <f t="shared" si="103"/>
        <v>1</v>
      </c>
      <c r="W101" s="34" t="str">
        <f t="shared" si="104"/>
        <v>SCT</v>
      </c>
      <c r="X101" s="34">
        <f t="shared" si="105"/>
        <v>0</v>
      </c>
      <c r="Y101" s="34">
        <f t="shared" si="106"/>
        <v>900</v>
      </c>
      <c r="Z101" s="34">
        <f t="shared" si="107"/>
        <v>1</v>
      </c>
      <c r="AA101" s="25"/>
      <c r="AB101" s="25"/>
      <c r="AC101" s="25"/>
      <c r="AD101" s="25"/>
      <c r="AE101" s="25"/>
    </row>
    <row r="102" spans="1:31" ht="16.5">
      <c r="A102" s="53"/>
      <c r="B102" s="54">
        <v>0.125</v>
      </c>
      <c r="C102" s="51" t="s">
        <v>39</v>
      </c>
      <c r="D102" s="52"/>
      <c r="E102" s="51">
        <v>0</v>
      </c>
      <c r="F102" s="51">
        <v>0</v>
      </c>
      <c r="G102" s="51">
        <v>0</v>
      </c>
      <c r="H102" s="51">
        <v>8000</v>
      </c>
      <c r="I102" s="51">
        <v>0</v>
      </c>
      <c r="J102" s="51" t="s">
        <v>58</v>
      </c>
      <c r="K102" s="51">
        <v>900</v>
      </c>
      <c r="L102" s="51" t="s">
        <v>897</v>
      </c>
      <c r="M102" s="32">
        <f t="shared" si="95"/>
        <v>130</v>
      </c>
      <c r="N102" s="33">
        <f t="shared" si="96"/>
        <v>1</v>
      </c>
      <c r="O102" s="33">
        <f t="shared" si="97"/>
        <v>5</v>
      </c>
      <c r="P102" s="33">
        <f t="shared" si="98"/>
        <v>1</v>
      </c>
      <c r="Q102" s="34">
        <f t="shared" si="99"/>
        <v>0</v>
      </c>
      <c r="R102" s="33">
        <f t="shared" si="100"/>
        <v>1</v>
      </c>
      <c r="S102" s="34">
        <f t="shared" si="94"/>
        <v>6000</v>
      </c>
      <c r="T102" s="34">
        <f t="shared" si="101"/>
        <v>1</v>
      </c>
      <c r="U102" s="34">
        <f t="shared" si="102"/>
        <v>0</v>
      </c>
      <c r="V102" s="34">
        <f t="shared" si="103"/>
        <v>1</v>
      </c>
      <c r="W102" s="34" t="str">
        <f t="shared" si="104"/>
        <v>BKN</v>
      </c>
      <c r="X102" s="34">
        <f t="shared" si="105"/>
        <v>1</v>
      </c>
      <c r="Y102" s="34">
        <f t="shared" si="106"/>
        <v>900</v>
      </c>
      <c r="Z102" s="34">
        <f t="shared" si="107"/>
        <v>1</v>
      </c>
      <c r="AA102" s="25"/>
      <c r="AB102" s="25"/>
      <c r="AC102" s="25"/>
      <c r="AD102" s="25"/>
      <c r="AE102" s="25"/>
    </row>
    <row r="103" spans="1:31" ht="16.5">
      <c r="A103" s="53"/>
      <c r="B103" s="54">
        <v>0.16666666666666666</v>
      </c>
      <c r="C103" s="51" t="s">
        <v>39</v>
      </c>
      <c r="D103" s="52"/>
      <c r="E103" s="51">
        <v>0</v>
      </c>
      <c r="F103" s="51">
        <v>0</v>
      </c>
      <c r="G103" s="51">
        <v>0</v>
      </c>
      <c r="H103" s="51">
        <v>8000</v>
      </c>
      <c r="I103" s="51">
        <v>0</v>
      </c>
      <c r="J103" s="51" t="s">
        <v>58</v>
      </c>
      <c r="K103" s="51">
        <v>900</v>
      </c>
      <c r="L103" s="51" t="s">
        <v>898</v>
      </c>
      <c r="M103" s="32">
        <f t="shared" si="95"/>
        <v>100</v>
      </c>
      <c r="N103" s="33">
        <f t="shared" si="96"/>
        <v>1</v>
      </c>
      <c r="O103" s="33">
        <f t="shared" si="97"/>
        <v>5</v>
      </c>
      <c r="P103" s="33">
        <f t="shared" si="98"/>
        <v>1</v>
      </c>
      <c r="Q103" s="34">
        <f t="shared" si="99"/>
        <v>0</v>
      </c>
      <c r="R103" s="33">
        <f t="shared" si="100"/>
        <v>1</v>
      </c>
      <c r="S103" s="34">
        <f t="shared" si="94"/>
        <v>8000</v>
      </c>
      <c r="T103" s="34">
        <f t="shared" si="101"/>
        <v>1</v>
      </c>
      <c r="U103" s="34">
        <f t="shared" si="102"/>
        <v>0</v>
      </c>
      <c r="V103" s="34">
        <f t="shared" si="103"/>
        <v>1</v>
      </c>
      <c r="W103" s="34" t="str">
        <f t="shared" si="104"/>
        <v>BKN</v>
      </c>
      <c r="X103" s="34">
        <f t="shared" si="105"/>
        <v>1</v>
      </c>
      <c r="Y103" s="34">
        <f t="shared" si="106"/>
        <v>900</v>
      </c>
      <c r="Z103" s="34">
        <f t="shared" si="107"/>
        <v>1</v>
      </c>
      <c r="AA103" s="25"/>
      <c r="AB103" s="25"/>
      <c r="AC103" s="25"/>
      <c r="AD103" s="25"/>
      <c r="AE103" s="25"/>
    </row>
    <row r="104" spans="1:31" ht="16.5">
      <c r="A104" s="53"/>
      <c r="B104" s="54">
        <v>0.20833333333333334</v>
      </c>
      <c r="C104" s="51" t="s">
        <v>39</v>
      </c>
      <c r="D104" s="52"/>
      <c r="E104" s="51">
        <v>0</v>
      </c>
      <c r="F104" s="51">
        <v>0</v>
      </c>
      <c r="G104" s="51">
        <v>0</v>
      </c>
      <c r="H104" s="51">
        <v>8000</v>
      </c>
      <c r="I104" s="51">
        <v>0</v>
      </c>
      <c r="J104" s="51" t="s">
        <v>58</v>
      </c>
      <c r="K104" s="51">
        <v>900</v>
      </c>
      <c r="L104" s="51" t="s">
        <v>899</v>
      </c>
      <c r="M104" s="32">
        <f t="shared" si="95"/>
        <v>140</v>
      </c>
      <c r="N104" s="33">
        <f t="shared" si="96"/>
        <v>1</v>
      </c>
      <c r="O104" s="33">
        <f t="shared" si="97"/>
        <v>4</v>
      </c>
      <c r="P104" s="33">
        <f t="shared" si="98"/>
        <v>1</v>
      </c>
      <c r="Q104" s="34">
        <f t="shared" si="99"/>
        <v>0</v>
      </c>
      <c r="R104" s="33">
        <f t="shared" si="100"/>
        <v>1</v>
      </c>
      <c r="S104" s="34">
        <f t="shared" si="94"/>
        <v>6000</v>
      </c>
      <c r="T104" s="34">
        <f t="shared" si="101"/>
        <v>1</v>
      </c>
      <c r="U104" s="34">
        <f t="shared" si="102"/>
        <v>0</v>
      </c>
      <c r="V104" s="34">
        <f t="shared" si="103"/>
        <v>1</v>
      </c>
      <c r="W104" s="34" t="str">
        <f t="shared" si="104"/>
        <v>BKN</v>
      </c>
      <c r="X104" s="34">
        <f t="shared" si="105"/>
        <v>1</v>
      </c>
      <c r="Y104" s="34">
        <f t="shared" si="106"/>
        <v>900</v>
      </c>
      <c r="Z104" s="34">
        <f t="shared" si="107"/>
        <v>1</v>
      </c>
      <c r="AA104" s="25"/>
      <c r="AB104" s="25"/>
      <c r="AC104" s="25"/>
      <c r="AD104" s="25"/>
      <c r="AE104" s="25"/>
    </row>
    <row r="105" spans="1:31" ht="16.5">
      <c r="A105" s="25"/>
      <c r="B105" s="25"/>
      <c r="C105" s="38"/>
      <c r="D105" s="39"/>
      <c r="E105" s="39"/>
      <c r="F105" s="39"/>
      <c r="G105" s="39"/>
      <c r="H105" s="39"/>
      <c r="I105" s="39"/>
      <c r="J105" s="39"/>
      <c r="K105" s="39"/>
      <c r="L105" s="38"/>
      <c r="M105" s="40"/>
      <c r="N105" s="38"/>
      <c r="O105" s="40"/>
      <c r="P105" s="38"/>
      <c r="Q105" s="40"/>
      <c r="R105" s="38"/>
      <c r="S105" s="40"/>
      <c r="T105" s="38"/>
      <c r="U105" s="40"/>
      <c r="V105" s="38"/>
      <c r="W105" s="40"/>
      <c r="X105" s="38"/>
      <c r="Y105" s="40"/>
      <c r="Z105" s="38"/>
      <c r="AA105" s="25"/>
      <c r="AB105" s="25"/>
      <c r="AC105" s="25"/>
      <c r="AD105" s="25"/>
      <c r="AE105" s="25"/>
    </row>
    <row r="106" spans="1:31">
      <c r="A106" s="25"/>
      <c r="B106" s="25"/>
      <c r="C106" s="41"/>
      <c r="D106" s="25"/>
      <c r="E106" s="25"/>
      <c r="F106" s="25"/>
      <c r="G106" s="25"/>
      <c r="H106" s="25"/>
      <c r="I106" s="25"/>
      <c r="J106" s="25"/>
      <c r="K106" s="25"/>
      <c r="L106" s="25"/>
      <c r="M106" s="41"/>
      <c r="N106" s="41"/>
      <c r="O106" s="41"/>
      <c r="P106" s="25"/>
      <c r="Q106" s="25"/>
      <c r="R106" s="25"/>
      <c r="S106" s="25"/>
      <c r="T106" s="25"/>
      <c r="U106" s="41"/>
      <c r="V106" s="25"/>
      <c r="W106" s="41"/>
      <c r="X106" s="25"/>
      <c r="Y106" s="41"/>
      <c r="Z106" s="25"/>
      <c r="AA106" s="25"/>
      <c r="AB106" s="25"/>
      <c r="AC106" s="25"/>
      <c r="AD106" s="25"/>
      <c r="AE106" s="25"/>
    </row>
    <row r="107" spans="1:31">
      <c r="A107" s="25"/>
      <c r="B107" s="25"/>
      <c r="C107" s="41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41"/>
      <c r="X107" s="25"/>
      <c r="Y107" s="25"/>
      <c r="Z107" s="25"/>
      <c r="AA107" s="25"/>
      <c r="AB107" s="25"/>
      <c r="AC107" s="25"/>
      <c r="AD107" s="25"/>
      <c r="AE107" s="25"/>
    </row>
    <row r="108" spans="1:3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</row>
    <row r="109" spans="1:31">
      <c r="A109" s="25"/>
      <c r="B109" s="25"/>
      <c r="C109" s="41" t="s">
        <v>32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>
        <f>SUM(N93:N104)</f>
        <v>12</v>
      </c>
      <c r="O109" s="25"/>
      <c r="P109" s="25">
        <f>SUM(P93:P104)</f>
        <v>12</v>
      </c>
      <c r="Q109" s="25"/>
      <c r="R109" s="25">
        <f>SUM(R93:R104)</f>
        <v>12</v>
      </c>
      <c r="S109" s="25"/>
      <c r="T109" s="25">
        <f>SUM(T93:T104)</f>
        <v>12</v>
      </c>
      <c r="U109" s="25"/>
      <c r="V109" s="25">
        <f>SUM(V93:V104)</f>
        <v>12</v>
      </c>
      <c r="W109" s="25"/>
      <c r="X109" s="25">
        <f>SUM(X93:X104)</f>
        <v>8</v>
      </c>
      <c r="Y109" s="25"/>
      <c r="Z109" s="25">
        <f>SUM(Z93:Z104)</f>
        <v>12</v>
      </c>
      <c r="AA109" s="25"/>
      <c r="AB109" s="25"/>
      <c r="AC109" s="25"/>
      <c r="AD109" s="25"/>
      <c r="AE109" s="25"/>
    </row>
    <row r="110" spans="1:31">
      <c r="A110" s="25"/>
      <c r="B110" s="25"/>
      <c r="C110" s="41" t="s">
        <v>33</v>
      </c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>
        <f>SUMIF($C93:$C104,"GENERAL",N93:N104)</f>
        <v>12</v>
      </c>
      <c r="O110" s="25"/>
      <c r="P110" s="25">
        <f>SUMIF($C93:$C104,"GENERAL",P93:P104)</f>
        <v>12</v>
      </c>
      <c r="Q110" s="25"/>
      <c r="R110" s="25">
        <f>SUMIF($C93:$C104,"GENERAL",R93:R104)</f>
        <v>12</v>
      </c>
      <c r="S110" s="25"/>
      <c r="T110" s="25">
        <f>SUMIF($C93:$C104,"GENERAL",T93:T104)</f>
        <v>12</v>
      </c>
      <c r="U110" s="25"/>
      <c r="V110" s="25">
        <f>SUMIF($C93:$C104,"GENERAL",V93:V104)</f>
        <v>12</v>
      </c>
      <c r="W110" s="25"/>
      <c r="X110" s="25">
        <f>SUMIF($C93:$C104,"GENERAL",X93:X104)</f>
        <v>8</v>
      </c>
      <c r="Y110" s="25"/>
      <c r="Z110" s="25">
        <f>SUMIF($C93:$C104,"GENERAL",Z93:Z104)</f>
        <v>12</v>
      </c>
      <c r="AA110" s="25"/>
      <c r="AB110" s="25"/>
      <c r="AC110" s="25"/>
      <c r="AD110" s="25"/>
      <c r="AE110" s="25"/>
    </row>
    <row r="111" spans="1:31">
      <c r="A111" s="25"/>
      <c r="B111" s="25"/>
      <c r="C111" s="41" t="s">
        <v>34</v>
      </c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>
        <f>SUMIF($C93:$C104,"BECMG",N93:N104)</f>
        <v>0</v>
      </c>
      <c r="O111" s="25"/>
      <c r="P111" s="25">
        <f>SUMIF($C93:$C104,"BECMG",P93:P104)</f>
        <v>0</v>
      </c>
      <c r="Q111" s="25"/>
      <c r="R111" s="25">
        <f>SUMIF($C93:$C104,"BECMG",R93:R104)</f>
        <v>0</v>
      </c>
      <c r="S111" s="25"/>
      <c r="T111" s="25">
        <f>SUMIF($C93:$C104,"BECMG",T93:T104)</f>
        <v>0</v>
      </c>
      <c r="U111" s="25"/>
      <c r="V111" s="25">
        <f>SUMIF($C93:$C104,"BECMG",V93:V104)</f>
        <v>0</v>
      </c>
      <c r="W111" s="25"/>
      <c r="X111" s="25">
        <f>SUMIF($C93:$C104,"BECMG",X93:X104)</f>
        <v>0</v>
      </c>
      <c r="Y111" s="25"/>
      <c r="Z111" s="25">
        <f>SUMIF($C93:$C104,"BECMG",Z93:Z104)</f>
        <v>0</v>
      </c>
      <c r="AA111" s="25"/>
      <c r="AB111" s="25"/>
      <c r="AC111" s="25"/>
      <c r="AD111" s="25"/>
      <c r="AE111" s="25"/>
    </row>
    <row r="112" spans="1:31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 t="s">
        <v>35</v>
      </c>
      <c r="M112" s="42" t="s">
        <v>36</v>
      </c>
      <c r="N112" s="42"/>
      <c r="O112" s="42" t="s">
        <v>36</v>
      </c>
      <c r="P112" s="42"/>
      <c r="Q112" s="42" t="s">
        <v>36</v>
      </c>
      <c r="R112" s="42"/>
      <c r="S112" s="42" t="s">
        <v>36</v>
      </c>
      <c r="T112" s="42"/>
      <c r="U112" s="42" t="s">
        <v>36</v>
      </c>
      <c r="V112" s="42"/>
      <c r="W112" s="42" t="s">
        <v>36</v>
      </c>
      <c r="X112" s="42"/>
      <c r="Y112" s="42" t="s">
        <v>36</v>
      </c>
      <c r="Z112" s="42"/>
      <c r="AA112" s="42"/>
      <c r="AB112" s="42"/>
      <c r="AC112" s="42"/>
      <c r="AD112" s="42"/>
      <c r="AE112" s="42"/>
    </row>
    <row r="113" spans="1:31">
      <c r="A113" s="42"/>
      <c r="B113" s="42"/>
      <c r="C113" s="42" t="s">
        <v>37</v>
      </c>
      <c r="D113" s="42"/>
      <c r="E113" s="42"/>
      <c r="F113" s="42"/>
      <c r="G113" s="42"/>
      <c r="H113" s="42"/>
      <c r="I113" s="42"/>
      <c r="J113" s="42"/>
      <c r="K113" s="42"/>
      <c r="L113" s="42">
        <f>COUNTIF($C93:$C104,"=TEMPO")</f>
        <v>0</v>
      </c>
      <c r="M113" s="42">
        <f>SUMIF($C93:$C104,"TEMPO",N93:N104)</f>
        <v>0</v>
      </c>
      <c r="N113" s="42">
        <f>M113</f>
        <v>0</v>
      </c>
      <c r="O113" s="42">
        <f>SUMIF($C93:$C104,"TEMPO",P93:P104)</f>
        <v>0</v>
      </c>
      <c r="P113" s="42">
        <f>O113</f>
        <v>0</v>
      </c>
      <c r="Q113" s="42">
        <f>SUMIF($C93:$C104,"TEMPO",R93:R104)</f>
        <v>0</v>
      </c>
      <c r="R113" s="42">
        <f>Q113</f>
        <v>0</v>
      </c>
      <c r="S113" s="42">
        <f>SUMIF($C93:$C104,"TEMPO",T93:T104)</f>
        <v>0</v>
      </c>
      <c r="T113" s="42">
        <f>S113</f>
        <v>0</v>
      </c>
      <c r="U113" s="42">
        <f>SUMIF($C93:$C104,"TEMPO",V93:V104)</f>
        <v>0</v>
      </c>
      <c r="V113" s="42">
        <f>U113</f>
        <v>0</v>
      </c>
      <c r="W113" s="42">
        <f>SUMIF($C93:$C104,"TEMPO",X93:X104)</f>
        <v>0</v>
      </c>
      <c r="X113" s="42">
        <f>W113</f>
        <v>0</v>
      </c>
      <c r="Y113" s="42">
        <f>SUMIF($C93:$C104,"TEMPO",Z93:Z104)</f>
        <v>0</v>
      </c>
      <c r="Z113" s="42">
        <f>Y113</f>
        <v>0</v>
      </c>
      <c r="AA113" s="42"/>
      <c r="AB113" s="42"/>
      <c r="AC113" s="42"/>
      <c r="AD113" s="42"/>
      <c r="AE113" s="42"/>
    </row>
    <row r="114" spans="1:31">
      <c r="A114" s="25"/>
      <c r="B114" s="25"/>
      <c r="C114" s="38" t="s">
        <v>38</v>
      </c>
      <c r="D114" s="38"/>
      <c r="E114" s="39"/>
      <c r="F114" s="39"/>
      <c r="G114" s="39"/>
      <c r="H114" s="39"/>
      <c r="I114" s="39"/>
      <c r="J114" s="39"/>
      <c r="K114" s="39"/>
      <c r="L114" s="38"/>
      <c r="M114" s="39"/>
      <c r="N114" s="38">
        <f>(SUM(N110:N113)/COUNTA(N93:N104))*100</f>
        <v>100</v>
      </c>
      <c r="O114" s="38"/>
      <c r="P114" s="38">
        <f>(SUM(P110:P113)/COUNTA(P93:P104))*100</f>
        <v>100</v>
      </c>
      <c r="Q114" s="38"/>
      <c r="R114" s="38">
        <f>(SUM(R110:R113)/COUNTA(R93:R104))*100</f>
        <v>100</v>
      </c>
      <c r="S114" s="38"/>
      <c r="T114" s="38">
        <f>(SUM(T110:T113)/COUNTA(T93:T104))*100</f>
        <v>100</v>
      </c>
      <c r="U114" s="38"/>
      <c r="V114" s="38">
        <f>(SUM(V110:V113)/COUNTA(V93:V104))*100</f>
        <v>100</v>
      </c>
      <c r="W114" s="38"/>
      <c r="X114" s="38">
        <f>(SUM(X110:X113)/COUNTA(X93:X104))*100</f>
        <v>66.666666666666657</v>
      </c>
      <c r="Y114" s="38"/>
      <c r="Z114" s="38">
        <f>(SUM(Z110:Z113)/COUNTA(Z93:Z104))*100</f>
        <v>100</v>
      </c>
      <c r="AA114" s="38" t="e">
        <v>#DIV/0!</v>
      </c>
      <c r="AB114" s="38"/>
      <c r="AC114" s="25"/>
      <c r="AD114" s="25"/>
      <c r="AE114" s="25"/>
    </row>
    <row r="115" spans="1:31">
      <c r="A115" s="25"/>
      <c r="B115" s="25"/>
      <c r="C115" s="41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</row>
  </sheetData>
  <mergeCells count="113">
    <mergeCell ref="A4:A6"/>
    <mergeCell ref="B4:B6"/>
    <mergeCell ref="D4:K4"/>
    <mergeCell ref="L4:Z4"/>
    <mergeCell ref="C5:C6"/>
    <mergeCell ref="D5:D6"/>
    <mergeCell ref="E5:E6"/>
    <mergeCell ref="F5:F6"/>
    <mergeCell ref="G5:G6"/>
    <mergeCell ref="H5:H6"/>
    <mergeCell ref="U5:U6"/>
    <mergeCell ref="V5:V6"/>
    <mergeCell ref="W5:W6"/>
    <mergeCell ref="X5:X6"/>
    <mergeCell ref="Y5:Y6"/>
    <mergeCell ref="Z5:Z6"/>
    <mergeCell ref="O5:O6"/>
    <mergeCell ref="P5:P6"/>
    <mergeCell ref="Q5:Q6"/>
    <mergeCell ref="R5:R6"/>
    <mergeCell ref="S5:S6"/>
    <mergeCell ref="T5:T6"/>
    <mergeCell ref="K34:K35"/>
    <mergeCell ref="L34:L35"/>
    <mergeCell ref="M34:M35"/>
    <mergeCell ref="N34:N35"/>
    <mergeCell ref="I5:I6"/>
    <mergeCell ref="J5:J6"/>
    <mergeCell ref="K5:K6"/>
    <mergeCell ref="L5:L6"/>
    <mergeCell ref="M5:M6"/>
    <mergeCell ref="N5:N6"/>
    <mergeCell ref="A33:A35"/>
    <mergeCell ref="B33:B35"/>
    <mergeCell ref="D33:K33"/>
    <mergeCell ref="L33:Z33"/>
    <mergeCell ref="C34:C35"/>
    <mergeCell ref="D34:D35"/>
    <mergeCell ref="E34:E35"/>
    <mergeCell ref="F34:F35"/>
    <mergeCell ref="G34:G35"/>
    <mergeCell ref="H34:H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I34:I35"/>
    <mergeCell ref="J34:J35"/>
    <mergeCell ref="AA42:AA44"/>
    <mergeCell ref="A62:A64"/>
    <mergeCell ref="B62:B64"/>
    <mergeCell ref="D62:K62"/>
    <mergeCell ref="L62:Z62"/>
    <mergeCell ref="C63:C64"/>
    <mergeCell ref="D63:D64"/>
    <mergeCell ref="E63:E64"/>
    <mergeCell ref="F63:F64"/>
    <mergeCell ref="G63:G64"/>
    <mergeCell ref="P63:P64"/>
    <mergeCell ref="Q63:Q64"/>
    <mergeCell ref="R63:R64"/>
    <mergeCell ref="S63:S64"/>
    <mergeCell ref="H63:H64"/>
    <mergeCell ref="I63:I64"/>
    <mergeCell ref="J63:J64"/>
    <mergeCell ref="K63:K64"/>
    <mergeCell ref="L63:L64"/>
    <mergeCell ref="M63:M64"/>
    <mergeCell ref="H91:H92"/>
    <mergeCell ref="I91:I92"/>
    <mergeCell ref="J91:J92"/>
    <mergeCell ref="K91:K92"/>
    <mergeCell ref="L91:L92"/>
    <mergeCell ref="M91:M92"/>
    <mergeCell ref="Z63:Z64"/>
    <mergeCell ref="A90:A92"/>
    <mergeCell ref="B90:B92"/>
    <mergeCell ref="D90:K90"/>
    <mergeCell ref="L90:Z90"/>
    <mergeCell ref="C91:C92"/>
    <mergeCell ref="D91:D92"/>
    <mergeCell ref="E91:E92"/>
    <mergeCell ref="F91:F92"/>
    <mergeCell ref="G91:G92"/>
    <mergeCell ref="T63:T64"/>
    <mergeCell ref="U63:U64"/>
    <mergeCell ref="V63:V64"/>
    <mergeCell ref="W63:W64"/>
    <mergeCell ref="X63:X64"/>
    <mergeCell ref="Y63:Y64"/>
    <mergeCell ref="N63:N64"/>
    <mergeCell ref="O63:O64"/>
    <mergeCell ref="Z91:Z92"/>
    <mergeCell ref="T91:T92"/>
    <mergeCell ref="U91:U92"/>
    <mergeCell ref="V91:V92"/>
    <mergeCell ref="W91:W92"/>
    <mergeCell ref="X91:X92"/>
    <mergeCell ref="Y91:Y92"/>
    <mergeCell ref="N91:N92"/>
    <mergeCell ref="O91:O92"/>
    <mergeCell ref="P91:P92"/>
    <mergeCell ref="Q91:Q92"/>
    <mergeCell ref="R91:R92"/>
    <mergeCell ref="S91:S9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REKAP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Foreman Nussy</cp:lastModifiedBy>
  <dcterms:created xsi:type="dcterms:W3CDTF">2024-12-28T02:06:54Z</dcterms:created>
  <dcterms:modified xsi:type="dcterms:W3CDTF">2026-05-09T09:22:52Z</dcterms:modified>
</cp:coreProperties>
</file>