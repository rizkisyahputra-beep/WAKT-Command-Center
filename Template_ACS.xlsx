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KANTOR\BMKG_Operasional\"/>
    </mc:Choice>
  </mc:AlternateContent>
  <xr:revisionPtr revIDLastSave="0" documentId="13_ncr:1_{D7BAC7C0-2E3C-4ED5-83FB-819D40772FC1}" xr6:coauthVersionLast="40" xr6:coauthVersionMax="40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ENTRY ANGIN" sheetId="2" state="hidden" r:id="rId1"/>
    <sheet name="COVER" sheetId="3" r:id="rId2"/>
    <sheet name="MODEL A" sheetId="4" r:id="rId3"/>
    <sheet name="MODEL B" sheetId="5" r:id="rId4"/>
    <sheet name="MODEL C" sheetId="6" r:id="rId5"/>
    <sheet name="MODEL D" sheetId="7" r:id="rId6"/>
    <sheet name="MODEL E" sheetId="8" r:id="rId7"/>
    <sheet name="Sheet1" sheetId="9" state="hidden" r:id="rId8"/>
    <sheet name="Sheet2" sheetId="10" state="hidden" r:id="rId9"/>
    <sheet name="Sheet3" sheetId="11" state="hidden" r:id="rId10"/>
    <sheet name="Sheet4" sheetId="12" state="hidden" r:id="rId11"/>
  </sheets>
  <calcPr calcId="191029"/>
  <extLst>
    <ext uri="GoogleSheetsCustomDataVersion2">
      <go:sheetsCustomData xmlns:go="http://customooxmlschemas.google.com/" r:id="rId16" roundtripDataChecksum="PNcbZ85FZH4mGIaaHXdS6M5IlEq3vjfrn0jhQrrbANw="/>
    </ext>
  </extLst>
</workbook>
</file>

<file path=xl/calcChain.xml><?xml version="1.0" encoding="utf-8"?>
<calcChain xmlns="http://schemas.openxmlformats.org/spreadsheetml/2006/main">
  <c r="A48" i="3" l="1"/>
  <c r="AE54" i="2"/>
  <c r="CH52" i="2"/>
  <c r="BV52" i="2"/>
  <c r="CL28" i="2"/>
  <c r="CL54" i="2" s="1"/>
  <c r="CK28" i="2"/>
  <c r="CK54" i="2" s="1"/>
  <c r="CJ28" i="2"/>
  <c r="CJ54" i="2" s="1"/>
  <c r="CI28" i="2"/>
  <c r="CI54" i="2" s="1"/>
  <c r="CH28" i="2"/>
  <c r="CH54" i="2" s="1"/>
  <c r="CG28" i="2"/>
  <c r="CG54" i="2" s="1"/>
  <c r="CF28" i="2"/>
  <c r="CF54" i="2" s="1"/>
  <c r="CE28" i="2"/>
  <c r="CE54" i="2" s="1"/>
  <c r="CD28" i="2"/>
  <c r="CD54" i="2" s="1"/>
  <c r="CC28" i="2"/>
  <c r="CC54" i="2" s="1"/>
  <c r="CB28" i="2"/>
  <c r="CB54" i="2" s="1"/>
  <c r="CA28" i="2"/>
  <c r="CA54" i="2" s="1"/>
  <c r="DN26" i="2" s="1"/>
  <c r="BZ28" i="2"/>
  <c r="BZ54" i="2" s="1"/>
  <c r="BY28" i="2"/>
  <c r="BY54" i="2" s="1"/>
  <c r="BX28" i="2"/>
  <c r="BX54" i="2" s="1"/>
  <c r="BW28" i="2"/>
  <c r="BW54" i="2" s="1"/>
  <c r="DL26" i="2" s="1"/>
  <c r="BV28" i="2"/>
  <c r="BV54" i="2" s="1"/>
  <c r="BU28" i="2"/>
  <c r="BU54" i="2" s="1"/>
  <c r="BT28" i="2"/>
  <c r="BT54" i="2" s="1"/>
  <c r="BS28" i="2"/>
  <c r="BS54" i="2" s="1"/>
  <c r="DJ26" i="2" s="1"/>
  <c r="BR28" i="2"/>
  <c r="BR54" i="2" s="1"/>
  <c r="DI26" i="2" s="1"/>
  <c r="BQ28" i="2"/>
  <c r="BQ54" i="2" s="1"/>
  <c r="BP28" i="2"/>
  <c r="BP54" i="2" s="1"/>
  <c r="BO28" i="2"/>
  <c r="BO54" i="2" s="1"/>
  <c r="DH26" i="2" s="1"/>
  <c r="BN28" i="2"/>
  <c r="BN54" i="2" s="1"/>
  <c r="DG26" i="2" s="1"/>
  <c r="BM28" i="2"/>
  <c r="BM54" i="2" s="1"/>
  <c r="BL28" i="2"/>
  <c r="BL54" i="2" s="1"/>
  <c r="BK28" i="2"/>
  <c r="BK54" i="2" s="1"/>
  <c r="DF26" i="2" s="1"/>
  <c r="BJ28" i="2"/>
  <c r="BJ54" i="2" s="1"/>
  <c r="BI28" i="2"/>
  <c r="BI54" i="2" s="1"/>
  <c r="BH28" i="2"/>
  <c r="BH54" i="2" s="1"/>
  <c r="BG28" i="2"/>
  <c r="BG54" i="2" s="1"/>
  <c r="BF28" i="2"/>
  <c r="BF54" i="2" s="1"/>
  <c r="DC26" i="2" s="1"/>
  <c r="BE28" i="2"/>
  <c r="BE54" i="2" s="1"/>
  <c r="BD28" i="2"/>
  <c r="BD54" i="2" s="1"/>
  <c r="BC28" i="2"/>
  <c r="BC54" i="2" s="1"/>
  <c r="DB26" i="2" s="1"/>
  <c r="BB28" i="2"/>
  <c r="BB54" i="2" s="1"/>
  <c r="BA28" i="2"/>
  <c r="BA54" i="2" s="1"/>
  <c r="AZ28" i="2"/>
  <c r="AZ54" i="2" s="1"/>
  <c r="AY28" i="2"/>
  <c r="AY54" i="2" s="1"/>
  <c r="CZ26" i="2" s="1"/>
  <c r="AX28" i="2"/>
  <c r="AX54" i="2" s="1"/>
  <c r="AW28" i="2"/>
  <c r="AW54" i="2" s="1"/>
  <c r="AV28" i="2"/>
  <c r="AV54" i="2" s="1"/>
  <c r="AU28" i="2"/>
  <c r="AU54" i="2" s="1"/>
  <c r="AT28" i="2"/>
  <c r="AT54" i="2" s="1"/>
  <c r="CW26" i="2" s="1"/>
  <c r="AS28" i="2"/>
  <c r="AS54" i="2" s="1"/>
  <c r="AR28" i="2"/>
  <c r="AR54" i="2" s="1"/>
  <c r="AQ28" i="2"/>
  <c r="AQ54" i="2" s="1"/>
  <c r="AP28" i="2"/>
  <c r="AP54" i="2" s="1"/>
  <c r="CU26" i="2" s="1"/>
  <c r="AO28" i="2"/>
  <c r="AO54" i="2" s="1"/>
  <c r="AN28" i="2"/>
  <c r="AN54" i="2" s="1"/>
  <c r="AM28" i="2"/>
  <c r="AM54" i="2" s="1"/>
  <c r="AL28" i="2"/>
  <c r="AL54" i="2" s="1"/>
  <c r="AK28" i="2"/>
  <c r="AK54" i="2" s="1"/>
  <c r="AJ28" i="2"/>
  <c r="AJ54" i="2" s="1"/>
  <c r="AI28" i="2"/>
  <c r="AI54" i="2" s="1"/>
  <c r="CR26" i="2" s="1"/>
  <c r="AH28" i="2"/>
  <c r="AH54" i="2" s="1"/>
  <c r="AG28" i="2"/>
  <c r="AG54" i="2" s="1"/>
  <c r="AF28" i="2"/>
  <c r="AF54" i="2" s="1"/>
  <c r="CP26" i="2" s="1"/>
  <c r="AE28" i="2"/>
  <c r="AD28" i="2"/>
  <c r="AD54" i="2" s="1"/>
  <c r="AC28" i="2"/>
  <c r="AC54" i="2" s="1"/>
  <c r="CL27" i="2"/>
  <c r="CL53" i="2" s="1"/>
  <c r="CK27" i="2"/>
  <c r="CK53" i="2" s="1"/>
  <c r="CJ27" i="2"/>
  <c r="CJ53" i="2" s="1"/>
  <c r="CI27" i="2"/>
  <c r="CI53" i="2" s="1"/>
  <c r="CH27" i="2"/>
  <c r="CH53" i="2" s="1"/>
  <c r="CG27" i="2"/>
  <c r="CG53" i="2" s="1"/>
  <c r="CF27" i="2"/>
  <c r="CF53" i="2" s="1"/>
  <c r="CE27" i="2"/>
  <c r="CE53" i="2" s="1"/>
  <c r="CD27" i="2"/>
  <c r="CD53" i="2" s="1"/>
  <c r="CC27" i="2"/>
  <c r="CC53" i="2" s="1"/>
  <c r="CB27" i="2"/>
  <c r="CB53" i="2" s="1"/>
  <c r="DN25" i="2" s="1"/>
  <c r="CA27" i="2"/>
  <c r="CA53" i="2" s="1"/>
  <c r="BZ27" i="2"/>
  <c r="BZ53" i="2" s="1"/>
  <c r="BY27" i="2"/>
  <c r="BY53" i="2" s="1"/>
  <c r="BX27" i="2"/>
  <c r="BX53" i="2" s="1"/>
  <c r="BW27" i="2"/>
  <c r="BW53" i="2" s="1"/>
  <c r="DL25" i="2" s="1"/>
  <c r="BV27" i="2"/>
  <c r="BV53" i="2" s="1"/>
  <c r="BU27" i="2"/>
  <c r="BU53" i="2" s="1"/>
  <c r="BT27" i="2"/>
  <c r="BT53" i="2" s="1"/>
  <c r="BS27" i="2"/>
  <c r="BS53" i="2" s="1"/>
  <c r="BR27" i="2"/>
  <c r="BR53" i="2" s="1"/>
  <c r="BQ27" i="2"/>
  <c r="BQ53" i="2" s="1"/>
  <c r="DI25" i="2" s="1"/>
  <c r="BP27" i="2"/>
  <c r="BP53" i="2" s="1"/>
  <c r="DH25" i="2" s="1"/>
  <c r="BO27" i="2"/>
  <c r="BO53" i="2" s="1"/>
  <c r="BN27" i="2"/>
  <c r="BN53" i="2" s="1"/>
  <c r="BM27" i="2"/>
  <c r="BM53" i="2" s="1"/>
  <c r="DG25" i="2" s="1"/>
  <c r="BL27" i="2"/>
  <c r="BL53" i="2" s="1"/>
  <c r="BK27" i="2"/>
  <c r="BK53" i="2" s="1"/>
  <c r="BJ27" i="2"/>
  <c r="BJ53" i="2" s="1"/>
  <c r="BI27" i="2"/>
  <c r="BI53" i="2" s="1"/>
  <c r="DE25" i="2" s="1"/>
  <c r="BH27" i="2"/>
  <c r="BH53" i="2" s="1"/>
  <c r="BG27" i="2"/>
  <c r="BG53" i="2" s="1"/>
  <c r="BF27" i="2"/>
  <c r="BF53" i="2" s="1"/>
  <c r="BE27" i="2"/>
  <c r="BE53" i="2" s="1"/>
  <c r="BD27" i="2"/>
  <c r="BD53" i="2" s="1"/>
  <c r="DB25" i="2" s="1"/>
  <c r="BC27" i="2"/>
  <c r="BC53" i="2" s="1"/>
  <c r="BB27" i="2"/>
  <c r="BB53" i="2" s="1"/>
  <c r="BA27" i="2"/>
  <c r="BA53" i="2" s="1"/>
  <c r="AZ27" i="2"/>
  <c r="AZ53" i="2" s="1"/>
  <c r="AY27" i="2"/>
  <c r="AY53" i="2" s="1"/>
  <c r="CZ25" i="2" s="1"/>
  <c r="AX27" i="2"/>
  <c r="AX53" i="2" s="1"/>
  <c r="AW27" i="2"/>
  <c r="AW53" i="2" s="1"/>
  <c r="AV27" i="2"/>
  <c r="AV53" i="2" s="1"/>
  <c r="AU27" i="2"/>
  <c r="AU53" i="2" s="1"/>
  <c r="AT27" i="2"/>
  <c r="AT53" i="2" s="1"/>
  <c r="AS27" i="2"/>
  <c r="AS53" i="2" s="1"/>
  <c r="CW25" i="2" s="1"/>
  <c r="AR27" i="2"/>
  <c r="AR53" i="2" s="1"/>
  <c r="AQ27" i="2"/>
  <c r="AQ53" i="2" s="1"/>
  <c r="AP27" i="2"/>
  <c r="AP53" i="2" s="1"/>
  <c r="AO27" i="2"/>
  <c r="AO53" i="2" s="1"/>
  <c r="CU25" i="2" s="1"/>
  <c r="AN27" i="2"/>
  <c r="AN53" i="2" s="1"/>
  <c r="AM27" i="2"/>
  <c r="AM53" i="2" s="1"/>
  <c r="CT25" i="2" s="1"/>
  <c r="AL27" i="2"/>
  <c r="AL53" i="2" s="1"/>
  <c r="AK27" i="2"/>
  <c r="AK53" i="2" s="1"/>
  <c r="AJ27" i="2"/>
  <c r="AJ53" i="2" s="1"/>
  <c r="CR25" i="2" s="1"/>
  <c r="AI27" i="2"/>
  <c r="AI53" i="2" s="1"/>
  <c r="AH27" i="2"/>
  <c r="AH53" i="2" s="1"/>
  <c r="AG27" i="2"/>
  <c r="AG53" i="2" s="1"/>
  <c r="AF27" i="2"/>
  <c r="AF53" i="2" s="1"/>
  <c r="AE27" i="2"/>
  <c r="AE53" i="2" s="1"/>
  <c r="AD27" i="2"/>
  <c r="AD53" i="2" s="1"/>
  <c r="AC27" i="2"/>
  <c r="AC53" i="2" s="1"/>
  <c r="CO25" i="2" s="1"/>
  <c r="DP26" i="2"/>
  <c r="DO26" i="2"/>
  <c r="DM26" i="2"/>
  <c r="DK26" i="2"/>
  <c r="DE26" i="2"/>
  <c r="DD26" i="2"/>
  <c r="DA26" i="2"/>
  <c r="CX26" i="2"/>
  <c r="CT26" i="2"/>
  <c r="CO26" i="2"/>
  <c r="CL26" i="2"/>
  <c r="CL52" i="2" s="1"/>
  <c r="CK26" i="2"/>
  <c r="CK52" i="2" s="1"/>
  <c r="CJ26" i="2"/>
  <c r="CJ52" i="2" s="1"/>
  <c r="CI26" i="2"/>
  <c r="CI52" i="2" s="1"/>
  <c r="CH26" i="2"/>
  <c r="CG26" i="2"/>
  <c r="CG52" i="2" s="1"/>
  <c r="CF26" i="2"/>
  <c r="CF52" i="2" s="1"/>
  <c r="CE26" i="2"/>
  <c r="CE52" i="2" s="1"/>
  <c r="CD26" i="2"/>
  <c r="CD52" i="2" s="1"/>
  <c r="CC26" i="2"/>
  <c r="CC52" i="2" s="1"/>
  <c r="CB26" i="2"/>
  <c r="CB52" i="2" s="1"/>
  <c r="CA26" i="2"/>
  <c r="CA52" i="2" s="1"/>
  <c r="DN24" i="2" s="1"/>
  <c r="BZ26" i="2"/>
  <c r="BZ52" i="2" s="1"/>
  <c r="DM24" i="2" s="1"/>
  <c r="BY26" i="2"/>
  <c r="BY52" i="2" s="1"/>
  <c r="BX26" i="2"/>
  <c r="BX52" i="2" s="1"/>
  <c r="BW26" i="2"/>
  <c r="BW52" i="2" s="1"/>
  <c r="DL24" i="2" s="1"/>
  <c r="BV26" i="2"/>
  <c r="BU26" i="2"/>
  <c r="BU52" i="2" s="1"/>
  <c r="DK24" i="2" s="1"/>
  <c r="BT26" i="2"/>
  <c r="BT52" i="2" s="1"/>
  <c r="BS26" i="2"/>
  <c r="BS52" i="2" s="1"/>
  <c r="DJ24" i="2" s="1"/>
  <c r="BR26" i="2"/>
  <c r="BR52" i="2" s="1"/>
  <c r="BQ26" i="2"/>
  <c r="BQ52" i="2" s="1"/>
  <c r="BP26" i="2"/>
  <c r="BP52" i="2" s="1"/>
  <c r="BO26" i="2"/>
  <c r="BO52" i="2" s="1"/>
  <c r="DH24" i="2" s="1"/>
  <c r="BN26" i="2"/>
  <c r="BN52" i="2" s="1"/>
  <c r="DG24" i="2" s="1"/>
  <c r="BM26" i="2"/>
  <c r="BM52" i="2" s="1"/>
  <c r="BL26" i="2"/>
  <c r="BL52" i="2" s="1"/>
  <c r="BK26" i="2"/>
  <c r="BK52" i="2" s="1"/>
  <c r="DF24" i="2" s="1"/>
  <c r="BJ26" i="2"/>
  <c r="BJ52" i="2" s="1"/>
  <c r="BI26" i="2"/>
  <c r="BI52" i="2" s="1"/>
  <c r="DE24" i="2" s="1"/>
  <c r="BH26" i="2"/>
  <c r="BH52" i="2" s="1"/>
  <c r="BG26" i="2"/>
  <c r="BG52" i="2" s="1"/>
  <c r="BF26" i="2"/>
  <c r="BF52" i="2" s="1"/>
  <c r="BE26" i="2"/>
  <c r="BE52" i="2" s="1"/>
  <c r="BD26" i="2"/>
  <c r="BD52" i="2" s="1"/>
  <c r="BC26" i="2"/>
  <c r="BC52" i="2" s="1"/>
  <c r="DB24" i="2" s="1"/>
  <c r="BB26" i="2"/>
  <c r="BB52" i="2" s="1"/>
  <c r="DA24" i="2" s="1"/>
  <c r="BA26" i="2"/>
  <c r="BA52" i="2" s="1"/>
  <c r="AZ26" i="2"/>
  <c r="AZ52" i="2" s="1"/>
  <c r="AY26" i="2"/>
  <c r="AY52" i="2" s="1"/>
  <c r="CZ24" i="2" s="1"/>
  <c r="AX26" i="2"/>
  <c r="AX52" i="2" s="1"/>
  <c r="AW26" i="2"/>
  <c r="AW52" i="2" s="1"/>
  <c r="AV26" i="2"/>
  <c r="AV52" i="2" s="1"/>
  <c r="AU26" i="2"/>
  <c r="AU52" i="2" s="1"/>
  <c r="AT26" i="2"/>
  <c r="AT52" i="2" s="1"/>
  <c r="AS26" i="2"/>
  <c r="AS52" i="2" s="1"/>
  <c r="CW24" i="2" s="1"/>
  <c r="AR26" i="2"/>
  <c r="AR52" i="2" s="1"/>
  <c r="AQ26" i="2"/>
  <c r="AQ52" i="2" s="1"/>
  <c r="AP26" i="2"/>
  <c r="AP52" i="2" s="1"/>
  <c r="AO26" i="2"/>
  <c r="AO52" i="2" s="1"/>
  <c r="AN26" i="2"/>
  <c r="AN52" i="2" s="1"/>
  <c r="AM26" i="2"/>
  <c r="AM52" i="2" s="1"/>
  <c r="AL26" i="2"/>
  <c r="AL52" i="2" s="1"/>
  <c r="AK26" i="2"/>
  <c r="AK52" i="2" s="1"/>
  <c r="AJ26" i="2"/>
  <c r="AJ52" i="2" s="1"/>
  <c r="AI26" i="2"/>
  <c r="AI52" i="2" s="1"/>
  <c r="AH26" i="2"/>
  <c r="AH52" i="2" s="1"/>
  <c r="AG26" i="2"/>
  <c r="AG52" i="2" s="1"/>
  <c r="AF26" i="2"/>
  <c r="AF52" i="2" s="1"/>
  <c r="AE26" i="2"/>
  <c r="AE52" i="2" s="1"/>
  <c r="CP24" i="2" s="1"/>
  <c r="AD26" i="2"/>
  <c r="AD52" i="2" s="1"/>
  <c r="CO24" i="2" s="1"/>
  <c r="AC26" i="2"/>
  <c r="AC52" i="2" s="1"/>
  <c r="DR25" i="2"/>
  <c r="DP25" i="2"/>
  <c r="DO25" i="2"/>
  <c r="DM25" i="2"/>
  <c r="DK25" i="2"/>
  <c r="DJ25" i="2"/>
  <c r="DF25" i="2"/>
  <c r="DD25" i="2"/>
  <c r="DC25" i="2"/>
  <c r="DA25" i="2"/>
  <c r="CX25" i="2"/>
  <c r="CP25" i="2"/>
  <c r="CL25" i="2"/>
  <c r="CL51" i="2" s="1"/>
  <c r="CK25" i="2"/>
  <c r="CK51" i="2" s="1"/>
  <c r="CJ25" i="2"/>
  <c r="CJ51" i="2" s="1"/>
  <c r="CI25" i="2"/>
  <c r="CI51" i="2" s="1"/>
  <c r="CH25" i="2"/>
  <c r="CH51" i="2" s="1"/>
  <c r="CG25" i="2"/>
  <c r="CG51" i="2" s="1"/>
  <c r="CF25" i="2"/>
  <c r="CF51" i="2" s="1"/>
  <c r="CE25" i="2"/>
  <c r="CE51" i="2" s="1"/>
  <c r="CD25" i="2"/>
  <c r="CD51" i="2" s="1"/>
  <c r="CC25" i="2"/>
  <c r="CC51" i="2" s="1"/>
  <c r="DO23" i="2" s="1"/>
  <c r="CB25" i="2"/>
  <c r="CB51" i="2" s="1"/>
  <c r="CA25" i="2"/>
  <c r="CA51" i="2" s="1"/>
  <c r="BZ25" i="2"/>
  <c r="BZ51" i="2" s="1"/>
  <c r="BY25" i="2"/>
  <c r="BY51" i="2" s="1"/>
  <c r="BX25" i="2"/>
  <c r="BX51" i="2" s="1"/>
  <c r="BW25" i="2"/>
  <c r="BW51" i="2" s="1"/>
  <c r="BV25" i="2"/>
  <c r="BV51" i="2" s="1"/>
  <c r="BU25" i="2"/>
  <c r="BU51" i="2" s="1"/>
  <c r="BT25" i="2"/>
  <c r="BT51" i="2" s="1"/>
  <c r="BS25" i="2"/>
  <c r="BS51" i="2" s="1"/>
  <c r="BR25" i="2"/>
  <c r="BR51" i="2" s="1"/>
  <c r="BQ25" i="2"/>
  <c r="BQ51" i="2" s="1"/>
  <c r="BP25" i="2"/>
  <c r="BP51" i="2" s="1"/>
  <c r="BO25" i="2"/>
  <c r="BO51" i="2" s="1"/>
  <c r="BN25" i="2"/>
  <c r="BN51" i="2" s="1"/>
  <c r="BM25" i="2"/>
  <c r="BM51" i="2" s="1"/>
  <c r="BL25" i="2"/>
  <c r="BL51" i="2" s="1"/>
  <c r="BK25" i="2"/>
  <c r="BK51" i="2" s="1"/>
  <c r="BJ25" i="2"/>
  <c r="BJ51" i="2" s="1"/>
  <c r="BI25" i="2"/>
  <c r="BI51" i="2" s="1"/>
  <c r="DE23" i="2" s="1"/>
  <c r="BH25" i="2"/>
  <c r="BH51" i="2" s="1"/>
  <c r="BG25" i="2"/>
  <c r="BG51" i="2" s="1"/>
  <c r="BF25" i="2"/>
  <c r="BF51" i="2" s="1"/>
  <c r="BE25" i="2"/>
  <c r="BE51" i="2" s="1"/>
  <c r="DC23" i="2" s="1"/>
  <c r="BD25" i="2"/>
  <c r="BD51" i="2" s="1"/>
  <c r="BC25" i="2"/>
  <c r="BC51" i="2" s="1"/>
  <c r="BB25" i="2"/>
  <c r="BB51" i="2" s="1"/>
  <c r="BA25" i="2"/>
  <c r="BA51" i="2" s="1"/>
  <c r="AZ25" i="2"/>
  <c r="AZ51" i="2" s="1"/>
  <c r="AY25" i="2"/>
  <c r="AY51" i="2" s="1"/>
  <c r="AX25" i="2"/>
  <c r="AX51" i="2" s="1"/>
  <c r="AW25" i="2"/>
  <c r="AW51" i="2" s="1"/>
  <c r="AV25" i="2"/>
  <c r="AV51" i="2" s="1"/>
  <c r="AU25" i="2"/>
  <c r="AU51" i="2" s="1"/>
  <c r="AT25" i="2"/>
  <c r="AT51" i="2" s="1"/>
  <c r="AS25" i="2"/>
  <c r="AS51" i="2" s="1"/>
  <c r="AR25" i="2"/>
  <c r="AR51" i="2" s="1"/>
  <c r="AQ25" i="2"/>
  <c r="AQ51" i="2" s="1"/>
  <c r="AP25" i="2"/>
  <c r="AP51" i="2" s="1"/>
  <c r="CU23" i="2" s="1"/>
  <c r="AO25" i="2"/>
  <c r="AO51" i="2" s="1"/>
  <c r="AN25" i="2"/>
  <c r="AN51" i="2" s="1"/>
  <c r="AM25" i="2"/>
  <c r="AM51" i="2" s="1"/>
  <c r="AL25" i="2"/>
  <c r="AL51" i="2" s="1"/>
  <c r="AK25" i="2"/>
  <c r="AK51" i="2" s="1"/>
  <c r="AJ25" i="2"/>
  <c r="AJ51" i="2" s="1"/>
  <c r="CR23" i="2" s="1"/>
  <c r="AI25" i="2"/>
  <c r="AI51" i="2" s="1"/>
  <c r="AH25" i="2"/>
  <c r="AH51" i="2" s="1"/>
  <c r="AG25" i="2"/>
  <c r="AG51" i="2" s="1"/>
  <c r="AF25" i="2"/>
  <c r="AF51" i="2" s="1"/>
  <c r="CP23" i="2" s="1"/>
  <c r="AE25" i="2"/>
  <c r="AE51" i="2" s="1"/>
  <c r="AD25" i="2"/>
  <c r="AD51" i="2" s="1"/>
  <c r="AC25" i="2"/>
  <c r="AC51" i="2" s="1"/>
  <c r="DP24" i="2"/>
  <c r="DO24" i="2"/>
  <c r="DI24" i="2"/>
  <c r="DD24" i="2"/>
  <c r="DC24" i="2"/>
  <c r="CX24" i="2"/>
  <c r="CU24" i="2"/>
  <c r="CT24" i="2"/>
  <c r="CL24" i="2"/>
  <c r="CL50" i="2" s="1"/>
  <c r="CK24" i="2"/>
  <c r="CK50" i="2" s="1"/>
  <c r="CJ24" i="2"/>
  <c r="CJ50" i="2" s="1"/>
  <c r="CI24" i="2"/>
  <c r="CI50" i="2" s="1"/>
  <c r="CH24" i="2"/>
  <c r="CH50" i="2" s="1"/>
  <c r="CG24" i="2"/>
  <c r="CG50" i="2" s="1"/>
  <c r="CF24" i="2"/>
  <c r="CF50" i="2" s="1"/>
  <c r="CE24" i="2"/>
  <c r="CE50" i="2" s="1"/>
  <c r="CD24" i="2"/>
  <c r="CD50" i="2" s="1"/>
  <c r="DO22" i="2" s="1"/>
  <c r="CC24" i="2"/>
  <c r="CC50" i="2" s="1"/>
  <c r="CB24" i="2"/>
  <c r="CB50" i="2" s="1"/>
  <c r="CA24" i="2"/>
  <c r="CA50" i="2" s="1"/>
  <c r="BZ24" i="2"/>
  <c r="BZ50" i="2" s="1"/>
  <c r="BY24" i="2"/>
  <c r="BY50" i="2" s="1"/>
  <c r="BX24" i="2"/>
  <c r="BX50" i="2" s="1"/>
  <c r="BW24" i="2"/>
  <c r="BW50" i="2" s="1"/>
  <c r="DL22" i="2" s="1"/>
  <c r="BV24" i="2"/>
  <c r="BV50" i="2" s="1"/>
  <c r="BU24" i="2"/>
  <c r="BU50" i="2" s="1"/>
  <c r="DK22" i="2" s="1"/>
  <c r="BT24" i="2"/>
  <c r="BT50" i="2" s="1"/>
  <c r="BS24" i="2"/>
  <c r="BS50" i="2" s="1"/>
  <c r="DJ22" i="2" s="1"/>
  <c r="BR24" i="2"/>
  <c r="BR50" i="2" s="1"/>
  <c r="DI22" i="2" s="1"/>
  <c r="BQ24" i="2"/>
  <c r="BQ50" i="2" s="1"/>
  <c r="BP24" i="2"/>
  <c r="BP50" i="2" s="1"/>
  <c r="BO24" i="2"/>
  <c r="BO50" i="2" s="1"/>
  <c r="DH22" i="2" s="1"/>
  <c r="BN24" i="2"/>
  <c r="BN50" i="2" s="1"/>
  <c r="BM24" i="2"/>
  <c r="BM50" i="2" s="1"/>
  <c r="DG22" i="2" s="1"/>
  <c r="BL24" i="2"/>
  <c r="BL50" i="2" s="1"/>
  <c r="BK24" i="2"/>
  <c r="BK50" i="2" s="1"/>
  <c r="BJ24" i="2"/>
  <c r="BJ50" i="2" s="1"/>
  <c r="BI24" i="2"/>
  <c r="BI50" i="2" s="1"/>
  <c r="DE22" i="2" s="1"/>
  <c r="BH24" i="2"/>
  <c r="BH50" i="2" s="1"/>
  <c r="BG24" i="2"/>
  <c r="BG50" i="2" s="1"/>
  <c r="BF24" i="2"/>
  <c r="BF50" i="2" s="1"/>
  <c r="DC22" i="2" s="1"/>
  <c r="BE24" i="2"/>
  <c r="BE50" i="2" s="1"/>
  <c r="BD24" i="2"/>
  <c r="BD50" i="2" s="1"/>
  <c r="BC24" i="2"/>
  <c r="BC50" i="2" s="1"/>
  <c r="BB24" i="2"/>
  <c r="BB50" i="2" s="1"/>
  <c r="BA24" i="2"/>
  <c r="BA50" i="2" s="1"/>
  <c r="AZ24" i="2"/>
  <c r="AZ50" i="2" s="1"/>
  <c r="AY24" i="2"/>
  <c r="AY50" i="2" s="1"/>
  <c r="CZ22" i="2" s="1"/>
  <c r="AX24" i="2"/>
  <c r="AX50" i="2" s="1"/>
  <c r="AW24" i="2"/>
  <c r="AW50" i="2" s="1"/>
  <c r="AV24" i="2"/>
  <c r="AV50" i="2" s="1"/>
  <c r="AU24" i="2"/>
  <c r="AU50" i="2" s="1"/>
  <c r="CX22" i="2" s="1"/>
  <c r="AT24" i="2"/>
  <c r="AT50" i="2" s="1"/>
  <c r="CW22" i="2" s="1"/>
  <c r="AS24" i="2"/>
  <c r="AS50" i="2" s="1"/>
  <c r="AR24" i="2"/>
  <c r="AR50" i="2" s="1"/>
  <c r="AQ24" i="2"/>
  <c r="AQ50" i="2" s="1"/>
  <c r="AP24" i="2"/>
  <c r="AP50" i="2" s="1"/>
  <c r="AO24" i="2"/>
  <c r="AO50" i="2" s="1"/>
  <c r="AN24" i="2"/>
  <c r="AN50" i="2" s="1"/>
  <c r="AM24" i="2"/>
  <c r="AM50" i="2" s="1"/>
  <c r="CT22" i="2" s="1"/>
  <c r="AL24" i="2"/>
  <c r="AL50" i="2" s="1"/>
  <c r="AK24" i="2"/>
  <c r="AK50" i="2" s="1"/>
  <c r="AJ24" i="2"/>
  <c r="AJ50" i="2" s="1"/>
  <c r="AI24" i="2"/>
  <c r="AI50" i="2" s="1"/>
  <c r="AH24" i="2"/>
  <c r="AH50" i="2" s="1"/>
  <c r="AG24" i="2"/>
  <c r="AG50" i="2" s="1"/>
  <c r="AF24" i="2"/>
  <c r="AF50" i="2" s="1"/>
  <c r="AE24" i="2"/>
  <c r="AE50" i="2" s="1"/>
  <c r="AD24" i="2"/>
  <c r="AD50" i="2" s="1"/>
  <c r="AC24" i="2"/>
  <c r="AC50" i="2" s="1"/>
  <c r="DP23" i="2"/>
  <c r="DN23" i="2"/>
  <c r="DK23" i="2"/>
  <c r="DI23" i="2"/>
  <c r="DH23" i="2"/>
  <c r="DD23" i="2"/>
  <c r="DB23" i="2"/>
  <c r="CX23" i="2"/>
  <c r="CW23" i="2"/>
  <c r="CT23" i="2"/>
  <c r="CL23" i="2"/>
  <c r="CL49" i="2" s="1"/>
  <c r="CK23" i="2"/>
  <c r="CK49" i="2" s="1"/>
  <c r="CJ23" i="2"/>
  <c r="CJ49" i="2" s="1"/>
  <c r="CI23" i="2"/>
  <c r="CI49" i="2" s="1"/>
  <c r="CH23" i="2"/>
  <c r="CH49" i="2" s="1"/>
  <c r="CG23" i="2"/>
  <c r="CG49" i="2" s="1"/>
  <c r="CF23" i="2"/>
  <c r="CF49" i="2" s="1"/>
  <c r="CE23" i="2"/>
  <c r="CE49" i="2" s="1"/>
  <c r="DP21" i="2" s="1"/>
  <c r="CD23" i="2"/>
  <c r="CD49" i="2" s="1"/>
  <c r="CC23" i="2"/>
  <c r="CC49" i="2" s="1"/>
  <c r="CB23" i="2"/>
  <c r="CB49" i="2" s="1"/>
  <c r="DN21" i="2" s="1"/>
  <c r="CA23" i="2"/>
  <c r="CA49" i="2" s="1"/>
  <c r="BZ23" i="2"/>
  <c r="BZ49" i="2" s="1"/>
  <c r="BY23" i="2"/>
  <c r="BY49" i="2" s="1"/>
  <c r="BX23" i="2"/>
  <c r="BX49" i="2" s="1"/>
  <c r="BW23" i="2"/>
  <c r="BW49" i="2" s="1"/>
  <c r="BV23" i="2"/>
  <c r="BV49" i="2" s="1"/>
  <c r="BU23" i="2"/>
  <c r="BU49" i="2" s="1"/>
  <c r="BT23" i="2"/>
  <c r="BT49" i="2" s="1"/>
  <c r="BS23" i="2"/>
  <c r="BS49" i="2" s="1"/>
  <c r="DJ21" i="2" s="1"/>
  <c r="BR23" i="2"/>
  <c r="BR49" i="2" s="1"/>
  <c r="DI21" i="2" s="1"/>
  <c r="BQ23" i="2"/>
  <c r="BQ49" i="2" s="1"/>
  <c r="BP23" i="2"/>
  <c r="BP49" i="2" s="1"/>
  <c r="DH21" i="2" s="1"/>
  <c r="BO23" i="2"/>
  <c r="BO49" i="2" s="1"/>
  <c r="BN23" i="2"/>
  <c r="BN49" i="2" s="1"/>
  <c r="BM23" i="2"/>
  <c r="BM49" i="2" s="1"/>
  <c r="BL23" i="2"/>
  <c r="BL49" i="2" s="1"/>
  <c r="BK23" i="2"/>
  <c r="BK49" i="2" s="1"/>
  <c r="DF21" i="2" s="1"/>
  <c r="BJ23" i="2"/>
  <c r="BJ49" i="2" s="1"/>
  <c r="BI23" i="2"/>
  <c r="BI49" i="2" s="1"/>
  <c r="DE21" i="2" s="1"/>
  <c r="BH23" i="2"/>
  <c r="BH49" i="2" s="1"/>
  <c r="BG23" i="2"/>
  <c r="BG49" i="2" s="1"/>
  <c r="DD21" i="2" s="1"/>
  <c r="BF23" i="2"/>
  <c r="BF49" i="2" s="1"/>
  <c r="BE23" i="2"/>
  <c r="BE49" i="2" s="1"/>
  <c r="BD23" i="2"/>
  <c r="BD49" i="2" s="1"/>
  <c r="DB21" i="2" s="1"/>
  <c r="BC23" i="2"/>
  <c r="BC49" i="2" s="1"/>
  <c r="BB23" i="2"/>
  <c r="BB49" i="2" s="1"/>
  <c r="BA23" i="2"/>
  <c r="BA49" i="2" s="1"/>
  <c r="AZ23" i="2"/>
  <c r="AZ49" i="2" s="1"/>
  <c r="AY23" i="2"/>
  <c r="AY49" i="2" s="1"/>
  <c r="AX23" i="2"/>
  <c r="AX49" i="2" s="1"/>
  <c r="AW23" i="2"/>
  <c r="AW49" i="2" s="1"/>
  <c r="AV23" i="2"/>
  <c r="AV49" i="2" s="1"/>
  <c r="AU23" i="2"/>
  <c r="AU49" i="2" s="1"/>
  <c r="AT23" i="2"/>
  <c r="AT49" i="2" s="1"/>
  <c r="AS23" i="2"/>
  <c r="AS49" i="2" s="1"/>
  <c r="AR23" i="2"/>
  <c r="AR49" i="2" s="1"/>
  <c r="AQ23" i="2"/>
  <c r="AQ49" i="2" s="1"/>
  <c r="AP23" i="2"/>
  <c r="AP49" i="2" s="1"/>
  <c r="AO23" i="2"/>
  <c r="AO49" i="2" s="1"/>
  <c r="AN23" i="2"/>
  <c r="AN49" i="2" s="1"/>
  <c r="AM23" i="2"/>
  <c r="AM49" i="2" s="1"/>
  <c r="AL23" i="2"/>
  <c r="AL49" i="2" s="1"/>
  <c r="AK23" i="2"/>
  <c r="AK49" i="2" s="1"/>
  <c r="AJ23" i="2"/>
  <c r="AJ49" i="2" s="1"/>
  <c r="AI23" i="2"/>
  <c r="AI49" i="2" s="1"/>
  <c r="AH23" i="2"/>
  <c r="AH49" i="2" s="1"/>
  <c r="AG23" i="2"/>
  <c r="AG49" i="2" s="1"/>
  <c r="AF23" i="2"/>
  <c r="AF49" i="2" s="1"/>
  <c r="CP21" i="2" s="1"/>
  <c r="AE23" i="2"/>
  <c r="AE49" i="2" s="1"/>
  <c r="AD23" i="2"/>
  <c r="AD49" i="2" s="1"/>
  <c r="AC23" i="2"/>
  <c r="AC49" i="2" s="1"/>
  <c r="DP22" i="2"/>
  <c r="DN22" i="2"/>
  <c r="DM22" i="2"/>
  <c r="DF22" i="2"/>
  <c r="DD22" i="2"/>
  <c r="DB22" i="2"/>
  <c r="CR22" i="2"/>
  <c r="CP22" i="2"/>
  <c r="CL22" i="2"/>
  <c r="CL48" i="2" s="1"/>
  <c r="CK22" i="2"/>
  <c r="CK48" i="2" s="1"/>
  <c r="CJ22" i="2"/>
  <c r="CJ48" i="2" s="1"/>
  <c r="CI22" i="2"/>
  <c r="CI48" i="2" s="1"/>
  <c r="CH22" i="2"/>
  <c r="CH48" i="2" s="1"/>
  <c r="CG22" i="2"/>
  <c r="CG48" i="2" s="1"/>
  <c r="CF22" i="2"/>
  <c r="CF48" i="2" s="1"/>
  <c r="CE22" i="2"/>
  <c r="CE48" i="2" s="1"/>
  <c r="DP20" i="2" s="1"/>
  <c r="CD22" i="2"/>
  <c r="CD48" i="2" s="1"/>
  <c r="CC22" i="2"/>
  <c r="CC48" i="2" s="1"/>
  <c r="CB22" i="2"/>
  <c r="CB48" i="2" s="1"/>
  <c r="CA22" i="2"/>
  <c r="CA48" i="2" s="1"/>
  <c r="DN20" i="2" s="1"/>
  <c r="BZ22" i="2"/>
  <c r="BZ48" i="2" s="1"/>
  <c r="DM20" i="2" s="1"/>
  <c r="BY22" i="2"/>
  <c r="BY48" i="2" s="1"/>
  <c r="BX22" i="2"/>
  <c r="BX48" i="2" s="1"/>
  <c r="DL20" i="2" s="1"/>
  <c r="BW22" i="2"/>
  <c r="BW48" i="2" s="1"/>
  <c r="BV22" i="2"/>
  <c r="BV48" i="2" s="1"/>
  <c r="BU22" i="2"/>
  <c r="BU48" i="2" s="1"/>
  <c r="BT22" i="2"/>
  <c r="BT48" i="2" s="1"/>
  <c r="BS22" i="2"/>
  <c r="BS48" i="2" s="1"/>
  <c r="DJ20" i="2" s="1"/>
  <c r="BR22" i="2"/>
  <c r="BR48" i="2" s="1"/>
  <c r="BQ22" i="2"/>
  <c r="BQ48" i="2" s="1"/>
  <c r="BP22" i="2"/>
  <c r="BP48" i="2" s="1"/>
  <c r="BO22" i="2"/>
  <c r="BO48" i="2" s="1"/>
  <c r="BN22" i="2"/>
  <c r="BN48" i="2" s="1"/>
  <c r="BM22" i="2"/>
  <c r="BM48" i="2" s="1"/>
  <c r="BL22" i="2"/>
  <c r="BL48" i="2" s="1"/>
  <c r="BK22" i="2"/>
  <c r="BK48" i="2" s="1"/>
  <c r="BJ22" i="2"/>
  <c r="BJ48" i="2" s="1"/>
  <c r="BI22" i="2"/>
  <c r="BI48" i="2" s="1"/>
  <c r="BH22" i="2"/>
  <c r="BH48" i="2" s="1"/>
  <c r="BG22" i="2"/>
  <c r="BG48" i="2" s="1"/>
  <c r="BF22" i="2"/>
  <c r="BF48" i="2" s="1"/>
  <c r="BE22" i="2"/>
  <c r="BE48" i="2" s="1"/>
  <c r="BD22" i="2"/>
  <c r="BD48" i="2" s="1"/>
  <c r="DB20" i="2" s="1"/>
  <c r="BC22" i="2"/>
  <c r="BC48" i="2" s="1"/>
  <c r="BB22" i="2"/>
  <c r="BB48" i="2" s="1"/>
  <c r="DA20" i="2" s="1"/>
  <c r="BA22" i="2"/>
  <c r="BA48" i="2" s="1"/>
  <c r="AZ22" i="2"/>
  <c r="AZ48" i="2" s="1"/>
  <c r="CZ20" i="2" s="1"/>
  <c r="AY22" i="2"/>
  <c r="AY48" i="2" s="1"/>
  <c r="AX22" i="2"/>
  <c r="AX48" i="2" s="1"/>
  <c r="AW22" i="2"/>
  <c r="AW48" i="2" s="1"/>
  <c r="AV22" i="2"/>
  <c r="AV48" i="2" s="1"/>
  <c r="AU22" i="2"/>
  <c r="AU48" i="2" s="1"/>
  <c r="AT22" i="2"/>
  <c r="AT48" i="2" s="1"/>
  <c r="AS22" i="2"/>
  <c r="AS48" i="2" s="1"/>
  <c r="AR22" i="2"/>
  <c r="AR48" i="2" s="1"/>
  <c r="AQ22" i="2"/>
  <c r="AQ48" i="2" s="1"/>
  <c r="AP22" i="2"/>
  <c r="AP48" i="2" s="1"/>
  <c r="AO22" i="2"/>
  <c r="AO48" i="2" s="1"/>
  <c r="CU20" i="2" s="1"/>
  <c r="AN22" i="2"/>
  <c r="AN48" i="2" s="1"/>
  <c r="AM22" i="2"/>
  <c r="AM48" i="2" s="1"/>
  <c r="AL22" i="2"/>
  <c r="AL48" i="2" s="1"/>
  <c r="AK22" i="2"/>
  <c r="AK48" i="2" s="1"/>
  <c r="AJ22" i="2"/>
  <c r="AJ48" i="2" s="1"/>
  <c r="AI22" i="2"/>
  <c r="AI48" i="2" s="1"/>
  <c r="CR20" i="2" s="1"/>
  <c r="AH22" i="2"/>
  <c r="AH48" i="2" s="1"/>
  <c r="AG22" i="2"/>
  <c r="AG48" i="2" s="1"/>
  <c r="AF22" i="2"/>
  <c r="AF48" i="2" s="1"/>
  <c r="AE22" i="2"/>
  <c r="AE48" i="2" s="1"/>
  <c r="AD22" i="2"/>
  <c r="AD48" i="2" s="1"/>
  <c r="AC22" i="2"/>
  <c r="AC48" i="2" s="1"/>
  <c r="DL21" i="2"/>
  <c r="DK21" i="2"/>
  <c r="DG21" i="2"/>
  <c r="CZ21" i="2"/>
  <c r="CX21" i="2"/>
  <c r="CU21" i="2"/>
  <c r="CR21" i="2"/>
  <c r="CL21" i="2"/>
  <c r="CL47" i="2" s="1"/>
  <c r="CK21" i="2"/>
  <c r="CK47" i="2" s="1"/>
  <c r="CJ21" i="2"/>
  <c r="CJ47" i="2" s="1"/>
  <c r="CI21" i="2"/>
  <c r="CI47" i="2" s="1"/>
  <c r="CH21" i="2"/>
  <c r="CH47" i="2" s="1"/>
  <c r="CG21" i="2"/>
  <c r="CG47" i="2" s="1"/>
  <c r="CF21" i="2"/>
  <c r="CF47" i="2" s="1"/>
  <c r="DP19" i="2" s="1"/>
  <c r="CE21" i="2"/>
  <c r="CE47" i="2" s="1"/>
  <c r="CD21" i="2"/>
  <c r="CD47" i="2" s="1"/>
  <c r="CC21" i="2"/>
  <c r="CC47" i="2" s="1"/>
  <c r="DO19" i="2" s="1"/>
  <c r="CB21" i="2"/>
  <c r="CB47" i="2" s="1"/>
  <c r="CA21" i="2"/>
  <c r="CA47" i="2" s="1"/>
  <c r="BZ21" i="2"/>
  <c r="BZ47" i="2" s="1"/>
  <c r="BY21" i="2"/>
  <c r="BY47" i="2" s="1"/>
  <c r="BX21" i="2"/>
  <c r="BX47" i="2" s="1"/>
  <c r="DL19" i="2" s="1"/>
  <c r="BW21" i="2"/>
  <c r="BW47" i="2" s="1"/>
  <c r="BV21" i="2"/>
  <c r="BV47" i="2" s="1"/>
  <c r="BU21" i="2"/>
  <c r="BU47" i="2" s="1"/>
  <c r="BT21" i="2"/>
  <c r="BT47" i="2" s="1"/>
  <c r="BS21" i="2"/>
  <c r="BS47" i="2" s="1"/>
  <c r="BR21" i="2"/>
  <c r="BR47" i="2" s="1"/>
  <c r="BQ21" i="2"/>
  <c r="BQ47" i="2" s="1"/>
  <c r="DI19" i="2" s="1"/>
  <c r="BP21" i="2"/>
  <c r="BP47" i="2" s="1"/>
  <c r="BO21" i="2"/>
  <c r="BO47" i="2" s="1"/>
  <c r="BN21" i="2"/>
  <c r="BN47" i="2" s="1"/>
  <c r="BM21" i="2"/>
  <c r="BM47" i="2" s="1"/>
  <c r="BL21" i="2"/>
  <c r="BL47" i="2" s="1"/>
  <c r="DF19" i="2" s="1"/>
  <c r="BK21" i="2"/>
  <c r="BK47" i="2" s="1"/>
  <c r="BJ21" i="2"/>
  <c r="BJ47" i="2" s="1"/>
  <c r="BI21" i="2"/>
  <c r="BI47" i="2" s="1"/>
  <c r="BH21" i="2"/>
  <c r="BH47" i="2" s="1"/>
  <c r="BG21" i="2"/>
  <c r="BG47" i="2" s="1"/>
  <c r="BF21" i="2"/>
  <c r="BF47" i="2" s="1"/>
  <c r="BE21" i="2"/>
  <c r="BE47" i="2" s="1"/>
  <c r="DC19" i="2" s="1"/>
  <c r="BD21" i="2"/>
  <c r="BD47" i="2" s="1"/>
  <c r="BC21" i="2"/>
  <c r="BC47" i="2" s="1"/>
  <c r="BB21" i="2"/>
  <c r="BB47" i="2" s="1"/>
  <c r="BA21" i="2"/>
  <c r="BA47" i="2" s="1"/>
  <c r="AZ21" i="2"/>
  <c r="AZ47" i="2" s="1"/>
  <c r="CZ19" i="2" s="1"/>
  <c r="AY21" i="2"/>
  <c r="AY47" i="2" s="1"/>
  <c r="AX21" i="2"/>
  <c r="AX47" i="2" s="1"/>
  <c r="AW21" i="2"/>
  <c r="AW47" i="2" s="1"/>
  <c r="AV21" i="2"/>
  <c r="AV47" i="2" s="1"/>
  <c r="CX19" i="2" s="1"/>
  <c r="AU21" i="2"/>
  <c r="AU47" i="2" s="1"/>
  <c r="AT21" i="2"/>
  <c r="AT47" i="2" s="1"/>
  <c r="AS21" i="2"/>
  <c r="AS47" i="2" s="1"/>
  <c r="CW19" i="2" s="1"/>
  <c r="AR21" i="2"/>
  <c r="AR47" i="2" s="1"/>
  <c r="AQ21" i="2"/>
  <c r="AQ47" i="2" s="1"/>
  <c r="AP21" i="2"/>
  <c r="AP47" i="2" s="1"/>
  <c r="AO21" i="2"/>
  <c r="AO47" i="2" s="1"/>
  <c r="AN21" i="2"/>
  <c r="AN47" i="2" s="1"/>
  <c r="CT19" i="2" s="1"/>
  <c r="AM21" i="2"/>
  <c r="AM47" i="2" s="1"/>
  <c r="AL21" i="2"/>
  <c r="AL47" i="2" s="1"/>
  <c r="AK21" i="2"/>
  <c r="AK47" i="2" s="1"/>
  <c r="AJ21" i="2"/>
  <c r="AJ47" i="2" s="1"/>
  <c r="AI21" i="2"/>
  <c r="AI47" i="2" s="1"/>
  <c r="AH21" i="2"/>
  <c r="AH47" i="2" s="1"/>
  <c r="AG21" i="2"/>
  <c r="AG47" i="2" s="1"/>
  <c r="AF21" i="2"/>
  <c r="AF47" i="2" s="1"/>
  <c r="AE21" i="2"/>
  <c r="AE47" i="2" s="1"/>
  <c r="AD21" i="2"/>
  <c r="AD47" i="2" s="1"/>
  <c r="AC21" i="2"/>
  <c r="AC47" i="2" s="1"/>
  <c r="DQ20" i="2"/>
  <c r="DK20" i="2"/>
  <c r="DG20" i="2"/>
  <c r="DE20" i="2"/>
  <c r="DD20" i="2"/>
  <c r="CX20" i="2"/>
  <c r="CO20" i="2"/>
  <c r="CL20" i="2"/>
  <c r="CL46" i="2" s="1"/>
  <c r="CK20" i="2"/>
  <c r="CK46" i="2" s="1"/>
  <c r="CJ20" i="2"/>
  <c r="CJ46" i="2" s="1"/>
  <c r="CI20" i="2"/>
  <c r="CI46" i="2" s="1"/>
  <c r="CH20" i="2"/>
  <c r="CH46" i="2" s="1"/>
  <c r="CG20" i="2"/>
  <c r="CG46" i="2" s="1"/>
  <c r="CF20" i="2"/>
  <c r="CF46" i="2" s="1"/>
  <c r="CE20" i="2"/>
  <c r="CE46" i="2" s="1"/>
  <c r="CD20" i="2"/>
  <c r="CD46" i="2" s="1"/>
  <c r="CC20" i="2"/>
  <c r="CC46" i="2" s="1"/>
  <c r="DO18" i="2" s="1"/>
  <c r="CB20" i="2"/>
  <c r="CB46" i="2" s="1"/>
  <c r="CA20" i="2"/>
  <c r="CA46" i="2" s="1"/>
  <c r="DN18" i="2" s="1"/>
  <c r="BZ20" i="2"/>
  <c r="BZ46" i="2" s="1"/>
  <c r="DM18" i="2" s="1"/>
  <c r="BY20" i="2"/>
  <c r="BY46" i="2" s="1"/>
  <c r="BX20" i="2"/>
  <c r="BX46" i="2" s="1"/>
  <c r="BW20" i="2"/>
  <c r="BW46" i="2" s="1"/>
  <c r="BV20" i="2"/>
  <c r="BV46" i="2" s="1"/>
  <c r="BU20" i="2"/>
  <c r="BU46" i="2" s="1"/>
  <c r="DK18" i="2" s="1"/>
  <c r="BT20" i="2"/>
  <c r="BT46" i="2" s="1"/>
  <c r="BS20" i="2"/>
  <c r="BS46" i="2" s="1"/>
  <c r="BR20" i="2"/>
  <c r="BR46" i="2" s="1"/>
  <c r="BQ20" i="2"/>
  <c r="BQ46" i="2" s="1"/>
  <c r="DI18" i="2" s="1"/>
  <c r="BP20" i="2"/>
  <c r="BP46" i="2" s="1"/>
  <c r="BO20" i="2"/>
  <c r="BO46" i="2" s="1"/>
  <c r="DH18" i="2" s="1"/>
  <c r="BN20" i="2"/>
  <c r="BN46" i="2" s="1"/>
  <c r="DG18" i="2" s="1"/>
  <c r="BM20" i="2"/>
  <c r="BM46" i="2" s="1"/>
  <c r="BL20" i="2"/>
  <c r="BL46" i="2" s="1"/>
  <c r="DF18" i="2" s="1"/>
  <c r="BK20" i="2"/>
  <c r="BK46" i="2" s="1"/>
  <c r="BJ20" i="2"/>
  <c r="BJ46" i="2" s="1"/>
  <c r="BI20" i="2"/>
  <c r="BI46" i="2" s="1"/>
  <c r="DE18" i="2" s="1"/>
  <c r="BH20" i="2"/>
  <c r="BH46" i="2" s="1"/>
  <c r="BG20" i="2"/>
  <c r="BG46" i="2" s="1"/>
  <c r="BF20" i="2"/>
  <c r="BF46" i="2" s="1"/>
  <c r="BE20" i="2"/>
  <c r="BE46" i="2" s="1"/>
  <c r="DC18" i="2" s="1"/>
  <c r="BD20" i="2"/>
  <c r="BD46" i="2" s="1"/>
  <c r="BC20" i="2"/>
  <c r="BC46" i="2" s="1"/>
  <c r="DB18" i="2" s="1"/>
  <c r="BB20" i="2"/>
  <c r="BB46" i="2" s="1"/>
  <c r="DA18" i="2" s="1"/>
  <c r="BA20" i="2"/>
  <c r="BA46" i="2" s="1"/>
  <c r="AZ20" i="2"/>
  <c r="AZ46" i="2" s="1"/>
  <c r="AY20" i="2"/>
  <c r="AY46" i="2" s="1"/>
  <c r="AX20" i="2"/>
  <c r="AX46" i="2" s="1"/>
  <c r="AW20" i="2"/>
  <c r="AW46" i="2" s="1"/>
  <c r="AV20" i="2"/>
  <c r="AV46" i="2" s="1"/>
  <c r="AU20" i="2"/>
  <c r="AU46" i="2" s="1"/>
  <c r="CX18" i="2" s="1"/>
  <c r="AT20" i="2"/>
  <c r="AT46" i="2" s="1"/>
  <c r="AS20" i="2"/>
  <c r="AS46" i="2" s="1"/>
  <c r="AR20" i="2"/>
  <c r="AR46" i="2" s="1"/>
  <c r="AQ20" i="2"/>
  <c r="AQ46" i="2" s="1"/>
  <c r="AP20" i="2"/>
  <c r="AP46" i="2" s="1"/>
  <c r="AO20" i="2"/>
  <c r="AO46" i="2" s="1"/>
  <c r="AN20" i="2"/>
  <c r="AN46" i="2" s="1"/>
  <c r="CT18" i="2" s="1"/>
  <c r="AM20" i="2"/>
  <c r="AM46" i="2" s="1"/>
  <c r="AL20" i="2"/>
  <c r="AL46" i="2" s="1"/>
  <c r="AK20" i="2"/>
  <c r="AK46" i="2" s="1"/>
  <c r="AJ20" i="2"/>
  <c r="AJ46" i="2" s="1"/>
  <c r="AI20" i="2"/>
  <c r="AI46" i="2" s="1"/>
  <c r="CR18" i="2" s="1"/>
  <c r="AH20" i="2"/>
  <c r="AH46" i="2" s="1"/>
  <c r="AG20" i="2"/>
  <c r="AG46" i="2" s="1"/>
  <c r="AF20" i="2"/>
  <c r="AF46" i="2" s="1"/>
  <c r="AE20" i="2"/>
  <c r="AE46" i="2" s="1"/>
  <c r="CP18" i="2" s="1"/>
  <c r="AD20" i="2"/>
  <c r="AD46" i="2" s="1"/>
  <c r="AC20" i="2"/>
  <c r="AC46" i="2" s="1"/>
  <c r="DM19" i="2"/>
  <c r="DK19" i="2"/>
  <c r="DJ19" i="2"/>
  <c r="DG19" i="2"/>
  <c r="DE19" i="2"/>
  <c r="DD19" i="2"/>
  <c r="DA19" i="2"/>
  <c r="CU19" i="2"/>
  <c r="CR19" i="2"/>
  <c r="CO19" i="2"/>
  <c r="CL19" i="2"/>
  <c r="CL45" i="2" s="1"/>
  <c r="CK19" i="2"/>
  <c r="CK45" i="2" s="1"/>
  <c r="CJ19" i="2"/>
  <c r="CJ45" i="2" s="1"/>
  <c r="CI19" i="2"/>
  <c r="CI45" i="2" s="1"/>
  <c r="CH19" i="2"/>
  <c r="CH45" i="2" s="1"/>
  <c r="CG19" i="2"/>
  <c r="CG45" i="2" s="1"/>
  <c r="CF19" i="2"/>
  <c r="CF45" i="2" s="1"/>
  <c r="CE19" i="2"/>
  <c r="CE45" i="2" s="1"/>
  <c r="CD19" i="2"/>
  <c r="CD45" i="2" s="1"/>
  <c r="CC19" i="2"/>
  <c r="CC45" i="2" s="1"/>
  <c r="CB19" i="2"/>
  <c r="CB45" i="2" s="1"/>
  <c r="CA19" i="2"/>
  <c r="CA45" i="2" s="1"/>
  <c r="BZ19" i="2"/>
  <c r="BZ45" i="2" s="1"/>
  <c r="DM17" i="2" s="1"/>
  <c r="BY19" i="2"/>
  <c r="BY45" i="2" s="1"/>
  <c r="BX19" i="2"/>
  <c r="BX45" i="2" s="1"/>
  <c r="BW19" i="2"/>
  <c r="BW45" i="2" s="1"/>
  <c r="DL17" i="2" s="1"/>
  <c r="BV19" i="2"/>
  <c r="BV45" i="2" s="1"/>
  <c r="BU19" i="2"/>
  <c r="BU45" i="2" s="1"/>
  <c r="BT19" i="2"/>
  <c r="BT45" i="2" s="1"/>
  <c r="BS19" i="2"/>
  <c r="BS45" i="2" s="1"/>
  <c r="BR19" i="2"/>
  <c r="BR45" i="2" s="1"/>
  <c r="BQ19" i="2"/>
  <c r="BQ45" i="2" s="1"/>
  <c r="DI17" i="2" s="1"/>
  <c r="BP19" i="2"/>
  <c r="BP45" i="2" s="1"/>
  <c r="BO19" i="2"/>
  <c r="BO45" i="2" s="1"/>
  <c r="BN19" i="2"/>
  <c r="BN45" i="2" s="1"/>
  <c r="DG17" i="2" s="1"/>
  <c r="BM19" i="2"/>
  <c r="BM45" i="2" s="1"/>
  <c r="BL19" i="2"/>
  <c r="BL45" i="2" s="1"/>
  <c r="BK19" i="2"/>
  <c r="BK45" i="2" s="1"/>
  <c r="DF17" i="2" s="1"/>
  <c r="BJ19" i="2"/>
  <c r="BJ45" i="2" s="1"/>
  <c r="BI19" i="2"/>
  <c r="BI45" i="2" s="1"/>
  <c r="BH19" i="2"/>
  <c r="BH45" i="2" s="1"/>
  <c r="BG19" i="2"/>
  <c r="BG45" i="2" s="1"/>
  <c r="BF19" i="2"/>
  <c r="BF45" i="2" s="1"/>
  <c r="BE19" i="2"/>
  <c r="BE45" i="2" s="1"/>
  <c r="DC17" i="2" s="1"/>
  <c r="BD19" i="2"/>
  <c r="BD45" i="2" s="1"/>
  <c r="BC19" i="2"/>
  <c r="BC45" i="2" s="1"/>
  <c r="BB19" i="2"/>
  <c r="BB45" i="2" s="1"/>
  <c r="DA17" i="2" s="1"/>
  <c r="BA19" i="2"/>
  <c r="BA45" i="2" s="1"/>
  <c r="AZ19" i="2"/>
  <c r="AZ45" i="2" s="1"/>
  <c r="AY19" i="2"/>
  <c r="AY45" i="2" s="1"/>
  <c r="CZ17" i="2" s="1"/>
  <c r="AX19" i="2"/>
  <c r="AX45" i="2" s="1"/>
  <c r="AW19" i="2"/>
  <c r="AW45" i="2" s="1"/>
  <c r="AV19" i="2"/>
  <c r="AV45" i="2" s="1"/>
  <c r="CX17" i="2" s="1"/>
  <c r="AU19" i="2"/>
  <c r="AU45" i="2" s="1"/>
  <c r="AT19" i="2"/>
  <c r="AT45" i="2" s="1"/>
  <c r="AS19" i="2"/>
  <c r="AS45" i="2" s="1"/>
  <c r="CW17" i="2" s="1"/>
  <c r="AR19" i="2"/>
  <c r="AR45" i="2" s="1"/>
  <c r="AQ19" i="2"/>
  <c r="AQ45" i="2" s="1"/>
  <c r="AP19" i="2"/>
  <c r="AP45" i="2" s="1"/>
  <c r="CU17" i="2" s="1"/>
  <c r="AO19" i="2"/>
  <c r="AO45" i="2" s="1"/>
  <c r="AN19" i="2"/>
  <c r="AN45" i="2" s="1"/>
  <c r="CT17" i="2" s="1"/>
  <c r="AM19" i="2"/>
  <c r="AM45" i="2" s="1"/>
  <c r="AL19" i="2"/>
  <c r="AL45" i="2" s="1"/>
  <c r="AK19" i="2"/>
  <c r="AK45" i="2" s="1"/>
  <c r="AJ19" i="2"/>
  <c r="AJ45" i="2" s="1"/>
  <c r="AI19" i="2"/>
  <c r="AI45" i="2" s="1"/>
  <c r="AH19" i="2"/>
  <c r="AH45" i="2" s="1"/>
  <c r="AG19" i="2"/>
  <c r="AG45" i="2" s="1"/>
  <c r="AF19" i="2"/>
  <c r="AF45" i="2" s="1"/>
  <c r="AE19" i="2"/>
  <c r="AE45" i="2" s="1"/>
  <c r="CP17" i="2" s="1"/>
  <c r="AD19" i="2"/>
  <c r="AD45" i="2" s="1"/>
  <c r="AC19" i="2"/>
  <c r="AC45" i="2" s="1"/>
  <c r="DQ18" i="2"/>
  <c r="DP18" i="2"/>
  <c r="DL18" i="2"/>
  <c r="DJ18" i="2"/>
  <c r="DD18" i="2"/>
  <c r="CZ18" i="2"/>
  <c r="CW18" i="2"/>
  <c r="CU18" i="2"/>
  <c r="CO18" i="2"/>
  <c r="CL18" i="2"/>
  <c r="CL44" i="2" s="1"/>
  <c r="CK18" i="2"/>
  <c r="CK44" i="2" s="1"/>
  <c r="CJ18" i="2"/>
  <c r="CJ44" i="2" s="1"/>
  <c r="CI18" i="2"/>
  <c r="CI44" i="2" s="1"/>
  <c r="CH18" i="2"/>
  <c r="CH44" i="2" s="1"/>
  <c r="CG18" i="2"/>
  <c r="CG44" i="2" s="1"/>
  <c r="CF18" i="2"/>
  <c r="CF44" i="2" s="1"/>
  <c r="CE18" i="2"/>
  <c r="CE44" i="2" s="1"/>
  <c r="DP16" i="2" s="1"/>
  <c r="CD18" i="2"/>
  <c r="CD44" i="2" s="1"/>
  <c r="CC18" i="2"/>
  <c r="CC44" i="2" s="1"/>
  <c r="CB18" i="2"/>
  <c r="CB44" i="2" s="1"/>
  <c r="CA18" i="2"/>
  <c r="CA44" i="2" s="1"/>
  <c r="BZ18" i="2"/>
  <c r="BZ44" i="2" s="1"/>
  <c r="BY18" i="2"/>
  <c r="BY44" i="2" s="1"/>
  <c r="DM16" i="2" s="1"/>
  <c r="BX18" i="2"/>
  <c r="BX44" i="2" s="1"/>
  <c r="BW18" i="2"/>
  <c r="BW44" i="2" s="1"/>
  <c r="BV18" i="2"/>
  <c r="BV44" i="2" s="1"/>
  <c r="BU18" i="2"/>
  <c r="BU44" i="2" s="1"/>
  <c r="BT18" i="2"/>
  <c r="BT44" i="2" s="1"/>
  <c r="BS18" i="2"/>
  <c r="BS44" i="2" s="1"/>
  <c r="BR18" i="2"/>
  <c r="BR44" i="2" s="1"/>
  <c r="DI16" i="2" s="1"/>
  <c r="BQ18" i="2"/>
  <c r="BQ44" i="2" s="1"/>
  <c r="BP18" i="2"/>
  <c r="BP44" i="2" s="1"/>
  <c r="BO18" i="2"/>
  <c r="BO44" i="2" s="1"/>
  <c r="BN18" i="2"/>
  <c r="BN44" i="2" s="1"/>
  <c r="BM18" i="2"/>
  <c r="BM44" i="2" s="1"/>
  <c r="BL18" i="2"/>
  <c r="BL44" i="2" s="1"/>
  <c r="BK18" i="2"/>
  <c r="BK44" i="2" s="1"/>
  <c r="BJ18" i="2"/>
  <c r="BJ44" i="2" s="1"/>
  <c r="DE16" i="2" s="1"/>
  <c r="BI18" i="2"/>
  <c r="BI44" i="2" s="1"/>
  <c r="BH18" i="2"/>
  <c r="BH44" i="2" s="1"/>
  <c r="BG18" i="2"/>
  <c r="BG44" i="2" s="1"/>
  <c r="BF18" i="2"/>
  <c r="BF44" i="2" s="1"/>
  <c r="BE18" i="2"/>
  <c r="BE44" i="2" s="1"/>
  <c r="BD18" i="2"/>
  <c r="BD44" i="2" s="1"/>
  <c r="BC18" i="2"/>
  <c r="BC44" i="2" s="1"/>
  <c r="BB18" i="2"/>
  <c r="BB44" i="2" s="1"/>
  <c r="BA18" i="2"/>
  <c r="BA44" i="2" s="1"/>
  <c r="AZ18" i="2"/>
  <c r="AZ44" i="2" s="1"/>
  <c r="AY18" i="2"/>
  <c r="AY44" i="2" s="1"/>
  <c r="AX18" i="2"/>
  <c r="AX44" i="2" s="1"/>
  <c r="AW18" i="2"/>
  <c r="AW44" i="2" s="1"/>
  <c r="AV18" i="2"/>
  <c r="AV44" i="2" s="1"/>
  <c r="AU18" i="2"/>
  <c r="AU44" i="2" s="1"/>
  <c r="CX16" i="2" s="1"/>
  <c r="AT18" i="2"/>
  <c r="AT44" i="2" s="1"/>
  <c r="AS18" i="2"/>
  <c r="AS44" i="2" s="1"/>
  <c r="AR18" i="2"/>
  <c r="AR44" i="2" s="1"/>
  <c r="AQ18" i="2"/>
  <c r="AQ44" i="2" s="1"/>
  <c r="AP18" i="2"/>
  <c r="AP44" i="2" s="1"/>
  <c r="AO18" i="2"/>
  <c r="AO44" i="2" s="1"/>
  <c r="CU16" i="2" s="1"/>
  <c r="AN18" i="2"/>
  <c r="AN44" i="2" s="1"/>
  <c r="AM18" i="2"/>
  <c r="AM44" i="2" s="1"/>
  <c r="AL18" i="2"/>
  <c r="AL44" i="2" s="1"/>
  <c r="AK18" i="2"/>
  <c r="AK44" i="2" s="1"/>
  <c r="AJ18" i="2"/>
  <c r="AJ44" i="2" s="1"/>
  <c r="AI18" i="2"/>
  <c r="AI44" i="2" s="1"/>
  <c r="CR16" i="2" s="1"/>
  <c r="AH18" i="2"/>
  <c r="AH44" i="2" s="1"/>
  <c r="AG18" i="2"/>
  <c r="AG44" i="2" s="1"/>
  <c r="AF18" i="2"/>
  <c r="AF44" i="2" s="1"/>
  <c r="AE18" i="2"/>
  <c r="AE44" i="2" s="1"/>
  <c r="AD18" i="2"/>
  <c r="AD44" i="2" s="1"/>
  <c r="AC18" i="2"/>
  <c r="AC44" i="2" s="1"/>
  <c r="CO16" i="2" s="1"/>
  <c r="DO17" i="2"/>
  <c r="DN17" i="2"/>
  <c r="DK17" i="2"/>
  <c r="DJ17" i="2"/>
  <c r="DH17" i="2"/>
  <c r="DE17" i="2"/>
  <c r="DB17" i="2"/>
  <c r="CR17" i="2"/>
  <c r="CO17" i="2"/>
  <c r="CL17" i="2"/>
  <c r="CL43" i="2" s="1"/>
  <c r="CK17" i="2"/>
  <c r="CK43" i="2" s="1"/>
  <c r="CJ17" i="2"/>
  <c r="CJ43" i="2" s="1"/>
  <c r="CI17" i="2"/>
  <c r="CI43" i="2" s="1"/>
  <c r="CH17" i="2"/>
  <c r="CH43" i="2" s="1"/>
  <c r="CG17" i="2"/>
  <c r="CG43" i="2" s="1"/>
  <c r="CF17" i="2"/>
  <c r="CF43" i="2" s="1"/>
  <c r="CE17" i="2"/>
  <c r="CE43" i="2" s="1"/>
  <c r="CD17" i="2"/>
  <c r="CD43" i="2" s="1"/>
  <c r="CC17" i="2"/>
  <c r="CC43" i="2" s="1"/>
  <c r="CB17" i="2"/>
  <c r="CB43" i="2" s="1"/>
  <c r="CA17" i="2"/>
  <c r="CA43" i="2" s="1"/>
  <c r="DN15" i="2" s="1"/>
  <c r="BZ17" i="2"/>
  <c r="BZ43" i="2" s="1"/>
  <c r="BY17" i="2"/>
  <c r="BY43" i="2" s="1"/>
  <c r="BX17" i="2"/>
  <c r="BX43" i="2" s="1"/>
  <c r="BW17" i="2"/>
  <c r="BW43" i="2" s="1"/>
  <c r="BV17" i="2"/>
  <c r="BV43" i="2" s="1"/>
  <c r="BU17" i="2"/>
  <c r="BU43" i="2" s="1"/>
  <c r="DK15" i="2" s="1"/>
  <c r="BT17" i="2"/>
  <c r="BT43" i="2" s="1"/>
  <c r="BS17" i="2"/>
  <c r="BS43" i="2" s="1"/>
  <c r="BR17" i="2"/>
  <c r="BR43" i="2" s="1"/>
  <c r="BQ17" i="2"/>
  <c r="BQ43" i="2" s="1"/>
  <c r="BP17" i="2"/>
  <c r="BP43" i="2" s="1"/>
  <c r="BO17" i="2"/>
  <c r="BO43" i="2" s="1"/>
  <c r="DH15" i="2" s="1"/>
  <c r="BN17" i="2"/>
  <c r="BN43" i="2" s="1"/>
  <c r="BM17" i="2"/>
  <c r="BM43" i="2" s="1"/>
  <c r="DG15" i="2" s="1"/>
  <c r="BL17" i="2"/>
  <c r="BL43" i="2" s="1"/>
  <c r="DF15" i="2" s="1"/>
  <c r="BK17" i="2"/>
  <c r="BK43" i="2" s="1"/>
  <c r="BJ17" i="2"/>
  <c r="BJ43" i="2" s="1"/>
  <c r="BI17" i="2"/>
  <c r="BI43" i="2" s="1"/>
  <c r="DE15" i="2" s="1"/>
  <c r="BH17" i="2"/>
  <c r="BH43" i="2" s="1"/>
  <c r="BG17" i="2"/>
  <c r="BG43" i="2" s="1"/>
  <c r="BF17" i="2"/>
  <c r="BF43" i="2" s="1"/>
  <c r="BE17" i="2"/>
  <c r="BE43" i="2" s="1"/>
  <c r="BD17" i="2"/>
  <c r="BD43" i="2" s="1"/>
  <c r="BC17" i="2"/>
  <c r="BC43" i="2" s="1"/>
  <c r="DB15" i="2" s="1"/>
  <c r="BB17" i="2"/>
  <c r="BB43" i="2" s="1"/>
  <c r="BA17" i="2"/>
  <c r="BA43" i="2" s="1"/>
  <c r="DA15" i="2" s="1"/>
  <c r="AZ17" i="2"/>
  <c r="AZ43" i="2" s="1"/>
  <c r="CZ15" i="2" s="1"/>
  <c r="AY17" i="2"/>
  <c r="AY43" i="2" s="1"/>
  <c r="AX17" i="2"/>
  <c r="AX43" i="2" s="1"/>
  <c r="AW17" i="2"/>
  <c r="AW43" i="2" s="1"/>
  <c r="AV17" i="2"/>
  <c r="AV43" i="2" s="1"/>
  <c r="AU17" i="2"/>
  <c r="AU43" i="2" s="1"/>
  <c r="AT17" i="2"/>
  <c r="AT43" i="2" s="1"/>
  <c r="AS17" i="2"/>
  <c r="AS43" i="2" s="1"/>
  <c r="AR17" i="2"/>
  <c r="AR43" i="2" s="1"/>
  <c r="AQ17" i="2"/>
  <c r="AQ43" i="2" s="1"/>
  <c r="AP17" i="2"/>
  <c r="AP43" i="2" s="1"/>
  <c r="AO17" i="2"/>
  <c r="AO43" i="2" s="1"/>
  <c r="AN17" i="2"/>
  <c r="AN43" i="2" s="1"/>
  <c r="AM17" i="2"/>
  <c r="AM43" i="2" s="1"/>
  <c r="AL17" i="2"/>
  <c r="AL43" i="2" s="1"/>
  <c r="AK17" i="2"/>
  <c r="AK43" i="2" s="1"/>
  <c r="AJ17" i="2"/>
  <c r="AJ43" i="2" s="1"/>
  <c r="AI17" i="2"/>
  <c r="AI43" i="2" s="1"/>
  <c r="AH17" i="2"/>
  <c r="AH43" i="2" s="1"/>
  <c r="AG17" i="2"/>
  <c r="AG43" i="2" s="1"/>
  <c r="AF17" i="2"/>
  <c r="AF43" i="2" s="1"/>
  <c r="AE17" i="2"/>
  <c r="AE43" i="2" s="1"/>
  <c r="CP15" i="2" s="1"/>
  <c r="AD17" i="2"/>
  <c r="AD43" i="2" s="1"/>
  <c r="AC17" i="2"/>
  <c r="AC43" i="2" s="1"/>
  <c r="CO15" i="2" s="1"/>
  <c r="DO16" i="2"/>
  <c r="DN16" i="2"/>
  <c r="DL16" i="2"/>
  <c r="DJ16" i="2"/>
  <c r="DH16" i="2"/>
  <c r="DG16" i="2"/>
  <c r="DD16" i="2"/>
  <c r="DC16" i="2"/>
  <c r="DB16" i="2"/>
  <c r="DA16" i="2"/>
  <c r="CZ16" i="2"/>
  <c r="CW16" i="2"/>
  <c r="CT16" i="2"/>
  <c r="CL16" i="2"/>
  <c r="CL42" i="2" s="1"/>
  <c r="CK16" i="2"/>
  <c r="CK42" i="2" s="1"/>
  <c r="CJ16" i="2"/>
  <c r="CJ42" i="2" s="1"/>
  <c r="CI16" i="2"/>
  <c r="CI42" i="2" s="1"/>
  <c r="CH16" i="2"/>
  <c r="CH42" i="2" s="1"/>
  <c r="CG16" i="2"/>
  <c r="CG42" i="2" s="1"/>
  <c r="CF16" i="2"/>
  <c r="CF42" i="2" s="1"/>
  <c r="DP14" i="2" s="1"/>
  <c r="CE16" i="2"/>
  <c r="CE42" i="2" s="1"/>
  <c r="CD16" i="2"/>
  <c r="CD42" i="2" s="1"/>
  <c r="CC16" i="2"/>
  <c r="CC42" i="2" s="1"/>
  <c r="CB16" i="2"/>
  <c r="CB42" i="2" s="1"/>
  <c r="CA16" i="2"/>
  <c r="CA42" i="2" s="1"/>
  <c r="BZ16" i="2"/>
  <c r="BZ42" i="2" s="1"/>
  <c r="BY16" i="2"/>
  <c r="BY42" i="2" s="1"/>
  <c r="DM14" i="2" s="1"/>
  <c r="BX16" i="2"/>
  <c r="BX42" i="2" s="1"/>
  <c r="DL14" i="2" s="1"/>
  <c r="BW16" i="2"/>
  <c r="BW42" i="2" s="1"/>
  <c r="BV16" i="2"/>
  <c r="BV42" i="2" s="1"/>
  <c r="DK14" i="2" s="1"/>
  <c r="BU16" i="2"/>
  <c r="BU42" i="2" s="1"/>
  <c r="BT16" i="2"/>
  <c r="BT42" i="2" s="1"/>
  <c r="BS16" i="2"/>
  <c r="BS42" i="2" s="1"/>
  <c r="BR16" i="2"/>
  <c r="BR42" i="2" s="1"/>
  <c r="BQ16" i="2"/>
  <c r="BQ42" i="2" s="1"/>
  <c r="BP16" i="2"/>
  <c r="BP42" i="2" s="1"/>
  <c r="BO16" i="2"/>
  <c r="BO42" i="2" s="1"/>
  <c r="BN16" i="2"/>
  <c r="BN42" i="2" s="1"/>
  <c r="BM16" i="2"/>
  <c r="BM42" i="2" s="1"/>
  <c r="DG14" i="2" s="1"/>
  <c r="BL16" i="2"/>
  <c r="BL42" i="2" s="1"/>
  <c r="DF14" i="2" s="1"/>
  <c r="BK16" i="2"/>
  <c r="BK42" i="2" s="1"/>
  <c r="BJ16" i="2"/>
  <c r="BJ42" i="2" s="1"/>
  <c r="DE14" i="2" s="1"/>
  <c r="BI16" i="2"/>
  <c r="BI42" i="2" s="1"/>
  <c r="BH16" i="2"/>
  <c r="BH42" i="2" s="1"/>
  <c r="DD14" i="2" s="1"/>
  <c r="BG16" i="2"/>
  <c r="BG42" i="2" s="1"/>
  <c r="BF16" i="2"/>
  <c r="BF42" i="2" s="1"/>
  <c r="BE16" i="2"/>
  <c r="BE42" i="2" s="1"/>
  <c r="BD16" i="2"/>
  <c r="BD42" i="2" s="1"/>
  <c r="BC16" i="2"/>
  <c r="BC42" i="2" s="1"/>
  <c r="BB16" i="2"/>
  <c r="BB42" i="2" s="1"/>
  <c r="BA16" i="2"/>
  <c r="BA42" i="2" s="1"/>
  <c r="DA14" i="2" s="1"/>
  <c r="AZ16" i="2"/>
  <c r="AZ42" i="2" s="1"/>
  <c r="CZ14" i="2" s="1"/>
  <c r="AY16" i="2"/>
  <c r="AY42" i="2" s="1"/>
  <c r="AX16" i="2"/>
  <c r="AX42" i="2" s="1"/>
  <c r="AW16" i="2"/>
  <c r="AW42" i="2" s="1"/>
  <c r="AV16" i="2"/>
  <c r="AV42" i="2" s="1"/>
  <c r="CX14" i="2" s="1"/>
  <c r="AU16" i="2"/>
  <c r="AU42" i="2" s="1"/>
  <c r="AT16" i="2"/>
  <c r="AT42" i="2" s="1"/>
  <c r="AS16" i="2"/>
  <c r="AS42" i="2" s="1"/>
  <c r="AR16" i="2"/>
  <c r="AR42" i="2" s="1"/>
  <c r="AQ16" i="2"/>
  <c r="AQ42" i="2" s="1"/>
  <c r="AP16" i="2"/>
  <c r="AP42" i="2" s="1"/>
  <c r="AO16" i="2"/>
  <c r="AO42" i="2" s="1"/>
  <c r="AN16" i="2"/>
  <c r="AN42" i="2" s="1"/>
  <c r="AM16" i="2"/>
  <c r="AM42" i="2" s="1"/>
  <c r="AL16" i="2"/>
  <c r="AL42" i="2" s="1"/>
  <c r="AK16" i="2"/>
  <c r="AK42" i="2" s="1"/>
  <c r="AJ16" i="2"/>
  <c r="AJ42" i="2" s="1"/>
  <c r="CR14" i="2" s="1"/>
  <c r="AI16" i="2"/>
  <c r="AI42" i="2" s="1"/>
  <c r="AH16" i="2"/>
  <c r="AH42" i="2" s="1"/>
  <c r="AG16" i="2"/>
  <c r="AG42" i="2" s="1"/>
  <c r="AF16" i="2"/>
  <c r="AF42" i="2" s="1"/>
  <c r="AE16" i="2"/>
  <c r="AE42" i="2" s="1"/>
  <c r="AD16" i="2"/>
  <c r="AD42" i="2" s="1"/>
  <c r="AC16" i="2"/>
  <c r="AC42" i="2" s="1"/>
  <c r="DQ15" i="2"/>
  <c r="DO15" i="2"/>
  <c r="DM15" i="2"/>
  <c r="DL15" i="2"/>
  <c r="DC15" i="2"/>
  <c r="CU15" i="2"/>
  <c r="CT15" i="2"/>
  <c r="CR15" i="2"/>
  <c r="CL15" i="2"/>
  <c r="CL41" i="2" s="1"/>
  <c r="CK15" i="2"/>
  <c r="CK41" i="2" s="1"/>
  <c r="CJ15" i="2"/>
  <c r="CJ41" i="2" s="1"/>
  <c r="CI15" i="2"/>
  <c r="CI41" i="2" s="1"/>
  <c r="CH15" i="2"/>
  <c r="CH41" i="2" s="1"/>
  <c r="CG15" i="2"/>
  <c r="CG41" i="2" s="1"/>
  <c r="CF15" i="2"/>
  <c r="CF41" i="2" s="1"/>
  <c r="CE15" i="2"/>
  <c r="CE41" i="2" s="1"/>
  <c r="CD15" i="2"/>
  <c r="CD41" i="2" s="1"/>
  <c r="CC15" i="2"/>
  <c r="CC41" i="2" s="1"/>
  <c r="DO13" i="2" s="1"/>
  <c r="CB15" i="2"/>
  <c r="CB41" i="2" s="1"/>
  <c r="DN13" i="2" s="1"/>
  <c r="CA15" i="2"/>
  <c r="CA41" i="2" s="1"/>
  <c r="BZ15" i="2"/>
  <c r="BZ41" i="2" s="1"/>
  <c r="BY15" i="2"/>
  <c r="BY41" i="2" s="1"/>
  <c r="BX15" i="2"/>
  <c r="BX41" i="2" s="1"/>
  <c r="BW15" i="2"/>
  <c r="BW41" i="2" s="1"/>
  <c r="DL13" i="2" s="1"/>
  <c r="BV15" i="2"/>
  <c r="BV41" i="2" s="1"/>
  <c r="BU15" i="2"/>
  <c r="BU41" i="2" s="1"/>
  <c r="BT15" i="2"/>
  <c r="BT41" i="2" s="1"/>
  <c r="BS15" i="2"/>
  <c r="BS41" i="2" s="1"/>
  <c r="BR15" i="2"/>
  <c r="BR41" i="2" s="1"/>
  <c r="BQ15" i="2"/>
  <c r="BQ41" i="2" s="1"/>
  <c r="DI13" i="2" s="1"/>
  <c r="BP15" i="2"/>
  <c r="BP41" i="2" s="1"/>
  <c r="BO15" i="2"/>
  <c r="BO41" i="2" s="1"/>
  <c r="BN15" i="2"/>
  <c r="BN41" i="2" s="1"/>
  <c r="BM15" i="2"/>
  <c r="BM41" i="2" s="1"/>
  <c r="DG13" i="2" s="1"/>
  <c r="BL15" i="2"/>
  <c r="BL41" i="2" s="1"/>
  <c r="BK15" i="2"/>
  <c r="BK41" i="2" s="1"/>
  <c r="DF13" i="2" s="1"/>
  <c r="BJ15" i="2"/>
  <c r="BJ41" i="2" s="1"/>
  <c r="DE13" i="2" s="1"/>
  <c r="BI15" i="2"/>
  <c r="BI41" i="2" s="1"/>
  <c r="BH15" i="2"/>
  <c r="BH41" i="2" s="1"/>
  <c r="BG15" i="2"/>
  <c r="BG41" i="2" s="1"/>
  <c r="DD13" i="2" s="1"/>
  <c r="BF15" i="2"/>
  <c r="BF41" i="2" s="1"/>
  <c r="BE15" i="2"/>
  <c r="BE41" i="2" s="1"/>
  <c r="BD15" i="2"/>
  <c r="BD41" i="2" s="1"/>
  <c r="BC15" i="2"/>
  <c r="BC41" i="2" s="1"/>
  <c r="BB15" i="2"/>
  <c r="BB41" i="2" s="1"/>
  <c r="BA15" i="2"/>
  <c r="BA41" i="2" s="1"/>
  <c r="AZ15" i="2"/>
  <c r="AZ41" i="2" s="1"/>
  <c r="AY15" i="2"/>
  <c r="AY41" i="2" s="1"/>
  <c r="CZ13" i="2" s="1"/>
  <c r="AX15" i="2"/>
  <c r="AX41" i="2" s="1"/>
  <c r="AW15" i="2"/>
  <c r="AW41" i="2" s="1"/>
  <c r="AV15" i="2"/>
  <c r="AV41" i="2" s="1"/>
  <c r="AU15" i="2"/>
  <c r="AU41" i="2" s="1"/>
  <c r="CX13" i="2" s="1"/>
  <c r="AT15" i="2"/>
  <c r="AT41" i="2" s="1"/>
  <c r="AS15" i="2"/>
  <c r="AS41" i="2" s="1"/>
  <c r="AR15" i="2"/>
  <c r="AR41" i="2" s="1"/>
  <c r="AQ15" i="2"/>
  <c r="AQ41" i="2" s="1"/>
  <c r="AP15" i="2"/>
  <c r="AP41" i="2" s="1"/>
  <c r="AO15" i="2"/>
  <c r="AO41" i="2" s="1"/>
  <c r="AN15" i="2"/>
  <c r="AN41" i="2" s="1"/>
  <c r="AM15" i="2"/>
  <c r="AM41" i="2" s="1"/>
  <c r="CT13" i="2" s="1"/>
  <c r="AL15" i="2"/>
  <c r="AL41" i="2" s="1"/>
  <c r="AK15" i="2"/>
  <c r="AK41" i="2" s="1"/>
  <c r="AJ15" i="2"/>
  <c r="AJ41" i="2" s="1"/>
  <c r="AI15" i="2"/>
  <c r="AI41" i="2" s="1"/>
  <c r="AH15" i="2"/>
  <c r="AH41" i="2" s="1"/>
  <c r="AG15" i="2"/>
  <c r="AG41" i="2" s="1"/>
  <c r="AF15" i="2"/>
  <c r="AF41" i="2" s="1"/>
  <c r="AE15" i="2"/>
  <c r="AE41" i="2" s="1"/>
  <c r="AD15" i="2"/>
  <c r="AD41" i="2" s="1"/>
  <c r="AC15" i="2"/>
  <c r="AC41" i="2" s="1"/>
  <c r="CO13" i="2" s="1"/>
  <c r="DN14" i="2"/>
  <c r="DJ14" i="2"/>
  <c r="DH14" i="2"/>
  <c r="DB14" i="2"/>
  <c r="CW14" i="2"/>
  <c r="CU14" i="2"/>
  <c r="CT14" i="2"/>
  <c r="CP14" i="2"/>
  <c r="CO14" i="2"/>
  <c r="CL14" i="2"/>
  <c r="CL40" i="2" s="1"/>
  <c r="CK14" i="2"/>
  <c r="CK40" i="2" s="1"/>
  <c r="CJ14" i="2"/>
  <c r="CJ40" i="2" s="1"/>
  <c r="CI14" i="2"/>
  <c r="CI40" i="2" s="1"/>
  <c r="CH14" i="2"/>
  <c r="CH40" i="2" s="1"/>
  <c r="CG14" i="2"/>
  <c r="CG40" i="2" s="1"/>
  <c r="CF14" i="2"/>
  <c r="CF40" i="2" s="1"/>
  <c r="DP12" i="2" s="1"/>
  <c r="CE14" i="2"/>
  <c r="CE40" i="2" s="1"/>
  <c r="CD14" i="2"/>
  <c r="CD40" i="2" s="1"/>
  <c r="DO12" i="2" s="1"/>
  <c r="CC14" i="2"/>
  <c r="CC40" i="2" s="1"/>
  <c r="CB14" i="2"/>
  <c r="CB40" i="2" s="1"/>
  <c r="CA14" i="2"/>
  <c r="CA40" i="2" s="1"/>
  <c r="DN12" i="2" s="1"/>
  <c r="BZ14" i="2"/>
  <c r="BZ40" i="2" s="1"/>
  <c r="DM12" i="2" s="1"/>
  <c r="BY14" i="2"/>
  <c r="BY40" i="2" s="1"/>
  <c r="BX14" i="2"/>
  <c r="BX40" i="2" s="1"/>
  <c r="BW14" i="2"/>
  <c r="BW40" i="2" s="1"/>
  <c r="BV14" i="2"/>
  <c r="BV40" i="2" s="1"/>
  <c r="BU14" i="2"/>
  <c r="BU40" i="2" s="1"/>
  <c r="DK12" i="2" s="1"/>
  <c r="BT14" i="2"/>
  <c r="BT40" i="2" s="1"/>
  <c r="BS14" i="2"/>
  <c r="BS40" i="2" s="1"/>
  <c r="BR14" i="2"/>
  <c r="BR40" i="2" s="1"/>
  <c r="BQ14" i="2"/>
  <c r="BQ40" i="2" s="1"/>
  <c r="BP14" i="2"/>
  <c r="BP40" i="2" s="1"/>
  <c r="BO14" i="2"/>
  <c r="BO40" i="2" s="1"/>
  <c r="DH12" i="2" s="1"/>
  <c r="BN14" i="2"/>
  <c r="BN40" i="2" s="1"/>
  <c r="DG12" i="2" s="1"/>
  <c r="BM14" i="2"/>
  <c r="BM40" i="2" s="1"/>
  <c r="BL14" i="2"/>
  <c r="BL40" i="2" s="1"/>
  <c r="BK14" i="2"/>
  <c r="BK40" i="2" s="1"/>
  <c r="BJ14" i="2"/>
  <c r="BJ40" i="2" s="1"/>
  <c r="BI14" i="2"/>
  <c r="BI40" i="2" s="1"/>
  <c r="DE12" i="2" s="1"/>
  <c r="BH14" i="2"/>
  <c r="BH40" i="2" s="1"/>
  <c r="DD12" i="2" s="1"/>
  <c r="BG14" i="2"/>
  <c r="BG40" i="2" s="1"/>
  <c r="BF14" i="2"/>
  <c r="BF40" i="2" s="1"/>
  <c r="BE14" i="2"/>
  <c r="BE40" i="2" s="1"/>
  <c r="BD14" i="2"/>
  <c r="BD40" i="2" s="1"/>
  <c r="BC14" i="2"/>
  <c r="BC40" i="2" s="1"/>
  <c r="DB12" i="2" s="1"/>
  <c r="BB14" i="2"/>
  <c r="BB40" i="2" s="1"/>
  <c r="BA14" i="2"/>
  <c r="BA40" i="2" s="1"/>
  <c r="AZ14" i="2"/>
  <c r="AZ40" i="2" s="1"/>
  <c r="AY14" i="2"/>
  <c r="AY40" i="2" s="1"/>
  <c r="AX14" i="2"/>
  <c r="AX40" i="2" s="1"/>
  <c r="AW14" i="2"/>
  <c r="AW40" i="2" s="1"/>
  <c r="AV14" i="2"/>
  <c r="AV40" i="2" s="1"/>
  <c r="CX12" i="2" s="1"/>
  <c r="AU14" i="2"/>
  <c r="AU40" i="2" s="1"/>
  <c r="AT14" i="2"/>
  <c r="AT40" i="2" s="1"/>
  <c r="CW12" i="2" s="1"/>
  <c r="AS14" i="2"/>
  <c r="AS40" i="2" s="1"/>
  <c r="AR14" i="2"/>
  <c r="AR40" i="2" s="1"/>
  <c r="AQ14" i="2"/>
  <c r="AQ40" i="2" s="1"/>
  <c r="AP14" i="2"/>
  <c r="AP40" i="2" s="1"/>
  <c r="AO14" i="2"/>
  <c r="AO40" i="2" s="1"/>
  <c r="AN14" i="2"/>
  <c r="AN40" i="2" s="1"/>
  <c r="CT12" i="2" s="1"/>
  <c r="AM14" i="2"/>
  <c r="AM40" i="2" s="1"/>
  <c r="AL14" i="2"/>
  <c r="AL40" i="2" s="1"/>
  <c r="AK14" i="2"/>
  <c r="AK40" i="2" s="1"/>
  <c r="AJ14" i="2"/>
  <c r="AJ40" i="2" s="1"/>
  <c r="AI14" i="2"/>
  <c r="AI40" i="2" s="1"/>
  <c r="AH14" i="2"/>
  <c r="AH40" i="2" s="1"/>
  <c r="AG14" i="2"/>
  <c r="AG40" i="2" s="1"/>
  <c r="AF14" i="2"/>
  <c r="AF40" i="2" s="1"/>
  <c r="AE14" i="2"/>
  <c r="AE40" i="2" s="1"/>
  <c r="CP12" i="2" s="1"/>
  <c r="AD14" i="2"/>
  <c r="AD40" i="2" s="1"/>
  <c r="AC14" i="2"/>
  <c r="AC40" i="2" s="1"/>
  <c r="DP13" i="2"/>
  <c r="DM13" i="2"/>
  <c r="DK13" i="2"/>
  <c r="DJ13" i="2"/>
  <c r="DB13" i="2"/>
  <c r="DA13" i="2"/>
  <c r="CW13" i="2"/>
  <c r="CU13" i="2"/>
  <c r="CR13" i="2"/>
  <c r="CP13" i="2"/>
  <c r="CL13" i="2"/>
  <c r="CL39" i="2" s="1"/>
  <c r="CK13" i="2"/>
  <c r="CK39" i="2" s="1"/>
  <c r="CJ13" i="2"/>
  <c r="CJ39" i="2" s="1"/>
  <c r="CI13" i="2"/>
  <c r="CI39" i="2" s="1"/>
  <c r="CH13" i="2"/>
  <c r="CH39" i="2" s="1"/>
  <c r="CG13" i="2"/>
  <c r="CG39" i="2" s="1"/>
  <c r="CF13" i="2"/>
  <c r="CF39" i="2" s="1"/>
  <c r="CE13" i="2"/>
  <c r="CE39" i="2" s="1"/>
  <c r="CD13" i="2"/>
  <c r="CD39" i="2" s="1"/>
  <c r="CC13" i="2"/>
  <c r="CC39" i="2" s="1"/>
  <c r="DO11" i="2" s="1"/>
  <c r="CB13" i="2"/>
  <c r="CB39" i="2" s="1"/>
  <c r="CA13" i="2"/>
  <c r="CA39" i="2" s="1"/>
  <c r="BZ13" i="2"/>
  <c r="BZ39" i="2" s="1"/>
  <c r="BY13" i="2"/>
  <c r="BY39" i="2" s="1"/>
  <c r="DM11" i="2" s="1"/>
  <c r="BX13" i="2"/>
  <c r="BX39" i="2" s="1"/>
  <c r="BW13" i="2"/>
  <c r="BW39" i="2" s="1"/>
  <c r="DL11" i="2" s="1"/>
  <c r="BV13" i="2"/>
  <c r="BV39" i="2" s="1"/>
  <c r="BU13" i="2"/>
  <c r="BU39" i="2" s="1"/>
  <c r="DK11" i="2" s="1"/>
  <c r="BT13" i="2"/>
  <c r="BT39" i="2" s="1"/>
  <c r="BS13" i="2"/>
  <c r="BS39" i="2" s="1"/>
  <c r="DJ11" i="2" s="1"/>
  <c r="BR13" i="2"/>
  <c r="BR39" i="2" s="1"/>
  <c r="BQ13" i="2"/>
  <c r="BQ39" i="2" s="1"/>
  <c r="DI11" i="2" s="1"/>
  <c r="BP13" i="2"/>
  <c r="BP39" i="2" s="1"/>
  <c r="BO13" i="2"/>
  <c r="BO39" i="2" s="1"/>
  <c r="BN13" i="2"/>
  <c r="BN39" i="2" s="1"/>
  <c r="BM13" i="2"/>
  <c r="BM39" i="2" s="1"/>
  <c r="BL13" i="2"/>
  <c r="BL39" i="2" s="1"/>
  <c r="BK13" i="2"/>
  <c r="BK39" i="2" s="1"/>
  <c r="BJ13" i="2"/>
  <c r="BJ39" i="2" s="1"/>
  <c r="BI13" i="2"/>
  <c r="BI39" i="2" s="1"/>
  <c r="BH13" i="2"/>
  <c r="BH39" i="2" s="1"/>
  <c r="BG13" i="2"/>
  <c r="BG39" i="2" s="1"/>
  <c r="DD11" i="2" s="1"/>
  <c r="BF13" i="2"/>
  <c r="BF39" i="2" s="1"/>
  <c r="BE13" i="2"/>
  <c r="BE39" i="2" s="1"/>
  <c r="DC11" i="2" s="1"/>
  <c r="BD13" i="2"/>
  <c r="BD39" i="2" s="1"/>
  <c r="BC13" i="2"/>
  <c r="BC39" i="2" s="1"/>
  <c r="BB13" i="2"/>
  <c r="BB39" i="2" s="1"/>
  <c r="BA13" i="2"/>
  <c r="BA39" i="2" s="1"/>
  <c r="DA11" i="2" s="1"/>
  <c r="AZ13" i="2"/>
  <c r="AZ39" i="2" s="1"/>
  <c r="AY13" i="2"/>
  <c r="AY39" i="2" s="1"/>
  <c r="CZ11" i="2" s="1"/>
  <c r="AX13" i="2"/>
  <c r="AX39" i="2" s="1"/>
  <c r="AW13" i="2"/>
  <c r="AW39" i="2" s="1"/>
  <c r="AV13" i="2"/>
  <c r="AV39" i="2" s="1"/>
  <c r="AU13" i="2"/>
  <c r="AU39" i="2" s="1"/>
  <c r="CX11" i="2" s="1"/>
  <c r="AT13" i="2"/>
  <c r="AT39" i="2" s="1"/>
  <c r="AS13" i="2"/>
  <c r="AS39" i="2" s="1"/>
  <c r="CW11" i="2" s="1"/>
  <c r="AR13" i="2"/>
  <c r="AR39" i="2" s="1"/>
  <c r="AQ13" i="2"/>
  <c r="AQ39" i="2" s="1"/>
  <c r="AP13" i="2"/>
  <c r="AP39" i="2" s="1"/>
  <c r="AO13" i="2"/>
  <c r="AO39" i="2" s="1"/>
  <c r="CU11" i="2" s="1"/>
  <c r="AN13" i="2"/>
  <c r="AN39" i="2" s="1"/>
  <c r="AM13" i="2"/>
  <c r="AM39" i="2" s="1"/>
  <c r="AL13" i="2"/>
  <c r="AL39" i="2" s="1"/>
  <c r="AK13" i="2"/>
  <c r="AK39" i="2" s="1"/>
  <c r="AJ13" i="2"/>
  <c r="AJ39" i="2" s="1"/>
  <c r="AI13" i="2"/>
  <c r="AI39" i="2" s="1"/>
  <c r="CR11" i="2" s="1"/>
  <c r="AH13" i="2"/>
  <c r="AH39" i="2" s="1"/>
  <c r="AG13" i="2"/>
  <c r="AG39" i="2" s="1"/>
  <c r="AF13" i="2"/>
  <c r="AF39" i="2" s="1"/>
  <c r="CP11" i="2" s="1"/>
  <c r="AE13" i="2"/>
  <c r="AE39" i="2" s="1"/>
  <c r="AD13" i="2"/>
  <c r="AD39" i="2" s="1"/>
  <c r="AC13" i="2"/>
  <c r="AC39" i="2" s="1"/>
  <c r="DL12" i="2"/>
  <c r="DJ12" i="2"/>
  <c r="DI12" i="2"/>
  <c r="DF12" i="2"/>
  <c r="DC12" i="2"/>
  <c r="DA12" i="2"/>
  <c r="CZ12" i="2"/>
  <c r="CU12" i="2"/>
  <c r="CO12" i="2"/>
  <c r="CL12" i="2"/>
  <c r="CL38" i="2" s="1"/>
  <c r="CK12" i="2"/>
  <c r="CK38" i="2" s="1"/>
  <c r="CJ12" i="2"/>
  <c r="CJ38" i="2" s="1"/>
  <c r="CI12" i="2"/>
  <c r="CI38" i="2" s="1"/>
  <c r="CH12" i="2"/>
  <c r="CH38" i="2" s="1"/>
  <c r="CG12" i="2"/>
  <c r="CG38" i="2" s="1"/>
  <c r="CF12" i="2"/>
  <c r="CF38" i="2" s="1"/>
  <c r="CE12" i="2"/>
  <c r="CE38" i="2" s="1"/>
  <c r="DP10" i="2" s="1"/>
  <c r="CD12" i="2"/>
  <c r="CD38" i="2" s="1"/>
  <c r="CC12" i="2"/>
  <c r="CC38" i="2" s="1"/>
  <c r="CB12" i="2"/>
  <c r="CB38" i="2" s="1"/>
  <c r="DN10" i="2" s="1"/>
  <c r="CA12" i="2"/>
  <c r="CA38" i="2" s="1"/>
  <c r="BZ12" i="2"/>
  <c r="BZ38" i="2" s="1"/>
  <c r="BY12" i="2"/>
  <c r="BY38" i="2" s="1"/>
  <c r="DM10" i="2" s="1"/>
  <c r="BX12" i="2"/>
  <c r="BX38" i="2" s="1"/>
  <c r="DL10" i="2" s="1"/>
  <c r="BW12" i="2"/>
  <c r="BW38" i="2" s="1"/>
  <c r="BV12" i="2"/>
  <c r="BV38" i="2" s="1"/>
  <c r="BU12" i="2"/>
  <c r="BU38" i="2" s="1"/>
  <c r="BT12" i="2"/>
  <c r="BT38" i="2" s="1"/>
  <c r="BS12" i="2"/>
  <c r="BS38" i="2" s="1"/>
  <c r="DJ10" i="2" s="1"/>
  <c r="BR12" i="2"/>
  <c r="BR38" i="2" s="1"/>
  <c r="BQ12" i="2"/>
  <c r="BQ38" i="2" s="1"/>
  <c r="BP12" i="2"/>
  <c r="BP38" i="2" s="1"/>
  <c r="BO12" i="2"/>
  <c r="BO38" i="2" s="1"/>
  <c r="BN12" i="2"/>
  <c r="BN38" i="2" s="1"/>
  <c r="BM12" i="2"/>
  <c r="BM38" i="2" s="1"/>
  <c r="BL12" i="2"/>
  <c r="BL38" i="2" s="1"/>
  <c r="DF10" i="2" s="1"/>
  <c r="BK12" i="2"/>
  <c r="BK38" i="2" s="1"/>
  <c r="BJ12" i="2"/>
  <c r="BJ38" i="2" s="1"/>
  <c r="BI12" i="2"/>
  <c r="BI38" i="2" s="1"/>
  <c r="BH12" i="2"/>
  <c r="BH38" i="2" s="1"/>
  <c r="BG12" i="2"/>
  <c r="BG38" i="2" s="1"/>
  <c r="DD10" i="2" s="1"/>
  <c r="BF12" i="2"/>
  <c r="BF38" i="2" s="1"/>
  <c r="BE12" i="2"/>
  <c r="BE38" i="2" s="1"/>
  <c r="BD12" i="2"/>
  <c r="BD38" i="2" s="1"/>
  <c r="DB10" i="2" s="1"/>
  <c r="BC12" i="2"/>
  <c r="BC38" i="2" s="1"/>
  <c r="BB12" i="2"/>
  <c r="BB38" i="2" s="1"/>
  <c r="BA12" i="2"/>
  <c r="BA38" i="2" s="1"/>
  <c r="AZ12" i="2"/>
  <c r="AZ38" i="2" s="1"/>
  <c r="CZ10" i="2" s="1"/>
  <c r="AY12" i="2"/>
  <c r="AY38" i="2" s="1"/>
  <c r="AX12" i="2"/>
  <c r="AX38" i="2" s="1"/>
  <c r="AW12" i="2"/>
  <c r="AW38" i="2" s="1"/>
  <c r="AV12" i="2"/>
  <c r="AV38" i="2" s="1"/>
  <c r="AU12" i="2"/>
  <c r="AU38" i="2" s="1"/>
  <c r="CX10" i="2" s="1"/>
  <c r="AT12" i="2"/>
  <c r="AT38" i="2" s="1"/>
  <c r="AS12" i="2"/>
  <c r="AS38" i="2" s="1"/>
  <c r="AR12" i="2"/>
  <c r="AR38" i="2" s="1"/>
  <c r="AQ12" i="2"/>
  <c r="AQ38" i="2" s="1"/>
  <c r="AP12" i="2"/>
  <c r="AP38" i="2" s="1"/>
  <c r="AO12" i="2"/>
  <c r="AO38" i="2" s="1"/>
  <c r="AN12" i="2"/>
  <c r="AN38" i="2" s="1"/>
  <c r="CT10" i="2" s="1"/>
  <c r="AM12" i="2"/>
  <c r="AM38" i="2" s="1"/>
  <c r="AL12" i="2"/>
  <c r="AL38" i="2" s="1"/>
  <c r="AK12" i="2"/>
  <c r="AK38" i="2" s="1"/>
  <c r="AJ12" i="2"/>
  <c r="AJ38" i="2" s="1"/>
  <c r="AI12" i="2"/>
  <c r="AI38" i="2" s="1"/>
  <c r="CR10" i="2" s="1"/>
  <c r="AH12" i="2"/>
  <c r="AH38" i="2" s="1"/>
  <c r="AG12" i="2"/>
  <c r="AG38" i="2" s="1"/>
  <c r="AF12" i="2"/>
  <c r="AF38" i="2" s="1"/>
  <c r="CP10" i="2" s="1"/>
  <c r="AE12" i="2"/>
  <c r="AE38" i="2" s="1"/>
  <c r="AD12" i="2"/>
  <c r="AD38" i="2" s="1"/>
  <c r="AC12" i="2"/>
  <c r="AC38" i="2" s="1"/>
  <c r="CO10" i="2" s="1"/>
  <c r="DQ11" i="2"/>
  <c r="DP11" i="2"/>
  <c r="DN11" i="2"/>
  <c r="DH11" i="2"/>
  <c r="DG11" i="2"/>
  <c r="DF11" i="2"/>
  <c r="DE11" i="2"/>
  <c r="DB11" i="2"/>
  <c r="CT11" i="2"/>
  <c r="CO11" i="2"/>
  <c r="CL11" i="2"/>
  <c r="CL37" i="2" s="1"/>
  <c r="CK11" i="2"/>
  <c r="CK37" i="2" s="1"/>
  <c r="CJ11" i="2"/>
  <c r="CJ37" i="2" s="1"/>
  <c r="CI11" i="2"/>
  <c r="CI37" i="2" s="1"/>
  <c r="CH11" i="2"/>
  <c r="CH37" i="2" s="1"/>
  <c r="CG11" i="2"/>
  <c r="CG37" i="2" s="1"/>
  <c r="CF11" i="2"/>
  <c r="CF37" i="2" s="1"/>
  <c r="CE11" i="2"/>
  <c r="CE37" i="2" s="1"/>
  <c r="CD11" i="2"/>
  <c r="CD37" i="2" s="1"/>
  <c r="CC11" i="2"/>
  <c r="CC37" i="2" s="1"/>
  <c r="DO9" i="2" s="1"/>
  <c r="CB11" i="2"/>
  <c r="CB37" i="2" s="1"/>
  <c r="CA11" i="2"/>
  <c r="CA37" i="2" s="1"/>
  <c r="BZ11" i="2"/>
  <c r="BZ37" i="2" s="1"/>
  <c r="BY11" i="2"/>
  <c r="BY37" i="2" s="1"/>
  <c r="DM9" i="2" s="1"/>
  <c r="BX11" i="2"/>
  <c r="BX37" i="2" s="1"/>
  <c r="DL9" i="2" s="1"/>
  <c r="BW11" i="2"/>
  <c r="BW37" i="2" s="1"/>
  <c r="BV11" i="2"/>
  <c r="BV37" i="2" s="1"/>
  <c r="BU11" i="2"/>
  <c r="BU37" i="2" s="1"/>
  <c r="DK9" i="2" s="1"/>
  <c r="BT11" i="2"/>
  <c r="BT37" i="2" s="1"/>
  <c r="BS11" i="2"/>
  <c r="BS37" i="2" s="1"/>
  <c r="DJ9" i="2" s="1"/>
  <c r="BR11" i="2"/>
  <c r="BR37" i="2" s="1"/>
  <c r="BQ11" i="2"/>
  <c r="BQ37" i="2" s="1"/>
  <c r="DI9" i="2" s="1"/>
  <c r="BP11" i="2"/>
  <c r="BP37" i="2" s="1"/>
  <c r="BO11" i="2"/>
  <c r="BO37" i="2" s="1"/>
  <c r="DH9" i="2" s="1"/>
  <c r="BN11" i="2"/>
  <c r="BN37" i="2" s="1"/>
  <c r="BM11" i="2"/>
  <c r="BM37" i="2" s="1"/>
  <c r="DG9" i="2" s="1"/>
  <c r="BL11" i="2"/>
  <c r="BL37" i="2" s="1"/>
  <c r="BK11" i="2"/>
  <c r="BK37" i="2" s="1"/>
  <c r="BJ11" i="2"/>
  <c r="BJ37" i="2" s="1"/>
  <c r="BI11" i="2"/>
  <c r="BI37" i="2" s="1"/>
  <c r="BH11" i="2"/>
  <c r="BH37" i="2" s="1"/>
  <c r="BG11" i="2"/>
  <c r="BG37" i="2" s="1"/>
  <c r="BF11" i="2"/>
  <c r="BF37" i="2" s="1"/>
  <c r="BE11" i="2"/>
  <c r="BE37" i="2" s="1"/>
  <c r="DC9" i="2" s="1"/>
  <c r="BD11" i="2"/>
  <c r="BD37" i="2" s="1"/>
  <c r="BC11" i="2"/>
  <c r="BC37" i="2" s="1"/>
  <c r="DB9" i="2" s="1"/>
  <c r="BB11" i="2"/>
  <c r="BB37" i="2" s="1"/>
  <c r="BA11" i="2"/>
  <c r="BA37" i="2" s="1"/>
  <c r="DA9" i="2" s="1"/>
  <c r="AZ11" i="2"/>
  <c r="AZ37" i="2" s="1"/>
  <c r="CZ9" i="2" s="1"/>
  <c r="AY11" i="2"/>
  <c r="AY37" i="2" s="1"/>
  <c r="AX11" i="2"/>
  <c r="AX37" i="2" s="1"/>
  <c r="AW11" i="2"/>
  <c r="AW37" i="2" s="1"/>
  <c r="AV11" i="2"/>
  <c r="AV37" i="2" s="1"/>
  <c r="AU11" i="2"/>
  <c r="AU37" i="2" s="1"/>
  <c r="AT11" i="2"/>
  <c r="AT37" i="2" s="1"/>
  <c r="AS11" i="2"/>
  <c r="AS37" i="2" s="1"/>
  <c r="CW9" i="2" s="1"/>
  <c r="AR11" i="2"/>
  <c r="AR37" i="2" s="1"/>
  <c r="AQ11" i="2"/>
  <c r="AQ37" i="2" s="1"/>
  <c r="AP11" i="2"/>
  <c r="AP37" i="2" s="1"/>
  <c r="AO11" i="2"/>
  <c r="AO37" i="2" s="1"/>
  <c r="CU9" i="2" s="1"/>
  <c r="AN11" i="2"/>
  <c r="AN37" i="2" s="1"/>
  <c r="CT9" i="2" s="1"/>
  <c r="AM11" i="2"/>
  <c r="AM37" i="2" s="1"/>
  <c r="AL11" i="2"/>
  <c r="AL37" i="2" s="1"/>
  <c r="AK11" i="2"/>
  <c r="AK37" i="2" s="1"/>
  <c r="AJ11" i="2"/>
  <c r="AJ37" i="2" s="1"/>
  <c r="AI11" i="2"/>
  <c r="AI37" i="2" s="1"/>
  <c r="AH11" i="2"/>
  <c r="AH37" i="2" s="1"/>
  <c r="AG11" i="2"/>
  <c r="AG37" i="2" s="1"/>
  <c r="AF11" i="2"/>
  <c r="AF37" i="2" s="1"/>
  <c r="AE11" i="2"/>
  <c r="AE37" i="2" s="1"/>
  <c r="AD11" i="2"/>
  <c r="AD37" i="2" s="1"/>
  <c r="AC11" i="2"/>
  <c r="AC37" i="2" s="1"/>
  <c r="CO9" i="2" s="1"/>
  <c r="DS10" i="2"/>
  <c r="DO10" i="2"/>
  <c r="DI10" i="2"/>
  <c r="DH10" i="2"/>
  <c r="DG10" i="2"/>
  <c r="DC10" i="2"/>
  <c r="DA10" i="2"/>
  <c r="CW10" i="2"/>
  <c r="CU10" i="2"/>
  <c r="CL10" i="2"/>
  <c r="CL36" i="2" s="1"/>
  <c r="CK10" i="2"/>
  <c r="CK36" i="2" s="1"/>
  <c r="CJ10" i="2"/>
  <c r="CJ36" i="2" s="1"/>
  <c r="CI10" i="2"/>
  <c r="CI36" i="2" s="1"/>
  <c r="CH10" i="2"/>
  <c r="CH36" i="2" s="1"/>
  <c r="CG10" i="2"/>
  <c r="CG36" i="2" s="1"/>
  <c r="CF10" i="2"/>
  <c r="CF36" i="2" s="1"/>
  <c r="CE10" i="2"/>
  <c r="CE36" i="2" s="1"/>
  <c r="CD10" i="2"/>
  <c r="CD36" i="2" s="1"/>
  <c r="CC10" i="2"/>
  <c r="CC36" i="2" s="1"/>
  <c r="DO8" i="2" s="1"/>
  <c r="CB10" i="2"/>
  <c r="CB36" i="2" s="1"/>
  <c r="CA10" i="2"/>
  <c r="CA36" i="2" s="1"/>
  <c r="BZ10" i="2"/>
  <c r="BZ36" i="2" s="1"/>
  <c r="DM8" i="2" s="1"/>
  <c r="BY10" i="2"/>
  <c r="BY36" i="2" s="1"/>
  <c r="BX10" i="2"/>
  <c r="BX36" i="2" s="1"/>
  <c r="BW10" i="2"/>
  <c r="BW36" i="2" s="1"/>
  <c r="DL8" i="2" s="1"/>
  <c r="BV10" i="2"/>
  <c r="BV36" i="2" s="1"/>
  <c r="DK8" i="2" s="1"/>
  <c r="BU10" i="2"/>
  <c r="BU36" i="2" s="1"/>
  <c r="BT10" i="2"/>
  <c r="BT36" i="2" s="1"/>
  <c r="DJ8" i="2" s="1"/>
  <c r="BS10" i="2"/>
  <c r="BS36" i="2" s="1"/>
  <c r="BR10" i="2"/>
  <c r="BR36" i="2" s="1"/>
  <c r="BQ10" i="2"/>
  <c r="BQ36" i="2" s="1"/>
  <c r="DI8" i="2" s="1"/>
  <c r="BP10" i="2"/>
  <c r="BP36" i="2" s="1"/>
  <c r="BO10" i="2"/>
  <c r="BO36" i="2" s="1"/>
  <c r="BN10" i="2"/>
  <c r="BN36" i="2" s="1"/>
  <c r="BM10" i="2"/>
  <c r="BM36" i="2" s="1"/>
  <c r="BL10" i="2"/>
  <c r="BL36" i="2" s="1"/>
  <c r="BK10" i="2"/>
  <c r="BK36" i="2" s="1"/>
  <c r="BJ10" i="2"/>
  <c r="BJ36" i="2" s="1"/>
  <c r="DE8" i="2" s="1"/>
  <c r="BI10" i="2"/>
  <c r="BI36" i="2" s="1"/>
  <c r="BH10" i="2"/>
  <c r="BH36" i="2" s="1"/>
  <c r="BG10" i="2"/>
  <c r="BG36" i="2" s="1"/>
  <c r="BF10" i="2"/>
  <c r="BF36" i="2" s="1"/>
  <c r="BE10" i="2"/>
  <c r="BE36" i="2" s="1"/>
  <c r="DC8" i="2" s="1"/>
  <c r="BD10" i="2"/>
  <c r="BD36" i="2" s="1"/>
  <c r="BC10" i="2"/>
  <c r="BC36" i="2" s="1"/>
  <c r="BB10" i="2"/>
  <c r="BB36" i="2" s="1"/>
  <c r="DA8" i="2" s="1"/>
  <c r="BA10" i="2"/>
  <c r="BA36" i="2" s="1"/>
  <c r="AZ10" i="2"/>
  <c r="AZ36" i="2" s="1"/>
  <c r="AY10" i="2"/>
  <c r="AY36" i="2" s="1"/>
  <c r="CZ8" i="2" s="1"/>
  <c r="AX10" i="2"/>
  <c r="AX36" i="2" s="1"/>
  <c r="AW10" i="2"/>
  <c r="AW36" i="2" s="1"/>
  <c r="AV10" i="2"/>
  <c r="AV36" i="2" s="1"/>
  <c r="AU10" i="2"/>
  <c r="AU36" i="2" s="1"/>
  <c r="AT10" i="2"/>
  <c r="AT36" i="2" s="1"/>
  <c r="AS10" i="2"/>
  <c r="AS36" i="2" s="1"/>
  <c r="CW8" i="2" s="1"/>
  <c r="AR10" i="2"/>
  <c r="AR36" i="2" s="1"/>
  <c r="AQ10" i="2"/>
  <c r="AQ36" i="2" s="1"/>
  <c r="AP10" i="2"/>
  <c r="AP36" i="2" s="1"/>
  <c r="AO10" i="2"/>
  <c r="AO36" i="2" s="1"/>
  <c r="AN10" i="2"/>
  <c r="AN36" i="2" s="1"/>
  <c r="AM10" i="2"/>
  <c r="AM36" i="2" s="1"/>
  <c r="CT8" i="2" s="1"/>
  <c r="AL10" i="2"/>
  <c r="AL36" i="2" s="1"/>
  <c r="AK10" i="2"/>
  <c r="AK36" i="2" s="1"/>
  <c r="AJ10" i="2"/>
  <c r="AJ36" i="2" s="1"/>
  <c r="AI10" i="2"/>
  <c r="AI36" i="2" s="1"/>
  <c r="CR8" i="2" s="1"/>
  <c r="AH10" i="2"/>
  <c r="AH36" i="2" s="1"/>
  <c r="AG10" i="2"/>
  <c r="AG36" i="2" s="1"/>
  <c r="AF10" i="2"/>
  <c r="AF36" i="2" s="1"/>
  <c r="AE10" i="2"/>
  <c r="AE36" i="2" s="1"/>
  <c r="AD10" i="2"/>
  <c r="AD36" i="2" s="1"/>
  <c r="AC10" i="2"/>
  <c r="AC36" i="2" s="1"/>
  <c r="DQ9" i="2"/>
  <c r="DP9" i="2"/>
  <c r="DN9" i="2"/>
  <c r="DF9" i="2"/>
  <c r="DE9" i="2"/>
  <c r="DD9" i="2"/>
  <c r="CX9" i="2"/>
  <c r="CR9" i="2"/>
  <c r="CP9" i="2"/>
  <c r="CL9" i="2"/>
  <c r="CL35" i="2" s="1"/>
  <c r="CK9" i="2"/>
  <c r="CK35" i="2" s="1"/>
  <c r="CJ9" i="2"/>
  <c r="CJ35" i="2" s="1"/>
  <c r="CI9" i="2"/>
  <c r="CI35" i="2" s="1"/>
  <c r="CH9" i="2"/>
  <c r="CH35" i="2" s="1"/>
  <c r="CG9" i="2"/>
  <c r="CG35" i="2" s="1"/>
  <c r="CF9" i="2"/>
  <c r="CF35" i="2" s="1"/>
  <c r="CE9" i="2"/>
  <c r="CE35" i="2" s="1"/>
  <c r="CD9" i="2"/>
  <c r="CD35" i="2" s="1"/>
  <c r="CC9" i="2"/>
  <c r="CC35" i="2" s="1"/>
  <c r="CB9" i="2"/>
  <c r="CB35" i="2" s="1"/>
  <c r="CA9" i="2"/>
  <c r="CA35" i="2" s="1"/>
  <c r="BZ9" i="2"/>
  <c r="BZ35" i="2" s="1"/>
  <c r="BY9" i="2"/>
  <c r="BY35" i="2" s="1"/>
  <c r="DM7" i="2" s="1"/>
  <c r="BX9" i="2"/>
  <c r="BX35" i="2" s="1"/>
  <c r="BW9" i="2"/>
  <c r="BW35" i="2" s="1"/>
  <c r="BV9" i="2"/>
  <c r="BV35" i="2" s="1"/>
  <c r="DK7" i="2" s="1"/>
  <c r="BU9" i="2"/>
  <c r="BU35" i="2" s="1"/>
  <c r="BT9" i="2"/>
  <c r="BT35" i="2" s="1"/>
  <c r="BS9" i="2"/>
  <c r="BS35" i="2" s="1"/>
  <c r="BR9" i="2"/>
  <c r="BR35" i="2" s="1"/>
  <c r="BQ9" i="2"/>
  <c r="BQ35" i="2" s="1"/>
  <c r="BP9" i="2"/>
  <c r="BP35" i="2" s="1"/>
  <c r="BO9" i="2"/>
  <c r="BO35" i="2" s="1"/>
  <c r="BN9" i="2"/>
  <c r="BN35" i="2" s="1"/>
  <c r="BM9" i="2"/>
  <c r="BM35" i="2" s="1"/>
  <c r="DG7" i="2" s="1"/>
  <c r="BL9" i="2"/>
  <c r="BL35" i="2" s="1"/>
  <c r="BK9" i="2"/>
  <c r="BK35" i="2" s="1"/>
  <c r="DF7" i="2" s="1"/>
  <c r="BJ9" i="2"/>
  <c r="BJ35" i="2" s="1"/>
  <c r="DE7" i="2" s="1"/>
  <c r="BI9" i="2"/>
  <c r="BI35" i="2" s="1"/>
  <c r="BH9" i="2"/>
  <c r="BH35" i="2" s="1"/>
  <c r="BG9" i="2"/>
  <c r="BG35" i="2" s="1"/>
  <c r="BF9" i="2"/>
  <c r="BF35" i="2" s="1"/>
  <c r="BE9" i="2"/>
  <c r="BE35" i="2" s="1"/>
  <c r="BD9" i="2"/>
  <c r="BD35" i="2" s="1"/>
  <c r="BC9" i="2"/>
  <c r="BC35" i="2" s="1"/>
  <c r="BB9" i="2"/>
  <c r="BB35" i="2" s="1"/>
  <c r="BA9" i="2"/>
  <c r="BA35" i="2" s="1"/>
  <c r="DA7" i="2" s="1"/>
  <c r="AZ9" i="2"/>
  <c r="AZ35" i="2" s="1"/>
  <c r="AY9" i="2"/>
  <c r="AY35" i="2" s="1"/>
  <c r="AX9" i="2"/>
  <c r="AX35" i="2" s="1"/>
  <c r="AW9" i="2"/>
  <c r="AW35" i="2" s="1"/>
  <c r="AV9" i="2"/>
  <c r="AV35" i="2" s="1"/>
  <c r="AU9" i="2"/>
  <c r="AU35" i="2" s="1"/>
  <c r="AT9" i="2"/>
  <c r="AT35" i="2" s="1"/>
  <c r="AS9" i="2"/>
  <c r="AS35" i="2" s="1"/>
  <c r="AR9" i="2"/>
  <c r="AR35" i="2" s="1"/>
  <c r="AQ9" i="2"/>
  <c r="AQ35" i="2" s="1"/>
  <c r="AP9" i="2"/>
  <c r="AP35" i="2" s="1"/>
  <c r="AO9" i="2"/>
  <c r="AO35" i="2" s="1"/>
  <c r="CU7" i="2" s="1"/>
  <c r="AN9" i="2"/>
  <c r="AN35" i="2" s="1"/>
  <c r="AM9" i="2"/>
  <c r="AM35" i="2" s="1"/>
  <c r="CT7" i="2" s="1"/>
  <c r="AL9" i="2"/>
  <c r="AL35" i="2" s="1"/>
  <c r="AK9" i="2"/>
  <c r="AK35" i="2" s="1"/>
  <c r="AJ9" i="2"/>
  <c r="AJ35" i="2" s="1"/>
  <c r="AI9" i="2"/>
  <c r="AI35" i="2" s="1"/>
  <c r="AH9" i="2"/>
  <c r="AH35" i="2" s="1"/>
  <c r="AG9" i="2"/>
  <c r="AG35" i="2" s="1"/>
  <c r="AF9" i="2"/>
  <c r="AF35" i="2" s="1"/>
  <c r="AE9" i="2"/>
  <c r="AE35" i="2" s="1"/>
  <c r="AD9" i="2"/>
  <c r="AD35" i="2" s="1"/>
  <c r="AC9" i="2"/>
  <c r="AC35" i="2" s="1"/>
  <c r="CO7" i="2" s="1"/>
  <c r="DQ8" i="2"/>
  <c r="DN8" i="2"/>
  <c r="DH8" i="2"/>
  <c r="DG8" i="2"/>
  <c r="DF8" i="2"/>
  <c r="DB8" i="2"/>
  <c r="CX8" i="2"/>
  <c r="CU8" i="2"/>
  <c r="CP8" i="2"/>
  <c r="CO8" i="2"/>
  <c r="CL8" i="2"/>
  <c r="CL34" i="2" s="1"/>
  <c r="CK8" i="2"/>
  <c r="CK34" i="2" s="1"/>
  <c r="CJ8" i="2"/>
  <c r="CJ34" i="2" s="1"/>
  <c r="CI8" i="2"/>
  <c r="CI34" i="2" s="1"/>
  <c r="CH8" i="2"/>
  <c r="CH34" i="2" s="1"/>
  <c r="CG8" i="2"/>
  <c r="CG34" i="2" s="1"/>
  <c r="CF8" i="2"/>
  <c r="CF34" i="2" s="1"/>
  <c r="CE8" i="2"/>
  <c r="CE34" i="2" s="1"/>
  <c r="CD8" i="2"/>
  <c r="CD34" i="2" s="1"/>
  <c r="CC8" i="2"/>
  <c r="CC34" i="2" s="1"/>
  <c r="CB8" i="2"/>
  <c r="CB34" i="2" s="1"/>
  <c r="CA8" i="2"/>
  <c r="CA34" i="2" s="1"/>
  <c r="DN6" i="2" s="1"/>
  <c r="BZ8" i="2"/>
  <c r="BZ34" i="2" s="1"/>
  <c r="DM6" i="2" s="1"/>
  <c r="BY8" i="2"/>
  <c r="BY34" i="2" s="1"/>
  <c r="BX8" i="2"/>
  <c r="BX34" i="2" s="1"/>
  <c r="BW8" i="2"/>
  <c r="BW34" i="2" s="1"/>
  <c r="BV8" i="2"/>
  <c r="BV34" i="2" s="1"/>
  <c r="BU8" i="2"/>
  <c r="BU34" i="2" s="1"/>
  <c r="DK6" i="2" s="1"/>
  <c r="BT8" i="2"/>
  <c r="BT34" i="2" s="1"/>
  <c r="BS8" i="2"/>
  <c r="BS34" i="2" s="1"/>
  <c r="DJ6" i="2" s="1"/>
  <c r="BR8" i="2"/>
  <c r="BR34" i="2" s="1"/>
  <c r="BQ8" i="2"/>
  <c r="BQ34" i="2" s="1"/>
  <c r="BP8" i="2"/>
  <c r="BP34" i="2" s="1"/>
  <c r="BO8" i="2"/>
  <c r="BO34" i="2" s="1"/>
  <c r="BN8" i="2"/>
  <c r="BN34" i="2" s="1"/>
  <c r="BM8" i="2"/>
  <c r="BM34" i="2" s="1"/>
  <c r="BL8" i="2"/>
  <c r="BL34" i="2" s="1"/>
  <c r="BK8" i="2"/>
  <c r="BK34" i="2" s="1"/>
  <c r="BJ8" i="2"/>
  <c r="BJ34" i="2" s="1"/>
  <c r="BI8" i="2"/>
  <c r="BI34" i="2" s="1"/>
  <c r="DE6" i="2" s="1"/>
  <c r="BH8" i="2"/>
  <c r="BH34" i="2" s="1"/>
  <c r="BG8" i="2"/>
  <c r="BG34" i="2" s="1"/>
  <c r="BF8" i="2"/>
  <c r="BF34" i="2" s="1"/>
  <c r="BE8" i="2"/>
  <c r="BE34" i="2" s="1"/>
  <c r="BD8" i="2"/>
  <c r="BD34" i="2" s="1"/>
  <c r="BC8" i="2"/>
  <c r="BC34" i="2" s="1"/>
  <c r="DB6" i="2" s="1"/>
  <c r="BB8" i="2"/>
  <c r="BB34" i="2" s="1"/>
  <c r="DA6" i="2" s="1"/>
  <c r="BA8" i="2"/>
  <c r="BA34" i="2" s="1"/>
  <c r="AZ8" i="2"/>
  <c r="AZ34" i="2" s="1"/>
  <c r="AY8" i="2"/>
  <c r="AY34" i="2" s="1"/>
  <c r="AX8" i="2"/>
  <c r="AX34" i="2" s="1"/>
  <c r="AW8" i="2"/>
  <c r="AW34" i="2" s="1"/>
  <c r="AV8" i="2"/>
  <c r="AV34" i="2" s="1"/>
  <c r="AU8" i="2"/>
  <c r="AU34" i="2" s="1"/>
  <c r="CX6" i="2" s="1"/>
  <c r="AT8" i="2"/>
  <c r="AT34" i="2" s="1"/>
  <c r="AS8" i="2"/>
  <c r="AS34" i="2" s="1"/>
  <c r="AR8" i="2"/>
  <c r="AR34" i="2" s="1"/>
  <c r="AQ8" i="2"/>
  <c r="AQ34" i="2" s="1"/>
  <c r="AP8" i="2"/>
  <c r="AP34" i="2" s="1"/>
  <c r="AO8" i="2"/>
  <c r="AO34" i="2" s="1"/>
  <c r="AN8" i="2"/>
  <c r="AN34" i="2" s="1"/>
  <c r="AM8" i="2"/>
  <c r="AM34" i="2" s="1"/>
  <c r="AL8" i="2"/>
  <c r="AL34" i="2" s="1"/>
  <c r="AK8" i="2"/>
  <c r="AK34" i="2" s="1"/>
  <c r="AJ8" i="2"/>
  <c r="AJ34" i="2" s="1"/>
  <c r="CR6" i="2" s="1"/>
  <c r="AI8" i="2"/>
  <c r="AI34" i="2" s="1"/>
  <c r="AH8" i="2"/>
  <c r="AH34" i="2" s="1"/>
  <c r="AG8" i="2"/>
  <c r="AG34" i="2" s="1"/>
  <c r="AF8" i="2"/>
  <c r="AF34" i="2" s="1"/>
  <c r="AE8" i="2"/>
  <c r="AE34" i="2" s="1"/>
  <c r="CP6" i="2" s="1"/>
  <c r="AD8" i="2"/>
  <c r="AD34" i="2" s="1"/>
  <c r="AC8" i="2"/>
  <c r="AC34" i="2" s="1"/>
  <c r="DP7" i="2"/>
  <c r="DO7" i="2"/>
  <c r="DL7" i="2"/>
  <c r="DJ7" i="2"/>
  <c r="DI7" i="2"/>
  <c r="DD7" i="2"/>
  <c r="DC7" i="2"/>
  <c r="CZ7" i="2"/>
  <c r="CX7" i="2"/>
  <c r="CW7" i="2"/>
  <c r="CR7" i="2"/>
  <c r="CL7" i="2"/>
  <c r="CL33" i="2" s="1"/>
  <c r="CK7" i="2"/>
  <c r="CK33" i="2" s="1"/>
  <c r="CJ7" i="2"/>
  <c r="CJ33" i="2" s="1"/>
  <c r="CI7" i="2"/>
  <c r="CI33" i="2" s="1"/>
  <c r="CH7" i="2"/>
  <c r="CH33" i="2" s="1"/>
  <c r="CG7" i="2"/>
  <c r="CG33" i="2" s="1"/>
  <c r="CF7" i="2"/>
  <c r="CF33" i="2" s="1"/>
  <c r="DP5" i="2" s="1"/>
  <c r="CE7" i="2"/>
  <c r="CE33" i="2" s="1"/>
  <c r="CD7" i="2"/>
  <c r="CD33" i="2" s="1"/>
  <c r="CC7" i="2"/>
  <c r="CC33" i="2" s="1"/>
  <c r="DO5" i="2" s="1"/>
  <c r="CB7" i="2"/>
  <c r="CB33" i="2" s="1"/>
  <c r="CA7" i="2"/>
  <c r="CA33" i="2" s="1"/>
  <c r="BZ7" i="2"/>
  <c r="BZ33" i="2" s="1"/>
  <c r="BY7" i="2"/>
  <c r="BY33" i="2" s="1"/>
  <c r="DM5" i="2" s="1"/>
  <c r="BX7" i="2"/>
  <c r="BX33" i="2" s="1"/>
  <c r="BW7" i="2"/>
  <c r="BW33" i="2" s="1"/>
  <c r="DL5" i="2" s="1"/>
  <c r="BV7" i="2"/>
  <c r="BV33" i="2" s="1"/>
  <c r="BU7" i="2"/>
  <c r="BU33" i="2" s="1"/>
  <c r="BT7" i="2"/>
  <c r="BT33" i="2" s="1"/>
  <c r="BS7" i="2"/>
  <c r="BS33" i="2" s="1"/>
  <c r="BR7" i="2"/>
  <c r="BR33" i="2" s="1"/>
  <c r="BQ7" i="2"/>
  <c r="BQ33" i="2" s="1"/>
  <c r="BP7" i="2"/>
  <c r="BP33" i="2" s="1"/>
  <c r="BO7" i="2"/>
  <c r="BO33" i="2" s="1"/>
  <c r="BN7" i="2"/>
  <c r="BN33" i="2" s="1"/>
  <c r="BM7" i="2"/>
  <c r="BM33" i="2" s="1"/>
  <c r="DG5" i="2" s="1"/>
  <c r="BL7" i="2"/>
  <c r="BL33" i="2" s="1"/>
  <c r="BK7" i="2"/>
  <c r="BK33" i="2" s="1"/>
  <c r="DF5" i="2" s="1"/>
  <c r="BJ7" i="2"/>
  <c r="BJ33" i="2" s="1"/>
  <c r="BI7" i="2"/>
  <c r="BI33" i="2" s="1"/>
  <c r="BH7" i="2"/>
  <c r="BH33" i="2" s="1"/>
  <c r="DD5" i="2" s="1"/>
  <c r="BG7" i="2"/>
  <c r="BG33" i="2" s="1"/>
  <c r="BF7" i="2"/>
  <c r="BF33" i="2" s="1"/>
  <c r="BE7" i="2"/>
  <c r="BE33" i="2" s="1"/>
  <c r="DC5" i="2" s="1"/>
  <c r="BD7" i="2"/>
  <c r="BD33" i="2" s="1"/>
  <c r="BC7" i="2"/>
  <c r="BC33" i="2" s="1"/>
  <c r="BB7" i="2"/>
  <c r="BB33" i="2" s="1"/>
  <c r="BA7" i="2"/>
  <c r="BA33" i="2" s="1"/>
  <c r="DA5" i="2" s="1"/>
  <c r="AZ7" i="2"/>
  <c r="AZ33" i="2" s="1"/>
  <c r="AY7" i="2"/>
  <c r="AY33" i="2" s="1"/>
  <c r="CZ5" i="2" s="1"/>
  <c r="AX7" i="2"/>
  <c r="AX33" i="2" s="1"/>
  <c r="AW7" i="2"/>
  <c r="AW33" i="2" s="1"/>
  <c r="AV7" i="2"/>
  <c r="AV33" i="2" s="1"/>
  <c r="AU7" i="2"/>
  <c r="AU33" i="2" s="1"/>
  <c r="AT7" i="2"/>
  <c r="AT33" i="2" s="1"/>
  <c r="AS7" i="2"/>
  <c r="AS33" i="2" s="1"/>
  <c r="AR7" i="2"/>
  <c r="AR33" i="2" s="1"/>
  <c r="AQ7" i="2"/>
  <c r="AQ33" i="2" s="1"/>
  <c r="AP7" i="2"/>
  <c r="AP33" i="2" s="1"/>
  <c r="AO7" i="2"/>
  <c r="AO33" i="2" s="1"/>
  <c r="CU5" i="2" s="1"/>
  <c r="AN7" i="2"/>
  <c r="AN33" i="2" s="1"/>
  <c r="AM7" i="2"/>
  <c r="AM33" i="2" s="1"/>
  <c r="AL7" i="2"/>
  <c r="AL33" i="2" s="1"/>
  <c r="AK7" i="2"/>
  <c r="AK33" i="2" s="1"/>
  <c r="AJ7" i="2"/>
  <c r="AJ33" i="2" s="1"/>
  <c r="CR5" i="2" s="1"/>
  <c r="AI7" i="2"/>
  <c r="AI33" i="2" s="1"/>
  <c r="AH7" i="2"/>
  <c r="AH33" i="2" s="1"/>
  <c r="AG7" i="2"/>
  <c r="AG33" i="2" s="1"/>
  <c r="AF7" i="2"/>
  <c r="AF33" i="2" s="1"/>
  <c r="AE7" i="2"/>
  <c r="AE33" i="2" s="1"/>
  <c r="CP5" i="2" s="1"/>
  <c r="AD7" i="2"/>
  <c r="AD33" i="2" s="1"/>
  <c r="AC7" i="2"/>
  <c r="AC33" i="2" s="1"/>
  <c r="CO5" i="2" s="1"/>
  <c r="DQ6" i="2"/>
  <c r="DP6" i="2"/>
  <c r="DO6" i="2"/>
  <c r="DL6" i="2"/>
  <c r="DI6" i="2"/>
  <c r="DH6" i="2"/>
  <c r="DG6" i="2"/>
  <c r="DF6" i="2"/>
  <c r="DD6" i="2"/>
  <c r="DC6" i="2"/>
  <c r="CZ6" i="2"/>
  <c r="CU6" i="2"/>
  <c r="CT6" i="2"/>
  <c r="CO6" i="2"/>
  <c r="CL6" i="2"/>
  <c r="CL32" i="2" s="1"/>
  <c r="CK6" i="2"/>
  <c r="CK32" i="2" s="1"/>
  <c r="CJ6" i="2"/>
  <c r="CJ32" i="2" s="1"/>
  <c r="CI6" i="2"/>
  <c r="CI32" i="2" s="1"/>
  <c r="CH6" i="2"/>
  <c r="CH32" i="2" s="1"/>
  <c r="CG6" i="2"/>
  <c r="CG32" i="2" s="1"/>
  <c r="CF6" i="2"/>
  <c r="CF32" i="2" s="1"/>
  <c r="CE6" i="2"/>
  <c r="CE32" i="2" s="1"/>
  <c r="CD6" i="2"/>
  <c r="CD32" i="2" s="1"/>
  <c r="CC6" i="2"/>
  <c r="CC32" i="2" s="1"/>
  <c r="CB6" i="2"/>
  <c r="CB32" i="2" s="1"/>
  <c r="CA6" i="2"/>
  <c r="CA32" i="2" s="1"/>
  <c r="BZ6" i="2"/>
  <c r="BZ32" i="2" s="1"/>
  <c r="BY6" i="2"/>
  <c r="BY32" i="2" s="1"/>
  <c r="DM4" i="2" s="1"/>
  <c r="BX6" i="2"/>
  <c r="BX32" i="2" s="1"/>
  <c r="BW6" i="2"/>
  <c r="BW32" i="2" s="1"/>
  <c r="BV6" i="2"/>
  <c r="BV32" i="2" s="1"/>
  <c r="BU6" i="2"/>
  <c r="BU32" i="2" s="1"/>
  <c r="DK4" i="2" s="1"/>
  <c r="BT6" i="2"/>
  <c r="BT32" i="2" s="1"/>
  <c r="BS6" i="2"/>
  <c r="BS32" i="2" s="1"/>
  <c r="DJ4" i="2" s="1"/>
  <c r="BR6" i="2"/>
  <c r="BR32" i="2" s="1"/>
  <c r="DI4" i="2" s="1"/>
  <c r="BQ6" i="2"/>
  <c r="BQ32" i="2" s="1"/>
  <c r="BP6" i="2"/>
  <c r="BP32" i="2" s="1"/>
  <c r="BO6" i="2"/>
  <c r="BO32" i="2" s="1"/>
  <c r="BN6" i="2"/>
  <c r="BN32" i="2" s="1"/>
  <c r="BM6" i="2"/>
  <c r="BM32" i="2" s="1"/>
  <c r="BL6" i="2"/>
  <c r="BL32" i="2" s="1"/>
  <c r="BK6" i="2"/>
  <c r="BK32" i="2" s="1"/>
  <c r="BJ6" i="2"/>
  <c r="BJ32" i="2" s="1"/>
  <c r="BI6" i="2"/>
  <c r="BI32" i="2" s="1"/>
  <c r="BH6" i="2"/>
  <c r="BH32" i="2" s="1"/>
  <c r="BG6" i="2"/>
  <c r="BG32" i="2" s="1"/>
  <c r="BF6" i="2"/>
  <c r="BF32" i="2" s="1"/>
  <c r="BE6" i="2"/>
  <c r="BE32" i="2" s="1"/>
  <c r="BD6" i="2"/>
  <c r="BD32" i="2" s="1"/>
  <c r="BC6" i="2"/>
  <c r="BC32" i="2" s="1"/>
  <c r="BB6" i="2"/>
  <c r="BB32" i="2" s="1"/>
  <c r="BA6" i="2"/>
  <c r="BA32" i="2" s="1"/>
  <c r="DA4" i="2" s="1"/>
  <c r="AZ6" i="2"/>
  <c r="AZ32" i="2" s="1"/>
  <c r="AY6" i="2"/>
  <c r="AY32" i="2" s="1"/>
  <c r="AX6" i="2"/>
  <c r="AX32" i="2" s="1"/>
  <c r="AW6" i="2"/>
  <c r="AW32" i="2" s="1"/>
  <c r="AV6" i="2"/>
  <c r="AV32" i="2" s="1"/>
  <c r="AU6" i="2"/>
  <c r="AU32" i="2" s="1"/>
  <c r="CX4" i="2" s="1"/>
  <c r="AT6" i="2"/>
  <c r="AT32" i="2" s="1"/>
  <c r="CW4" i="2" s="1"/>
  <c r="AS6" i="2"/>
  <c r="AS32" i="2" s="1"/>
  <c r="AR6" i="2"/>
  <c r="AR32" i="2" s="1"/>
  <c r="AQ6" i="2"/>
  <c r="AQ32" i="2" s="1"/>
  <c r="AP6" i="2"/>
  <c r="AP32" i="2" s="1"/>
  <c r="AO6" i="2"/>
  <c r="AO32" i="2" s="1"/>
  <c r="CU4" i="2" s="1"/>
  <c r="AN6" i="2"/>
  <c r="AN32" i="2" s="1"/>
  <c r="AM6" i="2"/>
  <c r="AM32" i="2" s="1"/>
  <c r="AL6" i="2"/>
  <c r="AL32" i="2" s="1"/>
  <c r="AK6" i="2"/>
  <c r="AK32" i="2" s="1"/>
  <c r="AJ6" i="2"/>
  <c r="AJ32" i="2" s="1"/>
  <c r="AI6" i="2"/>
  <c r="AI32" i="2" s="1"/>
  <c r="AH6" i="2"/>
  <c r="AH32" i="2" s="1"/>
  <c r="AG6" i="2"/>
  <c r="AG32" i="2" s="1"/>
  <c r="AF6" i="2"/>
  <c r="AF32" i="2" s="1"/>
  <c r="CP4" i="2" s="1"/>
  <c r="AE6" i="2"/>
  <c r="AE32" i="2" s="1"/>
  <c r="AD6" i="2"/>
  <c r="AD32" i="2" s="1"/>
  <c r="AC6" i="2"/>
  <c r="AC32" i="2" s="1"/>
  <c r="CO4" i="2" s="1"/>
  <c r="DQ5" i="2"/>
  <c r="DN5" i="2"/>
  <c r="DK5" i="2"/>
  <c r="DJ5" i="2"/>
  <c r="DI5" i="2"/>
  <c r="DH5" i="2"/>
  <c r="DB5" i="2"/>
  <c r="CX5" i="2"/>
  <c r="CW5" i="2"/>
  <c r="CT5" i="2"/>
  <c r="CL5" i="2"/>
  <c r="CL31" i="2" s="1"/>
  <c r="CK5" i="2"/>
  <c r="CK31" i="2" s="1"/>
  <c r="CJ5" i="2"/>
  <c r="CJ31" i="2" s="1"/>
  <c r="CI5" i="2"/>
  <c r="CI31" i="2" s="1"/>
  <c r="CH5" i="2"/>
  <c r="CH31" i="2" s="1"/>
  <c r="CG5" i="2"/>
  <c r="CG31" i="2" s="1"/>
  <c r="CF5" i="2"/>
  <c r="CF31" i="2" s="1"/>
  <c r="CE5" i="2"/>
  <c r="CE31" i="2" s="1"/>
  <c r="CD5" i="2"/>
  <c r="CD31" i="2" s="1"/>
  <c r="CC5" i="2"/>
  <c r="CC31" i="2" s="1"/>
  <c r="CB5" i="2"/>
  <c r="CB31" i="2" s="1"/>
  <c r="CA5" i="2"/>
  <c r="CA31" i="2" s="1"/>
  <c r="DN3" i="2" s="1"/>
  <c r="BZ5" i="2"/>
  <c r="BZ31" i="2" s="1"/>
  <c r="BY5" i="2"/>
  <c r="BY31" i="2" s="1"/>
  <c r="DM3" i="2" s="1"/>
  <c r="BX5" i="2"/>
  <c r="BX31" i="2" s="1"/>
  <c r="BW5" i="2"/>
  <c r="BW31" i="2" s="1"/>
  <c r="DL3" i="2" s="1"/>
  <c r="BV5" i="2"/>
  <c r="BV31" i="2" s="1"/>
  <c r="BU5" i="2"/>
  <c r="BU31" i="2" s="1"/>
  <c r="DK3" i="2" s="1"/>
  <c r="BT5" i="2"/>
  <c r="BT31" i="2" s="1"/>
  <c r="BS5" i="2"/>
  <c r="BS31" i="2" s="1"/>
  <c r="BR5" i="2"/>
  <c r="BR31" i="2" s="1"/>
  <c r="BQ5" i="2"/>
  <c r="BQ31" i="2" s="1"/>
  <c r="BP5" i="2"/>
  <c r="BP31" i="2" s="1"/>
  <c r="BO5" i="2"/>
  <c r="BO31" i="2" s="1"/>
  <c r="BN5" i="2"/>
  <c r="BN31" i="2" s="1"/>
  <c r="BM5" i="2"/>
  <c r="BM31" i="2" s="1"/>
  <c r="BL5" i="2"/>
  <c r="BL31" i="2" s="1"/>
  <c r="BK5" i="2"/>
  <c r="BK31" i="2" s="1"/>
  <c r="DF3" i="2" s="1"/>
  <c r="BJ5" i="2"/>
  <c r="BJ31" i="2" s="1"/>
  <c r="BI5" i="2"/>
  <c r="BI31" i="2" s="1"/>
  <c r="BH5" i="2"/>
  <c r="BH31" i="2" s="1"/>
  <c r="BG5" i="2"/>
  <c r="BG31" i="2" s="1"/>
  <c r="BF5" i="2"/>
  <c r="BF31" i="2" s="1"/>
  <c r="BE5" i="2"/>
  <c r="BE31" i="2" s="1"/>
  <c r="BD5" i="2"/>
  <c r="BD31" i="2" s="1"/>
  <c r="BC5" i="2"/>
  <c r="BC31" i="2" s="1"/>
  <c r="DB3" i="2" s="1"/>
  <c r="BB5" i="2"/>
  <c r="BB31" i="2" s="1"/>
  <c r="BA5" i="2"/>
  <c r="BA31" i="2" s="1"/>
  <c r="DA3" i="2" s="1"/>
  <c r="AZ5" i="2"/>
  <c r="AZ31" i="2" s="1"/>
  <c r="AY5" i="2"/>
  <c r="AY31" i="2" s="1"/>
  <c r="CZ3" i="2" s="1"/>
  <c r="AX5" i="2"/>
  <c r="AX31" i="2" s="1"/>
  <c r="AW5" i="2"/>
  <c r="AW31" i="2" s="1"/>
  <c r="AV5" i="2"/>
  <c r="AV31" i="2" s="1"/>
  <c r="AU5" i="2"/>
  <c r="AU31" i="2" s="1"/>
  <c r="AT5" i="2"/>
  <c r="AT31" i="2" s="1"/>
  <c r="AS5" i="2"/>
  <c r="AS31" i="2" s="1"/>
  <c r="CW3" i="2" s="1"/>
  <c r="AR5" i="2"/>
  <c r="AR31" i="2" s="1"/>
  <c r="AQ5" i="2"/>
  <c r="AQ31" i="2" s="1"/>
  <c r="AP5" i="2"/>
  <c r="AP31" i="2" s="1"/>
  <c r="AO5" i="2"/>
  <c r="AO31" i="2" s="1"/>
  <c r="AN5" i="2"/>
  <c r="AN31" i="2" s="1"/>
  <c r="AM5" i="2"/>
  <c r="AM31" i="2" s="1"/>
  <c r="CT3" i="2" s="1"/>
  <c r="AL5" i="2"/>
  <c r="AL31" i="2" s="1"/>
  <c r="AK5" i="2"/>
  <c r="AK31" i="2" s="1"/>
  <c r="AJ5" i="2"/>
  <c r="AJ31" i="2" s="1"/>
  <c r="AI5" i="2"/>
  <c r="AI31" i="2" s="1"/>
  <c r="AH5" i="2"/>
  <c r="AH31" i="2" s="1"/>
  <c r="AG5" i="2"/>
  <c r="AG31" i="2" s="1"/>
  <c r="AF5" i="2"/>
  <c r="AF31" i="2" s="1"/>
  <c r="AE5" i="2"/>
  <c r="AE31" i="2" s="1"/>
  <c r="AD5" i="2"/>
  <c r="AD31" i="2" s="1"/>
  <c r="AC5" i="2"/>
  <c r="AC31" i="2" s="1"/>
  <c r="DR4" i="2"/>
  <c r="DQ4" i="2"/>
  <c r="DP4" i="2"/>
  <c r="DO4" i="2"/>
  <c r="DN4" i="2"/>
  <c r="DL4" i="2"/>
  <c r="DG4" i="2"/>
  <c r="DF4" i="2"/>
  <c r="DE4" i="2"/>
  <c r="DD4" i="2"/>
  <c r="DC4" i="2"/>
  <c r="DB4" i="2"/>
  <c r="CZ4" i="2"/>
  <c r="CT4" i="2"/>
  <c r="CR4" i="2"/>
  <c r="DR3" i="2"/>
  <c r="DQ3" i="2"/>
  <c r="DP3" i="2"/>
  <c r="DO3" i="2"/>
  <c r="DI3" i="2"/>
  <c r="DH3" i="2"/>
  <c r="DG3" i="2"/>
  <c r="DE3" i="2"/>
  <c r="DD3" i="2"/>
  <c r="DC3" i="2"/>
  <c r="CU3" i="2"/>
  <c r="CP3" i="2"/>
  <c r="CO3" i="2"/>
  <c r="DS2" i="2"/>
  <c r="DS4" i="2" s="1"/>
  <c r="DR2" i="2"/>
  <c r="DQ2" i="2"/>
  <c r="DQ10" i="2" s="1"/>
  <c r="DR18" i="2" l="1"/>
  <c r="DR20" i="2"/>
  <c r="DR17" i="2"/>
  <c r="DR24" i="2"/>
  <c r="DR19" i="2"/>
  <c r="DR26" i="2"/>
  <c r="DR16" i="2"/>
  <c r="DR23" i="2"/>
  <c r="DR10" i="2"/>
  <c r="DR5" i="2"/>
  <c r="DR22" i="2"/>
  <c r="DR14" i="2"/>
  <c r="DR13" i="2"/>
  <c r="DR7" i="2"/>
  <c r="DR12" i="2"/>
  <c r="DR21" i="2"/>
  <c r="DR15" i="2"/>
  <c r="DR11" i="2"/>
  <c r="CP7" i="2"/>
  <c r="DB7" i="2"/>
  <c r="DH7" i="2"/>
  <c r="DN7" i="2"/>
  <c r="DD8" i="2"/>
  <c r="DP8" i="2"/>
  <c r="DE10" i="2"/>
  <c r="DK10" i="2"/>
  <c r="CW15" i="2"/>
  <c r="DI15" i="2"/>
  <c r="CO23" i="2"/>
  <c r="DA23" i="2"/>
  <c r="DG23" i="2"/>
  <c r="DM23" i="2"/>
  <c r="DS25" i="2"/>
  <c r="DS24" i="2"/>
  <c r="DS26" i="2"/>
  <c r="DS14" i="2"/>
  <c r="DS23" i="2"/>
  <c r="DS18" i="2"/>
  <c r="DS5" i="2"/>
  <c r="DS22" i="2"/>
  <c r="DS19" i="2"/>
  <c r="DS13" i="2"/>
  <c r="DS7" i="2"/>
  <c r="DS17" i="2"/>
  <c r="DS12" i="2"/>
  <c r="DS9" i="2"/>
  <c r="DS6" i="2"/>
  <c r="DS20" i="2"/>
  <c r="DS21" i="2"/>
  <c r="CO22" i="2"/>
  <c r="CU22" i="2"/>
  <c r="DA22" i="2"/>
  <c r="DH4" i="2"/>
  <c r="DR9" i="2"/>
  <c r="CR12" i="2"/>
  <c r="CW21" i="2"/>
  <c r="DC21" i="2"/>
  <c r="DO21" i="2"/>
  <c r="CR3" i="2"/>
  <c r="CX3" i="2"/>
  <c r="DJ3" i="2"/>
  <c r="DE5" i="2"/>
  <c r="CW6" i="2"/>
  <c r="DC13" i="2"/>
  <c r="DS16" i="2"/>
  <c r="DK16" i="2"/>
  <c r="DR8" i="2"/>
  <c r="DS11" i="2"/>
  <c r="DS15" i="2"/>
  <c r="DR6" i="2"/>
  <c r="DS8" i="2"/>
  <c r="CP19" i="2"/>
  <c r="DB19" i="2"/>
  <c r="DH19" i="2"/>
  <c r="DN19" i="2"/>
  <c r="CT20" i="2"/>
  <c r="DF20" i="2"/>
  <c r="DQ7" i="2"/>
  <c r="DQ13" i="2"/>
  <c r="DQ14" i="2"/>
  <c r="CX15" i="2"/>
  <c r="DD15" i="2"/>
  <c r="DJ15" i="2"/>
  <c r="DP15" i="2"/>
  <c r="DQ17" i="2"/>
  <c r="DF16" i="2"/>
  <c r="DJ23" i="2"/>
  <c r="DD17" i="2"/>
  <c r="DP17" i="2"/>
  <c r="DQ19" i="2"/>
  <c r="CP20" i="2"/>
  <c r="DH20" i="2"/>
  <c r="CT21" i="2"/>
  <c r="DC14" i="2"/>
  <c r="DI14" i="2"/>
  <c r="DO14" i="2"/>
  <c r="CW20" i="2"/>
  <c r="DC20" i="2"/>
  <c r="DI20" i="2"/>
  <c r="DO20" i="2"/>
  <c r="CO21" i="2"/>
  <c r="DA21" i="2"/>
  <c r="DM21" i="2"/>
  <c r="CR24" i="2"/>
  <c r="DQ23" i="2"/>
  <c r="DQ25" i="2"/>
  <c r="DQ22" i="2"/>
  <c r="DQ24" i="2"/>
  <c r="DQ12" i="2"/>
  <c r="DQ26" i="2"/>
  <c r="DQ21" i="2"/>
  <c r="DQ16" i="2"/>
  <c r="DH13" i="2"/>
  <c r="CP16" i="2"/>
  <c r="CZ23" i="2"/>
  <c r="DF23" i="2"/>
  <c r="DL23" i="2"/>
</calcChain>
</file>

<file path=xl/sharedStrings.xml><?xml version="1.0" encoding="utf-8"?>
<sst xmlns="http://schemas.openxmlformats.org/spreadsheetml/2006/main" count="1386" uniqueCount="269">
  <si>
    <t>Time (GMT)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</si>
  <si>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</si>
  <si>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</si>
  <si>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</si>
  <si>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</si>
  <si>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</si>
  <si>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</si>
  <si>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</si>
  <si>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</si>
  <si>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</si>
  <si>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</si>
  <si>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</si>
  <si>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</si>
  <si>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</si>
  <si>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</si>
  <si>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</si>
  <si>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</si>
  <si>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</si>
  <si>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</si>
  <si>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</si>
  <si>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</si>
  <si>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</si>
  <si>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</si>
  <si>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</si>
  <si>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</si>
  <si>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</si>
  <si>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</si>
  <si>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</si>
  <si>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</si>
  <si>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</si>
  <si>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</si>
  <si>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</si>
  <si>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</si>
  <si>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</si>
  <si>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</si>
  <si>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</si>
  <si>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</si>
  <si>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</si>
  <si>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</si>
  <si>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</si>
  <si>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</si>
  <si>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DATA ARAH DAN KECEPATAN ANGIN</t>
  </si>
  <si>
    <t>JAM</t>
  </si>
  <si>
    <t>TANGGAL</t>
  </si>
  <si>
    <t>Jam (gmt)</t>
  </si>
  <si>
    <t>Tgl</t>
  </si>
  <si>
    <t>00</t>
  </si>
  <si>
    <t>06003</t>
  </si>
  <si>
    <t>08007</t>
  </si>
  <si>
    <t>17003</t>
  </si>
  <si>
    <t>33004</t>
  </si>
  <si>
    <t>22001</t>
  </si>
  <si>
    <t>dd</t>
  </si>
  <si>
    <t>ff</t>
  </si>
  <si>
    <t>08004</t>
  </si>
  <si>
    <t>06006</t>
  </si>
  <si>
    <t>26004</t>
  </si>
  <si>
    <t>31004</t>
  </si>
  <si>
    <t>36</t>
  </si>
  <si>
    <t>33</t>
  </si>
  <si>
    <t>07005</t>
  </si>
  <si>
    <t>06004</t>
  </si>
  <si>
    <t>28007</t>
  </si>
  <si>
    <t>31007</t>
  </si>
  <si>
    <t>33006</t>
  </si>
  <si>
    <t>33009</t>
  </si>
  <si>
    <t>33013</t>
  </si>
  <si>
    <t>31009</t>
  </si>
  <si>
    <t>32</t>
  </si>
  <si>
    <t>29010</t>
  </si>
  <si>
    <t>33008</t>
  </si>
  <si>
    <t>32006</t>
  </si>
  <si>
    <t>32015</t>
  </si>
  <si>
    <t>32009</t>
  </si>
  <si>
    <t>00000</t>
  </si>
  <si>
    <t>21008</t>
  </si>
  <si>
    <t>33011</t>
  </si>
  <si>
    <t>31010</t>
  </si>
  <si>
    <t>10004</t>
  </si>
  <si>
    <t>14007</t>
  </si>
  <si>
    <t>33017</t>
  </si>
  <si>
    <t>35</t>
  </si>
  <si>
    <t>01005</t>
  </si>
  <si>
    <t>34013</t>
  </si>
  <si>
    <t>30008</t>
  </si>
  <si>
    <t>10003</t>
  </si>
  <si>
    <t>14003</t>
  </si>
  <si>
    <t>31008</t>
  </si>
  <si>
    <t>34</t>
  </si>
  <si>
    <t>11004</t>
  </si>
  <si>
    <t>12009</t>
  </si>
  <si>
    <t>31005</t>
  </si>
  <si>
    <t>13003</t>
  </si>
  <si>
    <t>12007</t>
  </si>
  <si>
    <t>35002</t>
  </si>
  <si>
    <t>14004</t>
  </si>
  <si>
    <t>33002</t>
  </si>
  <si>
    <t>07003</t>
  </si>
  <si>
    <t>12002</t>
  </si>
  <si>
    <t>25003</t>
  </si>
  <si>
    <t>05003</t>
  </si>
  <si>
    <t>18002</t>
  </si>
  <si>
    <t>28002</t>
  </si>
  <si>
    <t>19001</t>
  </si>
  <si>
    <t>17002</t>
  </si>
  <si>
    <t>12001</t>
  </si>
  <si>
    <t>20003</t>
  </si>
  <si>
    <t>26002</t>
  </si>
  <si>
    <t>24002</t>
  </si>
  <si>
    <t>20002</t>
  </si>
  <si>
    <t>25002</t>
  </si>
  <si>
    <t>16001</t>
  </si>
  <si>
    <t>21003</t>
  </si>
  <si>
    <t>32003</t>
  </si>
  <si>
    <t>23002</t>
  </si>
  <si>
    <t>15001</t>
  </si>
  <si>
    <t>18003</t>
  </si>
  <si>
    <t>34005</t>
  </si>
  <si>
    <t>33003</t>
  </si>
  <si>
    <t>14001</t>
  </si>
  <si>
    <t>09005</t>
  </si>
  <si>
    <t>29002</t>
  </si>
  <si>
    <t>34002</t>
  </si>
  <si>
    <t>22003</t>
  </si>
  <si>
    <t>07004</t>
  </si>
  <si>
    <t>13002</t>
  </si>
  <si>
    <t>24005</t>
  </si>
  <si>
    <t>03002</t>
  </si>
  <si>
    <t>34006</t>
  </si>
  <si>
    <t>AERODROME CLIMATOLOGICAL SUMMARY</t>
  </si>
  <si>
    <t>(  A C S  )</t>
  </si>
  <si>
    <t>Aerodrome</t>
  </si>
  <si>
    <t>:</t>
  </si>
  <si>
    <t>Stasiun Meteorologi Tanah Merah</t>
  </si>
  <si>
    <t>*1</t>
  </si>
  <si>
    <t>Month</t>
  </si>
  <si>
    <t>Januari</t>
  </si>
  <si>
    <t>*2</t>
  </si>
  <si>
    <t>Periode of record</t>
  </si>
  <si>
    <t>2026 - 2026</t>
  </si>
  <si>
    <t>*3</t>
  </si>
  <si>
    <t>Latitude</t>
  </si>
  <si>
    <t>*4</t>
  </si>
  <si>
    <t>Longitude</t>
  </si>
  <si>
    <t>*5</t>
  </si>
  <si>
    <t>Elevation above MSL</t>
  </si>
  <si>
    <t>*6</t>
  </si>
  <si>
    <t>created by Moh. Syaeful Hadi, SP @2011</t>
  </si>
  <si>
    <t>El Tari Kupang Meteorological Station</t>
  </si>
  <si>
    <t>TABULAR FORM  MODEL A</t>
  </si>
  <si>
    <t>MONTH :</t>
  </si>
  <si>
    <t>AERODROME:</t>
  </si>
  <si>
    <t>PERIODE OF RECORD :</t>
  </si>
  <si>
    <t xml:space="preserve">TOTAL NUMBER OF OBSERVATION:    </t>
  </si>
  <si>
    <t>OBSERVATION TIME :</t>
  </si>
  <si>
    <t xml:space="preserve">LATITUDE   : </t>
  </si>
  <si>
    <t>LONGITUDE :</t>
  </si>
  <si>
    <t>ELEVATION ABOVE MSL  :</t>
  </si>
  <si>
    <t xml:space="preserve">FREQUENCIES (PER CENT) OF THE OCCURANCE OF RUNWAY VISUAL RANGE/VISIBILITY (BOTH IN METRES) AND/OR HEIGHT OF THE BASE OF THE LOWEST CLOUD LAYER (IN FEETS) OF BKN OR OVC EXTENT BELOW SPECIFIED VALUES AT SPECIFIED TIMES </t>
  </si>
  <si>
    <t>RVR/Hs</t>
  </si>
  <si>
    <t>Vis/Hs</t>
  </si>
  <si>
    <t>&lt;100</t>
  </si>
  <si>
    <t>&lt;200</t>
  </si>
  <si>
    <t>&lt;400</t>
  </si>
  <si>
    <t>&lt;800</t>
  </si>
  <si>
    <t>&lt;1500</t>
  </si>
  <si>
    <t>&lt;3000</t>
  </si>
  <si>
    <t>&lt;5000</t>
  </si>
  <si>
    <t>&lt;8000</t>
  </si>
  <si>
    <t>-</t>
  </si>
  <si>
    <t>&lt;150</t>
  </si>
  <si>
    <t>&lt;300</t>
  </si>
  <si>
    <t>&lt;1000</t>
  </si>
  <si>
    <t>&lt;2000</t>
  </si>
  <si>
    <t>00.00</t>
  </si>
  <si>
    <t>01.00</t>
  </si>
  <si>
    <t>02.00</t>
  </si>
  <si>
    <t>03.00</t>
  </si>
  <si>
    <t>04.00</t>
  </si>
  <si>
    <t>05.00</t>
  </si>
  <si>
    <t>06.00</t>
  </si>
  <si>
    <t>07.00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</si>
  <si>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</si>
  <si>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</si>
  <si>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</si>
  <si>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</si>
  <si>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</si>
  <si>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</si>
  <si>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</si>
  <si>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</si>
  <si>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</si>
  <si>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</si>
  <si>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</si>
  <si>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</si>
  <si>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</si>
  <si>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</si>
  <si>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</si>
  <si>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</si>
  <si>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MEAN</t>
  </si>
  <si>
    <t xml:space="preserve">Remarks : </t>
  </si>
  <si>
    <t>TABULAR FORM  MODEL B</t>
  </si>
  <si>
    <t>ELEVATION ABOVE MSL:</t>
  </si>
  <si>
    <t>FREQUENCIES (PERCENT) OF VISIBILITY BELOW  SPECIFIED VALUES (IN METRES) AT SPECIFIED TIMES</t>
  </si>
  <si>
    <t>V  i  s i  b  i  l  i  t  y</t>
  </si>
  <si>
    <t>&lt;600</t>
  </si>
  <si>
    <t>&lt;1800</t>
  </si>
  <si>
    <t>MEAN (%)</t>
  </si>
  <si>
    <t>TABULAR FORM  MODEL C</t>
  </si>
  <si>
    <t>MONTH                                  :</t>
  </si>
  <si>
    <t xml:space="preserve">AERODROME:  </t>
  </si>
  <si>
    <t>PERIODE OF RECORD           :</t>
  </si>
  <si>
    <t xml:space="preserve">TOTAL NUMBER OF OBSERVATION  :  </t>
  </si>
  <si>
    <t>OBSERVATION TIME              :</t>
  </si>
  <si>
    <t xml:space="preserve">LATITUDE : </t>
  </si>
  <si>
    <t>LONGITUDE                           :</t>
  </si>
  <si>
    <t>ELEVATION ABOVE MSL       :</t>
  </si>
  <si>
    <t>FREQUENCIES (PERCENT) OF HEIGHT OF THE BASE (FEET) OF THE LOWEST CLOUD LAYER COVERING MORE THAN 4/8 OF THE SKY BELOW SPECIFIED VALUES  AT SPECIFIED TIMES</t>
  </si>
  <si>
    <t>Hs</t>
  </si>
  <si>
    <t>&lt;500</t>
  </si>
  <si>
    <t>TABULAR FORM  MODEL D</t>
  </si>
  <si>
    <t xml:space="preserve">MONTH </t>
  </si>
  <si>
    <t>AERODROME :</t>
  </si>
  <si>
    <t xml:space="preserve">PERIODE OF RECORD </t>
  </si>
  <si>
    <t xml:space="preserve">TOTAL NUMBER OF OBSERVATION  :    </t>
  </si>
  <si>
    <t>OBSERVATION TIME</t>
  </si>
  <si>
    <t xml:space="preserve">LATITUDE                                          : </t>
  </si>
  <si>
    <t xml:space="preserve">LONGITUDE </t>
  </si>
  <si>
    <t>FREQUENCIES (PERCENT) OF CONCURRENT WIND DIRECTION (IN 30° SECTOR) AND SPEED (IN KNOT) WITHIN SPECIFIED RANGES</t>
  </si>
  <si>
    <t>Wind Direction</t>
  </si>
  <si>
    <t>Wind Speed</t>
  </si>
  <si>
    <t>1 - 5</t>
  </si>
  <si>
    <t>6 - 10</t>
  </si>
  <si>
    <t>11 - 15</t>
  </si>
  <si>
    <t>16 - 20</t>
  </si>
  <si>
    <t>21 - 25</t>
  </si>
  <si>
    <t>26 - 30</t>
  </si>
  <si>
    <t>31 - 35</t>
  </si>
  <si>
    <t>36 - 40</t>
  </si>
  <si>
    <t>41 - 45</t>
  </si>
  <si>
    <t>&gt;45</t>
  </si>
  <si>
    <t>Total</t>
  </si>
  <si>
    <t>Calm Variabel</t>
  </si>
  <si>
    <t>35-36-01</t>
  </si>
  <si>
    <t>02-03-04</t>
  </si>
  <si>
    <t>05-06-07</t>
  </si>
  <si>
    <t>08-09-10</t>
  </si>
  <si>
    <t>11-12-13</t>
  </si>
  <si>
    <t>14-15-16</t>
  </si>
  <si>
    <t>17-18-19</t>
  </si>
  <si>
    <t>20-21-22</t>
  </si>
  <si>
    <t>23-24-25</t>
  </si>
  <si>
    <t>26-27-28</t>
  </si>
  <si>
    <t>29-30-31</t>
  </si>
  <si>
    <t>32-33-34</t>
  </si>
  <si>
    <t>TABULAR FORM  MODEL E</t>
  </si>
  <si>
    <t>AERODROME   :</t>
  </si>
  <si>
    <t>PERIODE OF RECORD                   :</t>
  </si>
  <si>
    <t xml:space="preserve">LATITUDE      : </t>
  </si>
  <si>
    <t>ELEVATION ABOVE MSL             :</t>
  </si>
  <si>
    <t>FREQUENCIES (PERCENT) OF SURFACE TEMPERATURE (SCREEN) IN SPECIFIED RANGES OF 5° C AT SPECIFIED TIMES</t>
  </si>
  <si>
    <t>TEMPERATURE</t>
  </si>
  <si>
    <t>0   -  5</t>
  </si>
  <si>
    <t>5  -  10</t>
  </si>
  <si>
    <t>10 - 15</t>
  </si>
  <si>
    <t>15 - 20</t>
  </si>
  <si>
    <t>20 - 25</t>
  </si>
  <si>
    <t>25 - 30</t>
  </si>
  <si>
    <t>30 - 35</t>
  </si>
  <si>
    <t>&gt;35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</si>
</sst>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0000FF"/>
      <name val="Arial"/>
    </font>
    <font>
      <sz val="10"/>
      <color theme="1"/>
      <name val="Calibri"/>
    </font>
    <font>
      <b/>
      <sz val="20"/>
      <color theme="1"/>
      <name val="Arial"/>
    </font>
    <font>
      <sz val="12"/>
      <color theme="1"/>
      <name val="Arial"/>
    </font>
    <font>
      <b/>
      <sz val="14"/>
      <color theme="1"/>
      <name val="Arial"/>
    </font>
    <font>
      <sz val="14"/>
      <color rgb="FFFFFFFF"/>
      <name val="Comic Sans MS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CDCDC"/>
        <bgColor rgb="FFDCDCD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1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11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6" fillId="0" borderId="4" xfId="0" applyFont="1" applyBorder="1" applyAlignment="1">
      <alignment horizontal="center"/>
    </xf>
    <xf numFmtId="0" fontId="1" fillId="0" borderId="0" xfId="0" applyFont="1"/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4" xfId="0" quotePrefix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1" fillId="0" borderId="13" xfId="0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18" xfId="0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/>
    <xf numFmtId="0" fontId="2" fillId="0" borderId="0" xfId="0" applyFont="1"/>
    <xf numFmtId="0" fontId="1" fillId="0" borderId="0" xfId="0" applyFont="1" applyAlignment="1">
      <alignment horizontal="left"/>
    </xf>
    <xf numFmtId="0" fontId="14" fillId="0" borderId="0" xfId="0" applyFont="1"/>
    <xf numFmtId="0" fontId="5" fillId="0" borderId="6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6" fillId="0" borderId="0" xfId="0" applyFont="1"/>
    <xf numFmtId="1" fontId="6" fillId="0" borderId="6" xfId="0" applyNumberFormat="1" applyFont="1" applyBorder="1" applyAlignment="1">
      <alignment horizontal="center" vertical="top" shrinkToFit="1"/>
    </xf>
    <xf numFmtId="2" fontId="6" fillId="0" borderId="6" xfId="0" applyNumberFormat="1" applyFont="1" applyBorder="1" applyAlignment="1">
      <alignment horizontal="center" vertical="top" shrinkToFit="1"/>
    </xf>
    <xf numFmtId="164" fontId="6" fillId="0" borderId="6" xfId="0" applyNumberFormat="1" applyFont="1" applyBorder="1" applyAlignment="1">
      <alignment horizontal="center" vertical="top" shrinkToFit="1"/>
    </xf>
    <xf numFmtId="0" fontId="1" fillId="0" borderId="6" xfId="0" applyFont="1" applyBorder="1" applyAlignment="1">
      <alignment horizontal="center" vertical="top" wrapText="1"/>
    </xf>
    <xf numFmtId="1" fontId="6" fillId="0" borderId="6" xfId="0" applyNumberFormat="1" applyFont="1" applyBorder="1" applyAlignment="1">
      <alignment horizontal="center" vertical="top" shrinkToFit="1"/>
    </xf>
    <xf numFmtId="0" fontId="5" fillId="0" borderId="0" xfId="0" applyFont="1" applyAlignment="1">
      <alignment wrapText="1"/>
    </xf>
    <xf numFmtId="0" fontId="5" fillId="0" borderId="31" xfId="0" applyFont="1" applyBorder="1" applyAlignment="1">
      <alignment horizontal="center"/>
    </xf>
    <xf numFmtId="49" fontId="5" fillId="0" borderId="31" xfId="0" applyNumberFormat="1" applyFont="1" applyBorder="1" applyAlignment="1">
      <alignment horizontal="center"/>
    </xf>
    <xf numFmtId="49" fontId="5" fillId="0" borderId="32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1" fontId="6" fillId="0" borderId="6" xfId="0" applyNumberFormat="1" applyFont="1" applyBorder="1" applyAlignment="1">
      <alignment horizontal="right" vertical="top"/>
    </xf>
    <xf numFmtId="1" fontId="6" fillId="0" borderId="6" xfId="0" applyNumberFormat="1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top"/>
    </xf>
    <xf numFmtId="0" fontId="1" fillId="0" borderId="34" xfId="0" applyFont="1" applyBorder="1" applyAlignment="1">
      <alignment horizontal="center"/>
    </xf>
    <xf numFmtId="2" fontId="6" fillId="0" borderId="6" xfId="0" applyNumberFormat="1" applyFont="1" applyBorder="1" applyAlignment="1">
      <alignment horizontal="right" vertical="top"/>
    </xf>
    <xf numFmtId="164" fontId="6" fillId="0" borderId="6" xfId="0" applyNumberFormat="1" applyFont="1" applyBorder="1" applyAlignment="1">
      <alignment horizontal="center" vertical="top"/>
    </xf>
    <xf numFmtId="0" fontId="1" fillId="0" borderId="3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5" fillId="0" borderId="31" xfId="0" quotePrefix="1" applyFont="1" applyBorder="1" applyAlignment="1">
      <alignment horizontal="center"/>
    </xf>
    <xf numFmtId="0" fontId="5" fillId="0" borderId="32" xfId="0" applyFont="1" applyBorder="1"/>
    <xf numFmtId="0" fontId="1" fillId="0" borderId="33" xfId="0" applyFont="1" applyBorder="1" applyAlignment="1">
      <alignment horizontal="center" wrapText="1"/>
    </xf>
    <xf numFmtId="0" fontId="6" fillId="3" borderId="6" xfId="0" applyFont="1" applyFill="1" applyBorder="1" applyAlignment="1">
      <alignment horizontal="left"/>
    </xf>
    <xf numFmtId="164" fontId="1" fillId="0" borderId="0" xfId="0" applyNumberFormat="1" applyFont="1"/>
    <xf numFmtId="0" fontId="1" fillId="0" borderId="34" xfId="0" quotePrefix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6" fontId="5" fillId="0" borderId="31" xfId="0" quotePrefix="1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3" fillId="0" borderId="15" xfId="0" applyFont="1" applyBorder="1"/>
    <xf numFmtId="0" fontId="10" fillId="0" borderId="16" xfId="0" applyFont="1" applyBorder="1" applyAlignment="1">
      <alignment horizontal="center"/>
    </xf>
    <xf numFmtId="0" fontId="0" fillId="0" borderId="0" xfId="0" applyFont="1" applyAlignment="1"/>
    <xf numFmtId="0" fontId="3" fillId="0" borderId="17" xfId="0" applyFont="1" applyBorder="1"/>
    <xf numFmtId="0" fontId="12" fillId="0" borderId="0" xfId="0" applyFont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3" fillId="0" borderId="22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1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3" xfId="0" applyFont="1" applyBorder="1"/>
    <xf numFmtId="0" fontId="3" fillId="0" borderId="13" xfId="0" applyFont="1" applyBorder="1"/>
    <xf numFmtId="0" fontId="3" fillId="0" borderId="10" xfId="0" applyFont="1" applyBorder="1"/>
    <xf numFmtId="0" fontId="5" fillId="0" borderId="14" xfId="0" applyFont="1" applyBorder="1" applyAlignment="1">
      <alignment horizontal="center" wrapText="1"/>
    </xf>
    <xf numFmtId="0" fontId="3" fillId="0" borderId="26" xfId="0" applyFont="1" applyBorder="1"/>
    <xf numFmtId="0" fontId="3" fillId="0" borderId="27" xfId="0" applyFont="1" applyBorder="1"/>
    <xf numFmtId="0" fontId="5" fillId="0" borderId="28" xfId="0" applyFont="1" applyBorder="1" applyAlignment="1">
      <alignment horizontal="center" wrapText="1"/>
    </xf>
    <xf numFmtId="0" fontId="3" fillId="0" borderId="30" xfId="0" applyFont="1" applyBorder="1"/>
    <xf numFmtId="0" fontId="3" fillId="0" borderId="29" xfId="0" applyFont="1" applyBorder="1"/>
    <xf numFmtId="0" fontId="5" fillId="0" borderId="0" xfId="0" applyFont="1" applyAlignment="1">
      <alignment horizontal="center" wrapText="1"/>
    </xf>
    <xf numFmtId="0" fontId="5" fillId="0" borderId="37" xfId="0" applyFont="1" applyBorder="1" applyAlignment="1">
      <alignment horizontal="center" wrapText="1"/>
    </xf>
    <xf numFmtId="0" fontId="5" fillId="0" borderId="38" xfId="0" applyFont="1" applyBorder="1" applyAlignment="1">
      <alignment horizontal="center" wrapText="1"/>
    </xf>
    <xf numFmtId="0" fontId="3" fillId="0" borderId="39" xfId="0" applyFont="1" applyBorder="1"/>
    <xf numFmtId="0" fontId="3" fillId="0" borderId="4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314325</xdr:colOff>
      <xdr:row>3</xdr:row>
      <xdr:rowOff>104775</xdr:rowOff>
    </xdr:from>
    <xdr:ext cx="209550" cy="400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1784513"/>
          <a:ext cx="200025" cy="3990975"/>
        </a:xfrm>
        <a:prstGeom prst="rect">
          <a:avLst/>
        </a:prstGeom>
        <a:solidFill>
          <a:srgbClr val="FF0000"/>
        </a:solidFill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575" tIns="27425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Arial"/>
            <a:buNone/>
          </a:pPr>
          <a:r>
            <a:rPr lang="en-US" sz="1200" b="1" i="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S TOP</a:t>
          </a:r>
          <a:endParaRPr sz="1200" b="1" i="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Arial"/>
            <a:buNone/>
          </a:pPr>
          <a:r>
            <a:rPr lang="en-US" sz="1200" b="1" i="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-</a:t>
          </a:r>
          <a:endParaRPr sz="1200" b="1" i="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Arial"/>
            <a:buNone/>
          </a:pPr>
          <a:r>
            <a:rPr lang="en-US" sz="1200" b="1" i="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BA T AS </a:t>
          </a:r>
          <a:endParaRPr sz="1200" b="1" i="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Clr>
              <a:srgbClr val="FFFFFF"/>
            </a:buClr>
            <a:buSzPts val="1200"/>
            <a:buFont typeface="Arial"/>
            <a:buNone/>
          </a:pPr>
          <a:r>
            <a:rPr lang="en-US" sz="1200" b="1" i="0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 EN T RY</a:t>
          </a:r>
          <a:endParaRPr sz="1200" b="1" i="0" strike="noStrike">
            <a:solidFill>
              <a:srgbClr val="FFFFFF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6</xdr:row>
      <xdr:rowOff>38100</xdr:rowOff>
    </xdr:from>
    <xdr:ext cx="4562475" cy="2362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267"/>
  <sheetViews>
    <sheetView workbookViewId="0"/>
  </sheetViews>
  <sheetFormatPr defaultColWidth="12.6640625" defaultRowHeight="15" customHeight="1" x14ac:dyDescent="0.25"/>
  <cols>
    <col min="1" max="1" width="4" customWidth="1"/>
    <col min="2" max="2" width="3" customWidth="1"/>
    <col min="3" max="26" width="4" customWidth="1"/>
    <col min="27" max="27" width="9" customWidth="1"/>
    <col min="28" max="91" width="3.6640625" hidden="1" customWidth="1"/>
    <col min="92" max="123" width="9.109375" hidden="1" customWidth="1"/>
  </cols>
  <sheetData>
    <row r="1" spans="1:123" ht="12.75" customHeight="1" x14ac:dyDescent="0.25">
      <c r="A1" s="77" t="s">
        <v>41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9"/>
      <c r="CN1" s="80" t="s">
        <v>42</v>
      </c>
      <c r="CO1" s="81" t="s">
        <v>43</v>
      </c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6"/>
    </row>
    <row r="2" spans="1:123" ht="12.75" customHeight="1" x14ac:dyDescent="0.25">
      <c r="A2" s="82" t="s">
        <v>44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6"/>
      <c r="CN2" s="74"/>
      <c r="CO2" s="3" t="s">
        <v>32</v>
      </c>
      <c r="CP2" s="3" t="s">
        <v>33</v>
      </c>
      <c r="CQ2" s="3" t="s">
        <v>34</v>
      </c>
      <c r="CR2" s="3" t="s">
        <v>35</v>
      </c>
      <c r="CS2" s="3" t="s">
        <v>36</v>
      </c>
      <c r="CT2" s="3" t="s">
        <v>37</v>
      </c>
      <c r="CU2" s="3" t="s">
        <v>38</v>
      </c>
      <c r="CV2" s="3" t="s">
        <v>39</v>
      </c>
      <c r="CW2" s="3" t="s">
        <v>40</v>
      </c>
      <c r="CX2" s="3" t="s">
        <v>10</v>
      </c>
      <c r="CY2" s="3" t="s">
        <v>11</v>
      </c>
      <c r="CZ2" s="3" t="s">
        <v>12</v>
      </c>
      <c r="DA2" s="3" t="s">
        <v>13</v>
      </c>
      <c r="DB2" s="3" t="s">
        <v>14</v>
      </c>
      <c r="DC2" s="3" t="s">
        <v>15</v>
      </c>
      <c r="DD2" s="3" t="s">
        <v>16</v>
      </c>
      <c r="DE2" s="3" t="s">
        <v>17</v>
      </c>
      <c r="DF2" s="3" t="s">
        <v>18</v>
      </c>
      <c r="DG2" s="3" t="s">
        <v>19</v>
      </c>
      <c r="DH2" s="3" t="s">
        <v>20</v>
      </c>
      <c r="DI2" s="3" t="s">
        <v>21</v>
      </c>
      <c r="DJ2" s="3" t="s">
        <v>22</v>
      </c>
      <c r="DK2" s="3" t="s">
        <v>23</v>
      </c>
      <c r="DL2" s="3" t="s">
        <v>24</v>
      </c>
      <c r="DM2" s="3" t="s">
        <v>25</v>
      </c>
      <c r="DN2" s="3" t="s">
        <v>26</v>
      </c>
      <c r="DO2" s="3" t="s">
        <v>27</v>
      </c>
      <c r="DP2" s="3" t="s">
        <v>28</v>
      </c>
      <c r="DQ2" s="2" t="e">
        <f>IF(#REF!&gt;28,CONCATENATE("29"),CONCATENATE(""))</f>
        <v>#REF!</v>
      </c>
      <c r="DR2" s="2" t="e">
        <f>IF(#REF!&gt;29,CONCATENATE("30"),CONCATENATE(""))</f>
        <v>#REF!</v>
      </c>
      <c r="DS2" s="2" t="e">
        <f>IF(#REF!&gt;30,CONCATENATE("31"),CONCATENATE(""))</f>
        <v>#REF!</v>
      </c>
    </row>
    <row r="3" spans="1:123" ht="12.75" customHeight="1" x14ac:dyDescent="0.25">
      <c r="A3" s="4" t="s">
        <v>45</v>
      </c>
      <c r="B3" s="5"/>
      <c r="C3" s="6" t="s">
        <v>46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7" t="s">
        <v>20</v>
      </c>
      <c r="X3" s="7" t="s">
        <v>21</v>
      </c>
      <c r="Y3" s="7" t="s">
        <v>22</v>
      </c>
      <c r="Z3" s="7" t="s">
        <v>23</v>
      </c>
      <c r="AB3" s="4" t="s">
        <v>45</v>
      </c>
      <c r="AC3" s="8">
        <v>1</v>
      </c>
      <c r="AD3" s="8"/>
      <c r="AE3" s="8">
        <v>2</v>
      </c>
      <c r="AF3" s="8"/>
      <c r="AG3" s="8">
        <v>3</v>
      </c>
      <c r="AH3" s="8"/>
      <c r="AI3" s="8">
        <v>4</v>
      </c>
      <c r="AJ3" s="8"/>
      <c r="AK3" s="8">
        <v>5</v>
      </c>
      <c r="AL3" s="8"/>
      <c r="AM3" s="8">
        <v>6</v>
      </c>
      <c r="AN3" s="8"/>
      <c r="AO3" s="8">
        <v>7</v>
      </c>
      <c r="AP3" s="8"/>
      <c r="AQ3" s="8">
        <v>8</v>
      </c>
      <c r="AR3" s="8"/>
      <c r="AS3" s="8">
        <v>9</v>
      </c>
      <c r="AT3" s="8"/>
      <c r="AU3" s="8">
        <v>10</v>
      </c>
      <c r="AV3" s="8"/>
      <c r="AW3" s="8">
        <v>11</v>
      </c>
      <c r="AX3" s="8"/>
      <c r="AY3" s="8">
        <v>12</v>
      </c>
      <c r="AZ3" s="8"/>
      <c r="BA3" s="8">
        <v>13</v>
      </c>
      <c r="BB3" s="8"/>
      <c r="BC3" s="8">
        <v>14</v>
      </c>
      <c r="BD3" s="8"/>
      <c r="BE3" s="8">
        <v>15</v>
      </c>
      <c r="BF3" s="8"/>
      <c r="BG3" s="8">
        <v>16</v>
      </c>
      <c r="BH3" s="8"/>
      <c r="BI3" s="8">
        <v>17</v>
      </c>
      <c r="BJ3" s="8"/>
      <c r="BK3" s="8">
        <v>18</v>
      </c>
      <c r="BL3" s="8"/>
      <c r="BM3" s="8">
        <v>19</v>
      </c>
      <c r="BN3" s="8"/>
      <c r="BO3" s="8">
        <v>20</v>
      </c>
      <c r="BP3" s="8"/>
      <c r="BQ3" s="8">
        <v>21</v>
      </c>
      <c r="BR3" s="8"/>
      <c r="BS3" s="8">
        <v>22</v>
      </c>
      <c r="BT3" s="8"/>
      <c r="BU3" s="8">
        <v>23</v>
      </c>
      <c r="BV3" s="8"/>
      <c r="BW3" s="8">
        <v>24</v>
      </c>
      <c r="BX3" s="8"/>
      <c r="BY3" s="8">
        <v>25</v>
      </c>
      <c r="BZ3" s="8"/>
      <c r="CA3" s="8">
        <v>26</v>
      </c>
      <c r="CB3" s="8"/>
      <c r="CC3" s="8">
        <v>27</v>
      </c>
      <c r="CD3" s="8"/>
      <c r="CE3" s="8">
        <v>28</v>
      </c>
      <c r="CF3" s="8"/>
      <c r="CG3" s="8">
        <v>29</v>
      </c>
      <c r="CH3" s="8"/>
      <c r="CI3" s="8">
        <v>30</v>
      </c>
      <c r="CJ3" s="8"/>
      <c r="CK3" s="8">
        <v>31</v>
      </c>
      <c r="CL3" s="8"/>
      <c r="CM3" s="9"/>
      <c r="CN3" s="2">
        <v>0</v>
      </c>
      <c r="CO3" s="10" t="str">
        <f t="shared" ref="CO3:CO26" si="0">CONCATENATE(AC31,AD31)</f>
        <v>12002</v>
      </c>
      <c r="CP3" s="10" t="str">
        <f t="shared" ref="CP3:CP26" si="1">CONCATENATE(AE31,AF31)</f>
        <v>08003</v>
      </c>
      <c r="CQ3" s="10" t="s">
        <v>47</v>
      </c>
      <c r="CR3" s="10" t="str">
        <f t="shared" ref="CR3:CR26" si="2">CONCATENATE(AI31,AJ31)</f>
        <v>22002</v>
      </c>
      <c r="CS3" s="10" t="s">
        <v>48</v>
      </c>
      <c r="CT3" s="10" t="str">
        <f t="shared" ref="CT3:CT26" si="3">CONCATENATE(AM31,AN31)</f>
        <v>04004</v>
      </c>
      <c r="CU3" s="10" t="str">
        <f t="shared" ref="CU3:CU26" si="4">CONCATENATE(AO31,AP31)</f>
        <v>17002</v>
      </c>
      <c r="CV3" s="10" t="s">
        <v>49</v>
      </c>
      <c r="CW3" s="10" t="str">
        <f t="shared" ref="CW3:CW26" si="5">CONCATENATE(AS31,AT31)</f>
        <v>33006</v>
      </c>
      <c r="CX3" s="10" t="str">
        <f t="shared" ref="CX3:CX26" si="6">CONCATENATE(AU31,AV31)</f>
        <v>33006</v>
      </c>
      <c r="CY3" s="10" t="s">
        <v>50</v>
      </c>
      <c r="CZ3" s="10" t="str">
        <f t="shared" ref="CZ3:CZ26" si="7">CONCATENATE(AY31,AZ31)</f>
        <v>35005</v>
      </c>
      <c r="DA3" s="10" t="str">
        <f t="shared" ref="DA3:DA26" si="8">CONCATENATE(BA31,BB31)</f>
        <v>33004</v>
      </c>
      <c r="DB3" s="10" t="str">
        <f t="shared" ref="DB3:DB26" si="9">CONCATENATE(BC31,BD31)</f>
        <v>09004</v>
      </c>
      <c r="DC3" s="10" t="str">
        <f t="shared" ref="DC3:DC26" si="10">CONCATENATE(BE31,BF31)</f>
        <v>32006</v>
      </c>
      <c r="DD3" s="10" t="str">
        <f t="shared" ref="DD3:DD26" si="11">CONCATENATE(BG31,BH31)</f>
        <v>27006</v>
      </c>
      <c r="DE3" s="10" t="str">
        <f t="shared" ref="DE3:DE26" si="12">CONCATENATE(BI31,BJ31)</f>
        <v>28005</v>
      </c>
      <c r="DF3" s="10" t="str">
        <f t="shared" ref="DF3:DF26" si="13">CONCATENATE(BK31,BL31)</f>
        <v>05004</v>
      </c>
      <c r="DG3" s="10" t="str">
        <f t="shared" ref="DG3:DG26" si="14">CONCATENATE(BM31,BN31)</f>
        <v>25014</v>
      </c>
      <c r="DH3" s="10" t="str">
        <f t="shared" ref="DH3:DH26" si="15">CONCATENATE(BO31,BP31)</f>
        <v>31006</v>
      </c>
      <c r="DI3" s="10" t="str">
        <f t="shared" ref="DI3:DI26" si="16">CONCATENATE(BQ31,BR31)</f>
        <v>29011</v>
      </c>
      <c r="DJ3" s="10" t="str">
        <f t="shared" ref="DJ3:DJ26" si="17">CONCATENATE(BS31,BT31)</f>
        <v>30008</v>
      </c>
      <c r="DK3" s="10" t="str">
        <f t="shared" ref="DK3:DK26" si="18">CONCATENATE(BU31,BV31)</f>
        <v>07003</v>
      </c>
      <c r="DL3" s="10" t="str">
        <f t="shared" ref="DL3:DL26" si="19">CONCATENATE(BW31,BX31)</f>
        <v>26011</v>
      </c>
      <c r="DM3" s="10" t="str">
        <f t="shared" ref="DM3:DM26" si="20">CONCATENATE(BY31,BZ31)</f>
        <v>10002</v>
      </c>
      <c r="DN3" s="10" t="str">
        <f t="shared" ref="DN3:DN26" si="21">CONCATENATE(CA31,CB31)</f>
        <v>02003</v>
      </c>
      <c r="DO3" s="10" t="str">
        <f t="shared" ref="DO3:DO26" si="22">CONCATENATE(CC31,CD31)</f>
        <v>24001</v>
      </c>
      <c r="DP3" s="10" t="str">
        <f t="shared" ref="DP3:DP26" si="23">CONCATENATE(CE31,CF31)</f>
        <v>00000</v>
      </c>
      <c r="DQ3" s="2" t="e">
        <f t="shared" ref="DQ3:DQ26" si="24">IF($DQ$2="29",CONCATENATE(CG31,CH31),CONCATENATE(""))</f>
        <v>#REF!</v>
      </c>
      <c r="DR3" s="10" t="e">
        <f t="shared" ref="DR3:DR26" si="25">IF($DR$2="30",CONCATENATE(CI31,CJ31),CONCATENATE(""))</f>
        <v>#REF!</v>
      </c>
      <c r="DS3" s="10" t="s">
        <v>51</v>
      </c>
    </row>
    <row r="4" spans="1:123" ht="12.75" customHeight="1" x14ac:dyDescent="0.3">
      <c r="A4" s="8"/>
      <c r="B4" s="11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B4" s="5"/>
      <c r="AC4" s="14" t="s">
        <v>52</v>
      </c>
      <c r="AD4" s="15" t="s">
        <v>53</v>
      </c>
      <c r="AE4" s="14" t="s">
        <v>52</v>
      </c>
      <c r="AF4" s="15" t="s">
        <v>53</v>
      </c>
      <c r="AG4" s="14" t="s">
        <v>52</v>
      </c>
      <c r="AH4" s="15" t="s">
        <v>53</v>
      </c>
      <c r="AI4" s="14" t="s">
        <v>52</v>
      </c>
      <c r="AJ4" s="15" t="s">
        <v>53</v>
      </c>
      <c r="AK4" s="14" t="s">
        <v>52</v>
      </c>
      <c r="AL4" s="15" t="s">
        <v>53</v>
      </c>
      <c r="AM4" s="14" t="s">
        <v>52</v>
      </c>
      <c r="AN4" s="15" t="s">
        <v>53</v>
      </c>
      <c r="AO4" s="14" t="s">
        <v>52</v>
      </c>
      <c r="AP4" s="15" t="s">
        <v>53</v>
      </c>
      <c r="AQ4" s="14" t="s">
        <v>52</v>
      </c>
      <c r="AR4" s="15" t="s">
        <v>53</v>
      </c>
      <c r="AS4" s="14" t="s">
        <v>52</v>
      </c>
      <c r="AT4" s="15" t="s">
        <v>53</v>
      </c>
      <c r="AU4" s="14" t="s">
        <v>52</v>
      </c>
      <c r="AV4" s="15" t="s">
        <v>53</v>
      </c>
      <c r="AW4" s="14" t="s">
        <v>52</v>
      </c>
      <c r="AX4" s="15" t="s">
        <v>53</v>
      </c>
      <c r="AY4" s="14" t="s">
        <v>52</v>
      </c>
      <c r="AZ4" s="15" t="s">
        <v>53</v>
      </c>
      <c r="BA4" s="14" t="s">
        <v>52</v>
      </c>
      <c r="BB4" s="15" t="s">
        <v>53</v>
      </c>
      <c r="BC4" s="14" t="s">
        <v>52</v>
      </c>
      <c r="BD4" s="15" t="s">
        <v>53</v>
      </c>
      <c r="BE4" s="14" t="s">
        <v>52</v>
      </c>
      <c r="BF4" s="15" t="s">
        <v>53</v>
      </c>
      <c r="BG4" s="14" t="s">
        <v>52</v>
      </c>
      <c r="BH4" s="15" t="s">
        <v>53</v>
      </c>
      <c r="BI4" s="14" t="s">
        <v>52</v>
      </c>
      <c r="BJ4" s="15" t="s">
        <v>53</v>
      </c>
      <c r="BK4" s="14" t="s">
        <v>52</v>
      </c>
      <c r="BL4" s="15" t="s">
        <v>53</v>
      </c>
      <c r="BM4" s="14" t="s">
        <v>52</v>
      </c>
      <c r="BN4" s="15" t="s">
        <v>53</v>
      </c>
      <c r="BO4" s="14" t="s">
        <v>52</v>
      </c>
      <c r="BP4" s="15" t="s">
        <v>53</v>
      </c>
      <c r="BQ4" s="14" t="s">
        <v>52</v>
      </c>
      <c r="BR4" s="15" t="s">
        <v>53</v>
      </c>
      <c r="BS4" s="14" t="s">
        <v>52</v>
      </c>
      <c r="BT4" s="15" t="s">
        <v>53</v>
      </c>
      <c r="BU4" s="14" t="s">
        <v>52</v>
      </c>
      <c r="BV4" s="15" t="s">
        <v>53</v>
      </c>
      <c r="BW4" s="14" t="s">
        <v>52</v>
      </c>
      <c r="BX4" s="15" t="s">
        <v>53</v>
      </c>
      <c r="BY4" s="14" t="s">
        <v>52</v>
      </c>
      <c r="BZ4" s="15" t="s">
        <v>53</v>
      </c>
      <c r="CA4" s="14" t="s">
        <v>52</v>
      </c>
      <c r="CB4" s="15" t="s">
        <v>53</v>
      </c>
      <c r="CC4" s="14" t="s">
        <v>52</v>
      </c>
      <c r="CD4" s="15" t="s">
        <v>53</v>
      </c>
      <c r="CE4" s="14" t="s">
        <v>52</v>
      </c>
      <c r="CF4" s="15" t="s">
        <v>53</v>
      </c>
      <c r="CG4" s="14" t="s">
        <v>52</v>
      </c>
      <c r="CH4" s="15" t="s">
        <v>53</v>
      </c>
      <c r="CI4" s="14" t="s">
        <v>52</v>
      </c>
      <c r="CJ4" s="15" t="s">
        <v>53</v>
      </c>
      <c r="CK4" s="14" t="s">
        <v>52</v>
      </c>
      <c r="CL4" s="15" t="s">
        <v>53</v>
      </c>
      <c r="CM4" s="16"/>
      <c r="CN4" s="2">
        <v>1</v>
      </c>
      <c r="CO4" s="10" t="str">
        <f t="shared" si="0"/>
        <v>36002</v>
      </c>
      <c r="CP4" s="10" t="str">
        <f t="shared" si="1"/>
        <v>32005</v>
      </c>
      <c r="CQ4" s="17" t="s">
        <v>54</v>
      </c>
      <c r="CR4" s="10" t="str">
        <f t="shared" si="2"/>
        <v>07002</v>
      </c>
      <c r="CS4" s="17" t="s">
        <v>55</v>
      </c>
      <c r="CT4" s="10" t="str">
        <f t="shared" si="3"/>
        <v>01003</v>
      </c>
      <c r="CU4" s="10" t="str">
        <f t="shared" si="4"/>
        <v>11003</v>
      </c>
      <c r="CV4" s="17" t="s">
        <v>56</v>
      </c>
      <c r="CW4" s="10" t="str">
        <f t="shared" si="5"/>
        <v>34004</v>
      </c>
      <c r="CX4" s="10" t="str">
        <f t="shared" si="6"/>
        <v>34008</v>
      </c>
      <c r="CY4" s="17" t="s">
        <v>57</v>
      </c>
      <c r="CZ4" s="10" t="str">
        <f t="shared" si="7"/>
        <v>32008</v>
      </c>
      <c r="DA4" s="10" t="str">
        <f t="shared" si="8"/>
        <v>32003</v>
      </c>
      <c r="DB4" s="10" t="str">
        <f t="shared" si="9"/>
        <v>36003</v>
      </c>
      <c r="DC4" s="10" t="str">
        <f t="shared" si="10"/>
        <v>24007</v>
      </c>
      <c r="DD4" s="10" t="str">
        <f t="shared" si="11"/>
        <v>27007</v>
      </c>
      <c r="DE4" s="10" t="str">
        <f t="shared" si="12"/>
        <v>27006</v>
      </c>
      <c r="DF4" s="10" t="str">
        <f t="shared" si="13"/>
        <v>06009</v>
      </c>
      <c r="DG4" s="10" t="str">
        <f t="shared" si="14"/>
        <v>27016</v>
      </c>
      <c r="DH4" s="10" t="str">
        <f t="shared" si="15"/>
        <v>30008</v>
      </c>
      <c r="DI4" s="10" t="str">
        <f t="shared" si="16"/>
        <v>30012</v>
      </c>
      <c r="DJ4" s="10" t="str">
        <f t="shared" si="17"/>
        <v>31006</v>
      </c>
      <c r="DK4" s="10" t="str">
        <f t="shared" si="18"/>
        <v>33002</v>
      </c>
      <c r="DL4" s="10" t="str">
        <f t="shared" si="19"/>
        <v>21007</v>
      </c>
      <c r="DM4" s="10" t="str">
        <f t="shared" si="20"/>
        <v>21002</v>
      </c>
      <c r="DN4" s="10" t="str">
        <f t="shared" si="21"/>
        <v>35005</v>
      </c>
      <c r="DO4" s="10" t="str">
        <f t="shared" si="22"/>
        <v>33004</v>
      </c>
      <c r="DP4" s="10" t="str">
        <f t="shared" si="23"/>
        <v>27004</v>
      </c>
      <c r="DQ4" s="2" t="e">
        <f t="shared" si="24"/>
        <v>#REF!</v>
      </c>
      <c r="DR4" s="10" t="e">
        <f t="shared" si="25"/>
        <v>#REF!</v>
      </c>
      <c r="DS4" s="10" t="e">
        <f t="shared" ref="DS4:DS26" si="26">IF($DS$2="31",CONCATENATE(CK32,CL32),CONCATENATE(""))</f>
        <v>#REF!</v>
      </c>
    </row>
    <row r="5" spans="1:123" ht="12.75" customHeight="1" x14ac:dyDescent="0.3">
      <c r="A5" s="8">
        <v>1</v>
      </c>
      <c r="B5" s="14" t="s">
        <v>52</v>
      </c>
      <c r="C5" s="18" t="s">
        <v>12</v>
      </c>
      <c r="D5" s="18" t="s">
        <v>58</v>
      </c>
      <c r="E5" s="18" t="s">
        <v>31</v>
      </c>
      <c r="F5" s="18" t="s">
        <v>27</v>
      </c>
      <c r="G5" s="18" t="s">
        <v>20</v>
      </c>
      <c r="H5" s="18" t="s">
        <v>59</v>
      </c>
      <c r="I5" s="18" t="s">
        <v>30</v>
      </c>
      <c r="J5" s="18" t="s">
        <v>28</v>
      </c>
      <c r="K5" s="18" t="s">
        <v>31</v>
      </c>
      <c r="L5" s="18" t="s">
        <v>9</v>
      </c>
      <c r="M5" s="18" t="s">
        <v>19</v>
      </c>
      <c r="N5" s="18" t="s">
        <v>46</v>
      </c>
      <c r="O5" s="18" t="s">
        <v>20</v>
      </c>
      <c r="P5" s="18" t="s">
        <v>25</v>
      </c>
      <c r="Q5" s="18" t="s">
        <v>20</v>
      </c>
      <c r="R5" s="18" t="s">
        <v>21</v>
      </c>
      <c r="S5" s="18" t="s">
        <v>20</v>
      </c>
      <c r="T5" s="18" t="s">
        <v>19</v>
      </c>
      <c r="U5" s="18" t="s">
        <v>46</v>
      </c>
      <c r="V5" s="18" t="s">
        <v>14</v>
      </c>
      <c r="W5" s="18" t="s">
        <v>13</v>
      </c>
      <c r="X5" s="18" t="s">
        <v>14</v>
      </c>
      <c r="Y5" s="18" t="s">
        <v>12</v>
      </c>
      <c r="Z5" s="18" t="s">
        <v>13</v>
      </c>
      <c r="AB5" s="6" t="s">
        <v>46</v>
      </c>
      <c r="AC5" s="19" t="str">
        <f>C5</f>
        <v>12</v>
      </c>
      <c r="AD5" s="15">
        <f>C6</f>
        <v>2</v>
      </c>
      <c r="AE5" s="19" t="str">
        <f>C7</f>
        <v>08</v>
      </c>
      <c r="AF5" s="15">
        <f>C8</f>
        <v>3</v>
      </c>
      <c r="AG5" s="19" t="str">
        <f>C9</f>
        <v>06</v>
      </c>
      <c r="AH5" s="15">
        <f>+C10</f>
        <v>3</v>
      </c>
      <c r="AI5" s="19" t="str">
        <f>+C11</f>
        <v>22</v>
      </c>
      <c r="AJ5" s="15">
        <f>+C12</f>
        <v>2</v>
      </c>
      <c r="AK5" s="19" t="str">
        <f>+C13</f>
        <v>08</v>
      </c>
      <c r="AL5" s="15">
        <f>+C14</f>
        <v>7</v>
      </c>
      <c r="AM5" s="19" t="str">
        <f>+C15</f>
        <v>04</v>
      </c>
      <c r="AN5" s="15">
        <f>+C16</f>
        <v>4</v>
      </c>
      <c r="AO5" s="19" t="str">
        <f>+C17</f>
        <v>17</v>
      </c>
      <c r="AP5" s="15">
        <f>+C18</f>
        <v>2</v>
      </c>
      <c r="AQ5" s="19" t="str">
        <f>+C19</f>
        <v>17</v>
      </c>
      <c r="AR5" s="15">
        <f>+C20</f>
        <v>3</v>
      </c>
      <c r="AS5" s="19" t="str">
        <f>+C21</f>
        <v>33</v>
      </c>
      <c r="AT5" s="15">
        <f>+C22</f>
        <v>6</v>
      </c>
      <c r="AU5" s="19" t="str">
        <f>+C23</f>
        <v>33</v>
      </c>
      <c r="AV5" s="15">
        <f>+C24</f>
        <v>6</v>
      </c>
      <c r="AW5" s="19" t="str">
        <f>+C25</f>
        <v>33</v>
      </c>
      <c r="AX5" s="15">
        <f>+C26</f>
        <v>4</v>
      </c>
      <c r="AY5" s="19" t="str">
        <f>+C27</f>
        <v>35</v>
      </c>
      <c r="AZ5" s="15">
        <f>+C28</f>
        <v>5</v>
      </c>
      <c r="BA5" s="19" t="str">
        <f>+C29</f>
        <v>33</v>
      </c>
      <c r="BB5" s="15">
        <f>+C30</f>
        <v>4</v>
      </c>
      <c r="BC5" s="19" t="str">
        <f>+C31</f>
        <v>09</v>
      </c>
      <c r="BD5" s="15">
        <f>+C32</f>
        <v>4</v>
      </c>
      <c r="BE5" s="19" t="str">
        <f>+C33</f>
        <v>32</v>
      </c>
      <c r="BF5" s="15">
        <f>+C34</f>
        <v>6</v>
      </c>
      <c r="BG5" s="19" t="str">
        <f>+C35</f>
        <v>27</v>
      </c>
      <c r="BH5" s="15">
        <f>+C36</f>
        <v>6</v>
      </c>
      <c r="BI5" s="19" t="str">
        <f>+C37</f>
        <v>28</v>
      </c>
      <c r="BJ5" s="15">
        <f>+C38</f>
        <v>5</v>
      </c>
      <c r="BK5" s="19" t="str">
        <f>+C39</f>
        <v>05</v>
      </c>
      <c r="BL5" s="15">
        <f>+C40</f>
        <v>4</v>
      </c>
      <c r="BM5" s="19" t="str">
        <f>+C41</f>
        <v>25</v>
      </c>
      <c r="BN5" s="15">
        <f>+C42</f>
        <v>14</v>
      </c>
      <c r="BO5" s="19" t="str">
        <f>+C43</f>
        <v>31</v>
      </c>
      <c r="BP5" s="15">
        <f>+C44</f>
        <v>6</v>
      </c>
      <c r="BQ5" s="19" t="str">
        <f>+C45</f>
        <v>29</v>
      </c>
      <c r="BR5" s="15">
        <f>+C46</f>
        <v>11</v>
      </c>
      <c r="BS5" s="19" t="str">
        <f>+C47</f>
        <v>30</v>
      </c>
      <c r="BT5" s="15">
        <f>+C48</f>
        <v>8</v>
      </c>
      <c r="BU5" s="19" t="str">
        <f>+C49</f>
        <v>07</v>
      </c>
      <c r="BV5" s="15">
        <f>+C50</f>
        <v>3</v>
      </c>
      <c r="BW5" s="19" t="str">
        <f>+C51</f>
        <v>26</v>
      </c>
      <c r="BX5" s="15">
        <f>+C52</f>
        <v>11</v>
      </c>
      <c r="BY5" s="19" t="str">
        <f>+C53</f>
        <v>10</v>
      </c>
      <c r="BZ5" s="15">
        <f>+C54</f>
        <v>2</v>
      </c>
      <c r="CA5" s="19" t="str">
        <f>+C55</f>
        <v>02</v>
      </c>
      <c r="CB5" s="15">
        <f>+C56</f>
        <v>3</v>
      </c>
      <c r="CC5" s="19" t="str">
        <f>+C57</f>
        <v>24</v>
      </c>
      <c r="CD5" s="15">
        <f>+C58</f>
        <v>1</v>
      </c>
      <c r="CE5" s="19" t="str">
        <f>+C59</f>
        <v>00</v>
      </c>
      <c r="CF5" s="15">
        <f>+C60</f>
        <v>0</v>
      </c>
      <c r="CG5" s="19" t="str">
        <f>+C61</f>
        <v>21</v>
      </c>
      <c r="CH5" s="15">
        <f>+C62</f>
        <v>3</v>
      </c>
      <c r="CI5" s="19" t="str">
        <f>+C63</f>
        <v>36</v>
      </c>
      <c r="CJ5" s="15">
        <f>+C64</f>
        <v>2</v>
      </c>
      <c r="CK5" s="19" t="str">
        <f>+C65</f>
        <v>22</v>
      </c>
      <c r="CL5" s="15">
        <f>+C66</f>
        <v>1</v>
      </c>
      <c r="CM5" s="16"/>
      <c r="CN5" s="15">
        <v>2</v>
      </c>
      <c r="CO5" s="10" t="str">
        <f t="shared" si="0"/>
        <v>31010</v>
      </c>
      <c r="CP5" s="10" t="str">
        <f t="shared" si="1"/>
        <v>28008</v>
      </c>
      <c r="CQ5" s="17" t="s">
        <v>60</v>
      </c>
      <c r="CR5" s="10" t="str">
        <f t="shared" si="2"/>
        <v>08004</v>
      </c>
      <c r="CS5" s="17" t="s">
        <v>61</v>
      </c>
      <c r="CT5" s="10" t="str">
        <f t="shared" si="3"/>
        <v>36003</v>
      </c>
      <c r="CU5" s="10" t="str">
        <f t="shared" si="4"/>
        <v>34006</v>
      </c>
      <c r="CV5" s="17" t="s">
        <v>62</v>
      </c>
      <c r="CW5" s="10" t="str">
        <f t="shared" si="5"/>
        <v>36005</v>
      </c>
      <c r="CX5" s="10" t="str">
        <f t="shared" si="6"/>
        <v>32012</v>
      </c>
      <c r="CY5" s="17" t="s">
        <v>63</v>
      </c>
      <c r="CZ5" s="10" t="str">
        <f t="shared" si="7"/>
        <v>34008</v>
      </c>
      <c r="DA5" s="10" t="str">
        <f t="shared" si="8"/>
        <v>32004</v>
      </c>
      <c r="DB5" s="10" t="str">
        <f t="shared" si="9"/>
        <v>05001</v>
      </c>
      <c r="DC5" s="10" t="str">
        <f t="shared" si="10"/>
        <v>25006</v>
      </c>
      <c r="DD5" s="10" t="str">
        <f t="shared" si="11"/>
        <v>24005</v>
      </c>
      <c r="DE5" s="10" t="str">
        <f t="shared" si="12"/>
        <v>29007</v>
      </c>
      <c r="DF5" s="10" t="str">
        <f t="shared" si="13"/>
        <v>08005</v>
      </c>
      <c r="DG5" s="10" t="str">
        <f t="shared" si="14"/>
        <v>28012</v>
      </c>
      <c r="DH5" s="10" t="str">
        <f t="shared" si="15"/>
        <v>31007</v>
      </c>
      <c r="DI5" s="10" t="str">
        <f t="shared" si="16"/>
        <v>30013</v>
      </c>
      <c r="DJ5" s="10" t="str">
        <f t="shared" si="17"/>
        <v>24005</v>
      </c>
      <c r="DK5" s="10" t="str">
        <f t="shared" si="18"/>
        <v>07002</v>
      </c>
      <c r="DL5" s="10" t="str">
        <f t="shared" si="19"/>
        <v>28006</v>
      </c>
      <c r="DM5" s="10" t="str">
        <f t="shared" si="20"/>
        <v>32004</v>
      </c>
      <c r="DN5" s="10" t="str">
        <f t="shared" si="21"/>
        <v>33008</v>
      </c>
      <c r="DO5" s="10" t="str">
        <f t="shared" si="22"/>
        <v>32006</v>
      </c>
      <c r="DP5" s="10" t="str">
        <f t="shared" si="23"/>
        <v>29008</v>
      </c>
      <c r="DQ5" s="2" t="e">
        <f t="shared" si="24"/>
        <v>#REF!</v>
      </c>
      <c r="DR5" s="10" t="e">
        <f t="shared" si="25"/>
        <v>#REF!</v>
      </c>
      <c r="DS5" s="10" t="e">
        <f t="shared" si="26"/>
        <v>#REF!</v>
      </c>
    </row>
    <row r="6" spans="1:123" ht="12.75" customHeight="1" x14ac:dyDescent="0.3">
      <c r="A6" s="8"/>
      <c r="B6" s="15" t="s">
        <v>53</v>
      </c>
      <c r="C6" s="20">
        <v>2</v>
      </c>
      <c r="D6" s="20">
        <v>2</v>
      </c>
      <c r="E6" s="20">
        <v>10</v>
      </c>
      <c r="F6" s="20">
        <v>6</v>
      </c>
      <c r="G6" s="20">
        <v>3</v>
      </c>
      <c r="H6" s="20">
        <v>7</v>
      </c>
      <c r="I6" s="20">
        <v>7</v>
      </c>
      <c r="J6" s="20">
        <v>5</v>
      </c>
      <c r="K6" s="20">
        <v>5</v>
      </c>
      <c r="L6" s="20">
        <v>5</v>
      </c>
      <c r="M6" s="20">
        <v>5</v>
      </c>
      <c r="N6" s="20">
        <v>0</v>
      </c>
      <c r="O6" s="20">
        <v>2</v>
      </c>
      <c r="P6" s="20">
        <v>1</v>
      </c>
      <c r="Q6" s="20">
        <v>3</v>
      </c>
      <c r="R6" s="20">
        <v>3</v>
      </c>
      <c r="S6" s="20">
        <v>2</v>
      </c>
      <c r="T6" s="20">
        <v>4</v>
      </c>
      <c r="U6" s="20">
        <v>0</v>
      </c>
      <c r="V6" s="20">
        <v>1</v>
      </c>
      <c r="W6" s="20">
        <v>1</v>
      </c>
      <c r="X6" s="20">
        <v>3</v>
      </c>
      <c r="Y6" s="20">
        <v>2</v>
      </c>
      <c r="Z6" s="20">
        <v>3</v>
      </c>
      <c r="AB6" s="7" t="s">
        <v>1</v>
      </c>
      <c r="AC6" s="19" t="str">
        <f>D5</f>
        <v>36</v>
      </c>
      <c r="AD6" s="15">
        <f>+D6</f>
        <v>2</v>
      </c>
      <c r="AE6" s="19" t="str">
        <f>+D7</f>
        <v>32</v>
      </c>
      <c r="AF6" s="15">
        <f>+D8</f>
        <v>5</v>
      </c>
      <c r="AG6" s="19" t="str">
        <f>+D9</f>
        <v>08</v>
      </c>
      <c r="AH6" s="15">
        <f>+D10</f>
        <v>4</v>
      </c>
      <c r="AI6" s="19" t="str">
        <f>+D11</f>
        <v>07</v>
      </c>
      <c r="AJ6" s="15">
        <f>+D12</f>
        <v>2</v>
      </c>
      <c r="AK6" s="19" t="str">
        <f>+D13</f>
        <v>06</v>
      </c>
      <c r="AL6" s="15">
        <f>+D14</f>
        <v>6</v>
      </c>
      <c r="AM6" s="19" t="str">
        <f>D15</f>
        <v>01</v>
      </c>
      <c r="AN6" s="15">
        <f>D16</f>
        <v>3</v>
      </c>
      <c r="AO6" s="19" t="str">
        <f>D17</f>
        <v>11</v>
      </c>
      <c r="AP6" s="21">
        <f>D18</f>
        <v>3</v>
      </c>
      <c r="AQ6" s="19" t="str">
        <f>D19</f>
        <v>26</v>
      </c>
      <c r="AR6" s="15">
        <f>+D20</f>
        <v>4</v>
      </c>
      <c r="AS6" s="19" t="str">
        <f>+D21</f>
        <v>34</v>
      </c>
      <c r="AT6" s="15">
        <f>+D22</f>
        <v>4</v>
      </c>
      <c r="AU6" s="19" t="str">
        <f>+D23</f>
        <v>34</v>
      </c>
      <c r="AV6" s="15">
        <f>+D24</f>
        <v>8</v>
      </c>
      <c r="AW6" s="19" t="str">
        <f>+D25</f>
        <v>31</v>
      </c>
      <c r="AX6" s="15">
        <f>+D26</f>
        <v>4</v>
      </c>
      <c r="AY6" s="19" t="str">
        <f>+D27</f>
        <v>32</v>
      </c>
      <c r="AZ6" s="15">
        <f>+D28</f>
        <v>8</v>
      </c>
      <c r="BA6" s="19" t="str">
        <f>+D29</f>
        <v>32</v>
      </c>
      <c r="BB6" s="15">
        <f>+D30</f>
        <v>3</v>
      </c>
      <c r="BC6" s="19" t="str">
        <f>+D31</f>
        <v>36</v>
      </c>
      <c r="BD6" s="15">
        <f>+D32</f>
        <v>3</v>
      </c>
      <c r="BE6" s="19" t="str">
        <f>+D33</f>
        <v>24</v>
      </c>
      <c r="BF6" s="21">
        <f>+D34</f>
        <v>7</v>
      </c>
      <c r="BG6" s="19" t="str">
        <f>+D35</f>
        <v>27</v>
      </c>
      <c r="BH6" s="21">
        <f>+D36</f>
        <v>7</v>
      </c>
      <c r="BI6" s="19" t="str">
        <f>+D37</f>
        <v>27</v>
      </c>
      <c r="BJ6" s="15">
        <f>+D38</f>
        <v>6</v>
      </c>
      <c r="BK6" s="19" t="str">
        <f>+D39</f>
        <v>06</v>
      </c>
      <c r="BL6" s="21">
        <f>+D40</f>
        <v>9</v>
      </c>
      <c r="BM6" s="19" t="str">
        <f>+D41</f>
        <v>27</v>
      </c>
      <c r="BN6" s="21">
        <f>+D42</f>
        <v>16</v>
      </c>
      <c r="BO6" s="19" t="str">
        <f>+D43</f>
        <v>30</v>
      </c>
      <c r="BP6" s="21">
        <f>+D44</f>
        <v>8</v>
      </c>
      <c r="BQ6" s="19" t="str">
        <f>+D45</f>
        <v>30</v>
      </c>
      <c r="BR6" s="21">
        <f>+D46</f>
        <v>12</v>
      </c>
      <c r="BS6" s="19" t="str">
        <f>+D47</f>
        <v>31</v>
      </c>
      <c r="BT6" s="21">
        <f>+D48</f>
        <v>6</v>
      </c>
      <c r="BU6" s="19" t="str">
        <f>+D49</f>
        <v>33</v>
      </c>
      <c r="BV6" s="15">
        <f>+D50</f>
        <v>2</v>
      </c>
      <c r="BW6" s="19" t="str">
        <f>+D51</f>
        <v>21</v>
      </c>
      <c r="BX6" s="15">
        <f>+D52</f>
        <v>7</v>
      </c>
      <c r="BY6" s="19" t="str">
        <f>+D53</f>
        <v>21</v>
      </c>
      <c r="BZ6" s="15">
        <f>+D54</f>
        <v>2</v>
      </c>
      <c r="CA6" s="19" t="str">
        <f>+D55</f>
        <v>35</v>
      </c>
      <c r="CB6" s="15">
        <f>+D56</f>
        <v>5</v>
      </c>
      <c r="CC6" s="19" t="str">
        <f>+D57</f>
        <v>33</v>
      </c>
      <c r="CD6" s="15">
        <f>+D58</f>
        <v>4</v>
      </c>
      <c r="CE6" s="19" t="str">
        <f>+D59</f>
        <v>27</v>
      </c>
      <c r="CF6" s="15">
        <f>+D60</f>
        <v>4</v>
      </c>
      <c r="CG6" s="19" t="str">
        <f>+D61</f>
        <v>25</v>
      </c>
      <c r="CH6" s="15">
        <f>+D62</f>
        <v>4</v>
      </c>
      <c r="CI6" s="19" t="str">
        <f>+D63</f>
        <v>32</v>
      </c>
      <c r="CJ6" s="15">
        <f>+D64</f>
        <v>5</v>
      </c>
      <c r="CK6" s="19" t="str">
        <f>+D65</f>
        <v>25</v>
      </c>
      <c r="CL6" s="15">
        <f>+D66</f>
        <v>5</v>
      </c>
      <c r="CM6" s="16"/>
      <c r="CN6" s="15">
        <v>3</v>
      </c>
      <c r="CO6" s="10" t="str">
        <f t="shared" si="0"/>
        <v>27006</v>
      </c>
      <c r="CP6" s="10" t="str">
        <f t="shared" si="1"/>
        <v>27009</v>
      </c>
      <c r="CQ6" s="17" t="s">
        <v>64</v>
      </c>
      <c r="CR6" s="10" t="str">
        <f t="shared" si="2"/>
        <v>35004</v>
      </c>
      <c r="CS6" s="17" t="s">
        <v>65</v>
      </c>
      <c r="CT6" s="10" t="str">
        <f t="shared" si="3"/>
        <v>29003</v>
      </c>
      <c r="CU6" s="10" t="str">
        <f t="shared" si="4"/>
        <v>31006</v>
      </c>
      <c r="CV6" s="17" t="s">
        <v>66</v>
      </c>
      <c r="CW6" s="10" t="str">
        <f t="shared" si="5"/>
        <v>33008</v>
      </c>
      <c r="CX6" s="10" t="str">
        <f t="shared" si="6"/>
        <v>34011</v>
      </c>
      <c r="CY6" s="17" t="s">
        <v>67</v>
      </c>
      <c r="CZ6" s="10" t="str">
        <f t="shared" si="7"/>
        <v>31011</v>
      </c>
      <c r="DA6" s="10" t="str">
        <f t="shared" si="8"/>
        <v>28007</v>
      </c>
      <c r="DB6" s="10" t="str">
        <f t="shared" si="9"/>
        <v>30006</v>
      </c>
      <c r="DC6" s="10" t="str">
        <f t="shared" si="10"/>
        <v>32007</v>
      </c>
      <c r="DD6" s="10" t="str">
        <f t="shared" si="11"/>
        <v>30009</v>
      </c>
      <c r="DE6" s="10" t="str">
        <f t="shared" si="12"/>
        <v>29008</v>
      </c>
      <c r="DF6" s="10" t="str">
        <f t="shared" si="13"/>
        <v>07006</v>
      </c>
      <c r="DG6" s="10" t="str">
        <f t="shared" si="14"/>
        <v>30017</v>
      </c>
      <c r="DH6" s="10" t="str">
        <f t="shared" si="15"/>
        <v>31010</v>
      </c>
      <c r="DI6" s="10" t="str">
        <f t="shared" si="16"/>
        <v>28015</v>
      </c>
      <c r="DJ6" s="10" t="str">
        <f t="shared" si="17"/>
        <v>27006</v>
      </c>
      <c r="DK6" s="10" t="str">
        <f t="shared" si="18"/>
        <v>33004</v>
      </c>
      <c r="DL6" s="10" t="str">
        <f t="shared" si="19"/>
        <v>35003</v>
      </c>
      <c r="DM6" s="10" t="str">
        <f t="shared" si="20"/>
        <v>30004</v>
      </c>
      <c r="DN6" s="10" t="str">
        <f t="shared" si="21"/>
        <v>32008</v>
      </c>
      <c r="DO6" s="10" t="str">
        <f t="shared" si="22"/>
        <v>32009</v>
      </c>
      <c r="DP6" s="10" t="str">
        <f t="shared" si="23"/>
        <v>31008</v>
      </c>
      <c r="DQ6" s="2" t="e">
        <f t="shared" si="24"/>
        <v>#REF!</v>
      </c>
      <c r="DR6" s="10" t="e">
        <f t="shared" si="25"/>
        <v>#REF!</v>
      </c>
      <c r="DS6" s="10" t="e">
        <f t="shared" si="26"/>
        <v>#REF!</v>
      </c>
    </row>
    <row r="7" spans="1:123" ht="12.75" customHeight="1" x14ac:dyDescent="0.3">
      <c r="A7" s="8">
        <v>2</v>
      </c>
      <c r="B7" s="14" t="s">
        <v>52</v>
      </c>
      <c r="C7" s="18" t="s">
        <v>8</v>
      </c>
      <c r="D7" s="18" t="s">
        <v>68</v>
      </c>
      <c r="E7" s="18" t="s">
        <v>28</v>
      </c>
      <c r="F7" s="18" t="s">
        <v>27</v>
      </c>
      <c r="G7" s="18" t="s">
        <v>30</v>
      </c>
      <c r="H7" s="18" t="s">
        <v>31</v>
      </c>
      <c r="I7" s="18" t="s">
        <v>11</v>
      </c>
      <c r="J7" s="18" t="s">
        <v>16</v>
      </c>
      <c r="K7" s="18" t="s">
        <v>3</v>
      </c>
      <c r="L7" s="18" t="s">
        <v>7</v>
      </c>
      <c r="M7" s="18" t="s">
        <v>12</v>
      </c>
      <c r="N7" s="18" t="s">
        <v>15</v>
      </c>
      <c r="O7" s="18" t="s">
        <v>15</v>
      </c>
      <c r="P7" s="18" t="s">
        <v>26</v>
      </c>
      <c r="Q7" s="18" t="s">
        <v>46</v>
      </c>
      <c r="R7" s="18" t="s">
        <v>17</v>
      </c>
      <c r="S7" s="18" t="s">
        <v>17</v>
      </c>
      <c r="T7" s="18" t="s">
        <v>10</v>
      </c>
      <c r="U7" s="18" t="s">
        <v>9</v>
      </c>
      <c r="V7" s="18" t="s">
        <v>6</v>
      </c>
      <c r="W7" s="18" t="s">
        <v>12</v>
      </c>
      <c r="X7" s="18" t="s">
        <v>46</v>
      </c>
      <c r="Y7" s="18" t="s">
        <v>11</v>
      </c>
      <c r="Z7" s="18" t="s">
        <v>6</v>
      </c>
      <c r="AB7" s="7" t="s">
        <v>2</v>
      </c>
      <c r="AC7" s="19" t="str">
        <f>E5</f>
        <v>31</v>
      </c>
      <c r="AD7" s="15">
        <f>+E6</f>
        <v>10</v>
      </c>
      <c r="AE7" s="19" t="str">
        <f>+E7</f>
        <v>28</v>
      </c>
      <c r="AF7" s="15">
        <f>+E8</f>
        <v>8</v>
      </c>
      <c r="AG7" s="19" t="str">
        <f>+E9</f>
        <v>07</v>
      </c>
      <c r="AH7" s="15">
        <f>+E10</f>
        <v>5</v>
      </c>
      <c r="AI7" s="19" t="str">
        <f>+E11</f>
        <v>08</v>
      </c>
      <c r="AJ7" s="15">
        <f>+E12</f>
        <v>4</v>
      </c>
      <c r="AK7" s="19" t="str">
        <f>+E13</f>
        <v>06</v>
      </c>
      <c r="AL7" s="15">
        <f>+E14</f>
        <v>4</v>
      </c>
      <c r="AM7" s="19" t="str">
        <f>+E15</f>
        <v>36</v>
      </c>
      <c r="AN7" s="15">
        <f>+E16</f>
        <v>3</v>
      </c>
      <c r="AO7" s="19" t="str">
        <f>+E17</f>
        <v>34</v>
      </c>
      <c r="AP7" s="15">
        <f>+E18</f>
        <v>6</v>
      </c>
      <c r="AQ7" s="19" t="str">
        <f>+E19</f>
        <v>28</v>
      </c>
      <c r="AR7" s="15">
        <f>+E20</f>
        <v>7</v>
      </c>
      <c r="AS7" s="19" t="str">
        <f>+E21</f>
        <v>36</v>
      </c>
      <c r="AT7" s="21">
        <f>+E22</f>
        <v>5</v>
      </c>
      <c r="AU7" s="19" t="str">
        <f>+E23</f>
        <v>32</v>
      </c>
      <c r="AV7" s="15">
        <f>+E24</f>
        <v>12</v>
      </c>
      <c r="AW7" s="19" t="str">
        <f>+E25</f>
        <v>31</v>
      </c>
      <c r="AX7" s="15">
        <f>+E26</f>
        <v>7</v>
      </c>
      <c r="AY7" s="19" t="str">
        <f>+E27</f>
        <v>34</v>
      </c>
      <c r="AZ7" s="15">
        <f>+E28</f>
        <v>8</v>
      </c>
      <c r="BA7" s="19" t="str">
        <f>+E29</f>
        <v>32</v>
      </c>
      <c r="BB7" s="15">
        <f>+E30</f>
        <v>4</v>
      </c>
      <c r="BC7" s="19" t="str">
        <f>+E31</f>
        <v>05</v>
      </c>
      <c r="BD7" s="15">
        <f>+E32</f>
        <v>1</v>
      </c>
      <c r="BE7" s="19" t="str">
        <f>+E33</f>
        <v>25</v>
      </c>
      <c r="BF7" s="15">
        <f>+E34</f>
        <v>6</v>
      </c>
      <c r="BG7" s="19" t="str">
        <f>+E35</f>
        <v>24</v>
      </c>
      <c r="BH7" s="15">
        <f>+E36</f>
        <v>5</v>
      </c>
      <c r="BI7" s="19" t="str">
        <f>+E37</f>
        <v>29</v>
      </c>
      <c r="BJ7" s="15">
        <f>+E38</f>
        <v>7</v>
      </c>
      <c r="BK7" s="19" t="str">
        <f>+E39</f>
        <v>08</v>
      </c>
      <c r="BL7" s="15">
        <f>+E40</f>
        <v>5</v>
      </c>
      <c r="BM7" s="19" t="str">
        <f>+E41</f>
        <v>28</v>
      </c>
      <c r="BN7" s="15">
        <f>+E42</f>
        <v>12</v>
      </c>
      <c r="BO7" s="19" t="str">
        <f>+E43</f>
        <v>31</v>
      </c>
      <c r="BP7" s="15">
        <f>+E44</f>
        <v>7</v>
      </c>
      <c r="BQ7" s="19" t="str">
        <f>+E45</f>
        <v>30</v>
      </c>
      <c r="BR7" s="15">
        <f>+E46</f>
        <v>13</v>
      </c>
      <c r="BS7" s="19" t="str">
        <f>+E47</f>
        <v>24</v>
      </c>
      <c r="BT7" s="15">
        <f>+E48</f>
        <v>5</v>
      </c>
      <c r="BU7" s="19" t="str">
        <f>+E49</f>
        <v>07</v>
      </c>
      <c r="BV7" s="15">
        <f>+E50</f>
        <v>2</v>
      </c>
      <c r="BW7" s="19" t="str">
        <f>+E51</f>
        <v>28</v>
      </c>
      <c r="BX7" s="15">
        <f>+E52</f>
        <v>6</v>
      </c>
      <c r="BY7" s="19" t="str">
        <f>+E53</f>
        <v>32</v>
      </c>
      <c r="BZ7" s="15">
        <f>+E54</f>
        <v>4</v>
      </c>
      <c r="CA7" s="19" t="str">
        <f>+E55</f>
        <v>33</v>
      </c>
      <c r="CB7" s="15">
        <f>+E56</f>
        <v>8</v>
      </c>
      <c r="CC7" s="19" t="str">
        <f>+E57</f>
        <v>32</v>
      </c>
      <c r="CD7" s="15">
        <f>+E58</f>
        <v>6</v>
      </c>
      <c r="CE7" s="19" t="str">
        <f>+E59</f>
        <v>29</v>
      </c>
      <c r="CF7" s="15">
        <f>+E60</f>
        <v>8</v>
      </c>
      <c r="CG7" s="19" t="str">
        <f>+E61</f>
        <v>31</v>
      </c>
      <c r="CH7" s="15">
        <f>+E62</f>
        <v>7</v>
      </c>
      <c r="CI7" s="19" t="str">
        <f>+E63</f>
        <v>30</v>
      </c>
      <c r="CJ7" s="15">
        <f>+E64</f>
        <v>7</v>
      </c>
      <c r="CK7" s="19" t="str">
        <f>+E65</f>
        <v>34</v>
      </c>
      <c r="CL7" s="15">
        <f>+E66</f>
        <v>8</v>
      </c>
      <c r="CM7" s="16"/>
      <c r="CN7" s="15">
        <v>4</v>
      </c>
      <c r="CO7" s="10" t="str">
        <f t="shared" si="0"/>
        <v>20003</v>
      </c>
      <c r="CP7" s="10" t="str">
        <f t="shared" si="1"/>
        <v>30015</v>
      </c>
      <c r="CQ7" s="17" t="s">
        <v>69</v>
      </c>
      <c r="CR7" s="10" t="str">
        <f t="shared" si="2"/>
        <v>31006</v>
      </c>
      <c r="CS7" s="17" t="s">
        <v>70</v>
      </c>
      <c r="CT7" s="10" t="str">
        <f t="shared" si="3"/>
        <v>28004</v>
      </c>
      <c r="CU7" s="10" t="str">
        <f t="shared" si="4"/>
        <v>31006</v>
      </c>
      <c r="CV7" s="17" t="s">
        <v>66</v>
      </c>
      <c r="CW7" s="10" t="str">
        <f t="shared" si="5"/>
        <v>33008</v>
      </c>
      <c r="CX7" s="10" t="str">
        <f t="shared" si="6"/>
        <v>34011</v>
      </c>
      <c r="CY7" s="17" t="s">
        <v>67</v>
      </c>
      <c r="CZ7" s="10" t="str">
        <f t="shared" si="7"/>
        <v>31011</v>
      </c>
      <c r="DA7" s="10" t="str">
        <f t="shared" si="8"/>
        <v>28007</v>
      </c>
      <c r="DB7" s="10" t="str">
        <f t="shared" si="9"/>
        <v>30006</v>
      </c>
      <c r="DC7" s="10" t="str">
        <f t="shared" si="10"/>
        <v>32007</v>
      </c>
      <c r="DD7" s="10" t="str">
        <f t="shared" si="11"/>
        <v>27016</v>
      </c>
      <c r="DE7" s="10" t="str">
        <f t="shared" si="12"/>
        <v>29006</v>
      </c>
      <c r="DF7" s="10" t="str">
        <f t="shared" si="13"/>
        <v>07003</v>
      </c>
      <c r="DG7" s="10" t="str">
        <f t="shared" si="14"/>
        <v>30014</v>
      </c>
      <c r="DH7" s="10" t="str">
        <f t="shared" si="15"/>
        <v>31009</v>
      </c>
      <c r="DI7" s="10" t="str">
        <f t="shared" si="16"/>
        <v>28014</v>
      </c>
      <c r="DJ7" s="10" t="str">
        <f t="shared" si="17"/>
        <v>27008</v>
      </c>
      <c r="DK7" s="10" t="str">
        <f t="shared" si="18"/>
        <v>33004</v>
      </c>
      <c r="DL7" s="10" t="str">
        <f t="shared" si="19"/>
        <v>30006</v>
      </c>
      <c r="DM7" s="10" t="str">
        <f t="shared" si="20"/>
        <v>31005</v>
      </c>
      <c r="DN7" s="10" t="str">
        <f t="shared" si="21"/>
        <v>32008</v>
      </c>
      <c r="DO7" s="10" t="str">
        <f t="shared" si="22"/>
        <v>32009</v>
      </c>
      <c r="DP7" s="10" t="str">
        <f t="shared" si="23"/>
        <v>30009</v>
      </c>
      <c r="DQ7" s="2" t="e">
        <f t="shared" si="24"/>
        <v>#REF!</v>
      </c>
      <c r="DR7" s="10" t="e">
        <f t="shared" si="25"/>
        <v>#REF!</v>
      </c>
      <c r="DS7" s="10" t="e">
        <f t="shared" si="26"/>
        <v>#REF!</v>
      </c>
    </row>
    <row r="8" spans="1:123" ht="12.75" customHeight="1" x14ac:dyDescent="0.3">
      <c r="A8" s="8"/>
      <c r="B8" s="15" t="s">
        <v>53</v>
      </c>
      <c r="C8" s="20">
        <v>3</v>
      </c>
      <c r="D8" s="20">
        <v>5</v>
      </c>
      <c r="E8" s="20">
        <v>8</v>
      </c>
      <c r="F8" s="20">
        <v>9</v>
      </c>
      <c r="G8" s="20">
        <v>15</v>
      </c>
      <c r="H8" s="20">
        <v>10</v>
      </c>
      <c r="I8" s="20">
        <v>10</v>
      </c>
      <c r="J8" s="20">
        <v>4</v>
      </c>
      <c r="K8" s="20">
        <v>4</v>
      </c>
      <c r="L8" s="20">
        <v>7</v>
      </c>
      <c r="M8" s="20">
        <v>3</v>
      </c>
      <c r="N8" s="20">
        <v>3</v>
      </c>
      <c r="O8" s="20">
        <v>2</v>
      </c>
      <c r="P8" s="20">
        <v>3</v>
      </c>
      <c r="Q8" s="20">
        <v>0</v>
      </c>
      <c r="R8" s="20">
        <v>3</v>
      </c>
      <c r="S8" s="20">
        <v>3</v>
      </c>
      <c r="T8" s="20">
        <v>2</v>
      </c>
      <c r="U8" s="20">
        <v>4</v>
      </c>
      <c r="V8" s="20">
        <v>2</v>
      </c>
      <c r="W8" s="20">
        <v>2</v>
      </c>
      <c r="X8" s="20">
        <v>0</v>
      </c>
      <c r="Y8" s="20">
        <v>3</v>
      </c>
      <c r="Z8" s="20">
        <v>3</v>
      </c>
      <c r="AA8" s="22"/>
      <c r="AB8" s="7" t="s">
        <v>3</v>
      </c>
      <c r="AC8" s="19" t="str">
        <f>+F5</f>
        <v>27</v>
      </c>
      <c r="AD8" s="15">
        <f>F6</f>
        <v>6</v>
      </c>
      <c r="AE8" s="19" t="str">
        <f>+F7</f>
        <v>27</v>
      </c>
      <c r="AF8" s="21">
        <f>+F8</f>
        <v>9</v>
      </c>
      <c r="AG8" s="19" t="str">
        <f>+F9</f>
        <v>33</v>
      </c>
      <c r="AH8" s="15">
        <f>+F10</f>
        <v>6</v>
      </c>
      <c r="AI8" s="19" t="str">
        <f>+F11</f>
        <v>35</v>
      </c>
      <c r="AJ8" s="15">
        <f>+F12</f>
        <v>4</v>
      </c>
      <c r="AK8" s="19" t="str">
        <f>+F13</f>
        <v>33</v>
      </c>
      <c r="AL8" s="15">
        <f>+F14</f>
        <v>9</v>
      </c>
      <c r="AM8" s="19" t="str">
        <f>+F15</f>
        <v>29</v>
      </c>
      <c r="AN8" s="15">
        <f>+F16</f>
        <v>3</v>
      </c>
      <c r="AO8" s="19" t="str">
        <f>+G17</f>
        <v>31</v>
      </c>
      <c r="AP8" s="21">
        <f>+G18</f>
        <v>6</v>
      </c>
      <c r="AQ8" s="19" t="str">
        <f>+G19</f>
        <v>33</v>
      </c>
      <c r="AR8" s="15">
        <f>+G20</f>
        <v>13</v>
      </c>
      <c r="AS8" s="19" t="str">
        <f>+G21</f>
        <v>33</v>
      </c>
      <c r="AT8" s="15">
        <f>+G22</f>
        <v>8</v>
      </c>
      <c r="AU8" s="19" t="str">
        <f>+G23</f>
        <v>34</v>
      </c>
      <c r="AV8" s="15">
        <f>+G24</f>
        <v>11</v>
      </c>
      <c r="AW8" s="19" t="str">
        <f>+G25</f>
        <v>31</v>
      </c>
      <c r="AX8" s="15">
        <f>+G26</f>
        <v>9</v>
      </c>
      <c r="AY8" s="19" t="str">
        <f>+G27</f>
        <v>31</v>
      </c>
      <c r="AZ8" s="15">
        <f>+G28</f>
        <v>11</v>
      </c>
      <c r="BA8" s="19" t="str">
        <f>+G29</f>
        <v>28</v>
      </c>
      <c r="BB8" s="15">
        <f>+G30</f>
        <v>7</v>
      </c>
      <c r="BC8" s="19" t="str">
        <f>+G31</f>
        <v>30</v>
      </c>
      <c r="BD8" s="15">
        <f>+G32</f>
        <v>6</v>
      </c>
      <c r="BE8" s="19" t="str">
        <f>+G33</f>
        <v>32</v>
      </c>
      <c r="BF8" s="15">
        <f>+G34</f>
        <v>7</v>
      </c>
      <c r="BG8" s="19" t="str">
        <f>+F35</f>
        <v>30</v>
      </c>
      <c r="BH8" s="15">
        <f>+F36</f>
        <v>9</v>
      </c>
      <c r="BI8" s="19" t="str">
        <f>+F37</f>
        <v>29</v>
      </c>
      <c r="BJ8" s="15">
        <f>+F38</f>
        <v>8</v>
      </c>
      <c r="BK8" s="19" t="str">
        <f>+F39</f>
        <v>07</v>
      </c>
      <c r="BL8" s="15">
        <f>+F40</f>
        <v>6</v>
      </c>
      <c r="BM8" s="19" t="str">
        <f>+F41</f>
        <v>30</v>
      </c>
      <c r="BN8" s="15">
        <f>+F42</f>
        <v>17</v>
      </c>
      <c r="BO8" s="19" t="str">
        <f>+F43</f>
        <v>31</v>
      </c>
      <c r="BP8" s="15">
        <f>F44</f>
        <v>10</v>
      </c>
      <c r="BQ8" s="19" t="str">
        <f>F45</f>
        <v>28</v>
      </c>
      <c r="BR8" s="15">
        <f>+F46</f>
        <v>15</v>
      </c>
      <c r="BS8" s="19" t="str">
        <f>+F47</f>
        <v>27</v>
      </c>
      <c r="BT8" s="15">
        <f>F48</f>
        <v>6</v>
      </c>
      <c r="BU8" s="19" t="str">
        <f>+F49</f>
        <v>33</v>
      </c>
      <c r="BV8" s="15">
        <f>+F50</f>
        <v>4</v>
      </c>
      <c r="BW8" s="19" t="str">
        <f>+F51</f>
        <v>35</v>
      </c>
      <c r="BX8" s="15">
        <f>+F52</f>
        <v>3</v>
      </c>
      <c r="BY8" s="19" t="str">
        <f>+F53</f>
        <v>30</v>
      </c>
      <c r="BZ8" s="15">
        <f>+F54</f>
        <v>4</v>
      </c>
      <c r="CA8" s="19" t="str">
        <f>+F55</f>
        <v>32</v>
      </c>
      <c r="CB8" s="21">
        <f>+F56</f>
        <v>8</v>
      </c>
      <c r="CC8" s="19" t="str">
        <f>+F57</f>
        <v>32</v>
      </c>
      <c r="CD8" s="21">
        <f>+F58</f>
        <v>9</v>
      </c>
      <c r="CE8" s="19" t="str">
        <f>+F59</f>
        <v>31</v>
      </c>
      <c r="CF8" s="21">
        <f>+F60</f>
        <v>8</v>
      </c>
      <c r="CG8" s="19" t="str">
        <f>+F61</f>
        <v>32</v>
      </c>
      <c r="CH8" s="21">
        <f>+F62</f>
        <v>8</v>
      </c>
      <c r="CI8" s="19" t="str">
        <f>+F63</f>
        <v>31</v>
      </c>
      <c r="CJ8" s="21">
        <f>+F64</f>
        <v>7</v>
      </c>
      <c r="CK8" s="19" t="str">
        <f>+F65</f>
        <v>31</v>
      </c>
      <c r="CL8" s="15">
        <f>+F66</f>
        <v>7</v>
      </c>
      <c r="CM8" s="16"/>
      <c r="CN8" s="15">
        <v>5</v>
      </c>
      <c r="CO8" s="10" t="str">
        <f t="shared" si="0"/>
        <v>33007</v>
      </c>
      <c r="CP8" s="10" t="str">
        <f t="shared" si="1"/>
        <v>31010</v>
      </c>
      <c r="CQ8" s="17" t="s">
        <v>71</v>
      </c>
      <c r="CR8" s="10" t="str">
        <f t="shared" si="2"/>
        <v>29006</v>
      </c>
      <c r="CS8" s="17" t="s">
        <v>70</v>
      </c>
      <c r="CT8" s="10" t="str">
        <f t="shared" si="3"/>
        <v>30006</v>
      </c>
      <c r="CU8" s="10" t="str">
        <f t="shared" si="4"/>
        <v>31006</v>
      </c>
      <c r="CV8" s="17" t="s">
        <v>72</v>
      </c>
      <c r="CW8" s="10" t="str">
        <f t="shared" si="5"/>
        <v>32010</v>
      </c>
      <c r="CX8" s="10" t="str">
        <f t="shared" si="6"/>
        <v>33011</v>
      </c>
      <c r="CY8" s="17" t="s">
        <v>73</v>
      </c>
      <c r="CZ8" s="10" t="str">
        <f t="shared" si="7"/>
        <v>29013</v>
      </c>
      <c r="DA8" s="10" t="str">
        <f t="shared" si="8"/>
        <v>30010</v>
      </c>
      <c r="DB8" s="10" t="str">
        <f t="shared" si="9"/>
        <v>30003</v>
      </c>
      <c r="DC8" s="10" t="str">
        <f t="shared" si="10"/>
        <v>30006</v>
      </c>
      <c r="DD8" s="10" t="str">
        <f t="shared" si="11"/>
        <v>30011</v>
      </c>
      <c r="DE8" s="10" t="str">
        <f t="shared" si="12"/>
        <v>26006</v>
      </c>
      <c r="DF8" s="10" t="str">
        <f t="shared" si="13"/>
        <v>30007</v>
      </c>
      <c r="DG8" s="10" t="str">
        <f t="shared" si="14"/>
        <v>29018</v>
      </c>
      <c r="DH8" s="10" t="str">
        <f t="shared" si="15"/>
        <v>31010</v>
      </c>
      <c r="DI8" s="10" t="str">
        <f t="shared" si="16"/>
        <v>30014</v>
      </c>
      <c r="DJ8" s="10" t="str">
        <f t="shared" si="17"/>
        <v>29005</v>
      </c>
      <c r="DK8" s="10" t="str">
        <f t="shared" si="18"/>
        <v>30004</v>
      </c>
      <c r="DL8" s="10" t="str">
        <f t="shared" si="19"/>
        <v>32005</v>
      </c>
      <c r="DM8" s="10" t="str">
        <f t="shared" si="20"/>
        <v>31005</v>
      </c>
      <c r="DN8" s="10" t="str">
        <f t="shared" si="21"/>
        <v>30013</v>
      </c>
      <c r="DO8" s="10" t="str">
        <f t="shared" si="22"/>
        <v>32009</v>
      </c>
      <c r="DP8" s="10" t="str">
        <f t="shared" si="23"/>
        <v>33007</v>
      </c>
      <c r="DQ8" s="2" t="e">
        <f t="shared" si="24"/>
        <v>#REF!</v>
      </c>
      <c r="DR8" s="10" t="e">
        <f t="shared" si="25"/>
        <v>#REF!</v>
      </c>
      <c r="DS8" s="10" t="e">
        <f t="shared" si="26"/>
        <v>#REF!</v>
      </c>
    </row>
    <row r="9" spans="1:123" ht="12.75" customHeight="1" x14ac:dyDescent="0.3">
      <c r="A9" s="8">
        <v>3</v>
      </c>
      <c r="B9" s="14" t="s">
        <v>52</v>
      </c>
      <c r="C9" s="18" t="s">
        <v>6</v>
      </c>
      <c r="D9" s="18" t="s">
        <v>8</v>
      </c>
      <c r="E9" s="18" t="s">
        <v>7</v>
      </c>
      <c r="F9" s="18" t="s">
        <v>59</v>
      </c>
      <c r="G9" s="18" t="s">
        <v>29</v>
      </c>
      <c r="H9" s="18" t="s">
        <v>68</v>
      </c>
      <c r="I9" s="18" t="s">
        <v>46</v>
      </c>
      <c r="J9" s="18" t="s">
        <v>10</v>
      </c>
      <c r="K9" s="18" t="s">
        <v>10</v>
      </c>
      <c r="L9" s="18" t="s">
        <v>10</v>
      </c>
      <c r="M9" s="18" t="s">
        <v>11</v>
      </c>
      <c r="N9" s="18" t="s">
        <v>13</v>
      </c>
      <c r="O9" s="18" t="s">
        <v>11</v>
      </c>
      <c r="P9" s="18" t="s">
        <v>7</v>
      </c>
      <c r="Q9" s="18" t="s">
        <v>5</v>
      </c>
      <c r="R9" s="18" t="s">
        <v>10</v>
      </c>
      <c r="S9" s="18" t="s">
        <v>20</v>
      </c>
      <c r="T9" s="18" t="s">
        <v>20</v>
      </c>
      <c r="U9" s="18" t="s">
        <v>21</v>
      </c>
      <c r="V9" s="18" t="s">
        <v>18</v>
      </c>
      <c r="W9" s="18" t="s">
        <v>8</v>
      </c>
      <c r="X9" s="18" t="s">
        <v>9</v>
      </c>
      <c r="Y9" s="18" t="s">
        <v>7</v>
      </c>
      <c r="Z9" s="18" t="s">
        <v>7</v>
      </c>
      <c r="AB9" s="7" t="s">
        <v>4</v>
      </c>
      <c r="AC9" s="19" t="str">
        <f>+G5</f>
        <v>20</v>
      </c>
      <c r="AD9" s="15">
        <f>G6</f>
        <v>3</v>
      </c>
      <c r="AE9" s="19" t="str">
        <f>+G7</f>
        <v>30</v>
      </c>
      <c r="AF9" s="15">
        <f>+G8</f>
        <v>15</v>
      </c>
      <c r="AG9" s="19" t="str">
        <f>+G9</f>
        <v>29</v>
      </c>
      <c r="AH9" s="15">
        <f>+G10</f>
        <v>10</v>
      </c>
      <c r="AI9" s="19" t="str">
        <f>+G11</f>
        <v>31</v>
      </c>
      <c r="AJ9" s="15">
        <f>+G12</f>
        <v>6</v>
      </c>
      <c r="AK9" s="19" t="str">
        <f>+G13</f>
        <v>33</v>
      </c>
      <c r="AL9" s="21">
        <f>+G14</f>
        <v>8</v>
      </c>
      <c r="AM9" s="19" t="str">
        <f>+G15</f>
        <v>28</v>
      </c>
      <c r="AN9" s="15">
        <f>+G16</f>
        <v>4</v>
      </c>
      <c r="AO9" s="19" t="str">
        <f>+G17</f>
        <v>31</v>
      </c>
      <c r="AP9" s="21">
        <f>+G18</f>
        <v>6</v>
      </c>
      <c r="AQ9" s="19" t="str">
        <f>+G19</f>
        <v>33</v>
      </c>
      <c r="AR9" s="21">
        <f>+G20</f>
        <v>13</v>
      </c>
      <c r="AS9" s="19" t="str">
        <f>+G21</f>
        <v>33</v>
      </c>
      <c r="AT9" s="21">
        <f>+G22</f>
        <v>8</v>
      </c>
      <c r="AU9" s="19" t="str">
        <f>+G23</f>
        <v>34</v>
      </c>
      <c r="AV9" s="21">
        <f>+G24</f>
        <v>11</v>
      </c>
      <c r="AW9" s="19" t="str">
        <f>+G25</f>
        <v>31</v>
      </c>
      <c r="AX9" s="21">
        <f>+G26</f>
        <v>9</v>
      </c>
      <c r="AY9" s="19" t="str">
        <f>+G27</f>
        <v>31</v>
      </c>
      <c r="AZ9" s="21">
        <f>+G28</f>
        <v>11</v>
      </c>
      <c r="BA9" s="19" t="str">
        <f>+G29</f>
        <v>28</v>
      </c>
      <c r="BB9" s="21">
        <f>+G30</f>
        <v>7</v>
      </c>
      <c r="BC9" s="19" t="str">
        <f>+G31</f>
        <v>30</v>
      </c>
      <c r="BD9" s="15">
        <f>+G32</f>
        <v>6</v>
      </c>
      <c r="BE9" s="19" t="str">
        <f>+G33</f>
        <v>32</v>
      </c>
      <c r="BF9" s="15">
        <f>+G34</f>
        <v>7</v>
      </c>
      <c r="BG9" s="19" t="str">
        <f>+G35</f>
        <v>27</v>
      </c>
      <c r="BH9" s="15">
        <f>+G36</f>
        <v>16</v>
      </c>
      <c r="BI9" s="19" t="str">
        <f>+G37</f>
        <v>29</v>
      </c>
      <c r="BJ9" s="15">
        <f>+G38</f>
        <v>6</v>
      </c>
      <c r="BK9" s="19" t="str">
        <f>+G39</f>
        <v>07</v>
      </c>
      <c r="BL9" s="15">
        <f>+G40</f>
        <v>3</v>
      </c>
      <c r="BM9" s="19" t="str">
        <f>+G41</f>
        <v>30</v>
      </c>
      <c r="BN9" s="15">
        <f>+G42</f>
        <v>14</v>
      </c>
      <c r="BO9" s="19" t="str">
        <f>+G43</f>
        <v>31</v>
      </c>
      <c r="BP9" s="15">
        <f>+G44</f>
        <v>9</v>
      </c>
      <c r="BQ9" s="19" t="str">
        <f>+G45</f>
        <v>28</v>
      </c>
      <c r="BR9" s="15">
        <f>+G46</f>
        <v>14</v>
      </c>
      <c r="BS9" s="19" t="str">
        <f>+G47</f>
        <v>27</v>
      </c>
      <c r="BT9" s="15">
        <f>+G48</f>
        <v>8</v>
      </c>
      <c r="BU9" s="19" t="str">
        <f>+G49</f>
        <v>33</v>
      </c>
      <c r="BV9" s="15">
        <f>+G50</f>
        <v>4</v>
      </c>
      <c r="BW9" s="19" t="str">
        <f>+G51</f>
        <v>30</v>
      </c>
      <c r="BX9" s="15">
        <f>+G52</f>
        <v>6</v>
      </c>
      <c r="BY9" s="19" t="str">
        <f>+G53</f>
        <v>31</v>
      </c>
      <c r="BZ9" s="15">
        <f>+G54</f>
        <v>5</v>
      </c>
      <c r="CA9" s="19" t="str">
        <f>+G55</f>
        <v>32</v>
      </c>
      <c r="CB9" s="15">
        <f>+G56</f>
        <v>8</v>
      </c>
      <c r="CC9" s="19" t="str">
        <f>+G57</f>
        <v>32</v>
      </c>
      <c r="CD9" s="15">
        <f>+G58</f>
        <v>9</v>
      </c>
      <c r="CE9" s="19" t="str">
        <f>+G59</f>
        <v>30</v>
      </c>
      <c r="CF9" s="15">
        <f>+G60</f>
        <v>9</v>
      </c>
      <c r="CG9" s="19" t="str">
        <f>+G61</f>
        <v>32</v>
      </c>
      <c r="CH9" s="15">
        <f>+G62</f>
        <v>6</v>
      </c>
      <c r="CI9" s="19" t="str">
        <f>+G63</f>
        <v>30</v>
      </c>
      <c r="CJ9" s="21">
        <f>+G64</f>
        <v>5</v>
      </c>
      <c r="CK9" s="19" t="str">
        <f>+G65</f>
        <v>32</v>
      </c>
      <c r="CL9" s="21">
        <f>+G66</f>
        <v>8</v>
      </c>
      <c r="CM9" s="16"/>
      <c r="CN9" s="15">
        <v>6</v>
      </c>
      <c r="CO9" s="10" t="str">
        <f t="shared" si="0"/>
        <v>30007</v>
      </c>
      <c r="CP9" s="10" t="str">
        <f t="shared" si="1"/>
        <v>11010</v>
      </c>
      <c r="CQ9" s="17" t="s">
        <v>74</v>
      </c>
      <c r="CR9" s="10" t="str">
        <f t="shared" si="2"/>
        <v>32008</v>
      </c>
      <c r="CS9" s="17" t="s">
        <v>75</v>
      </c>
      <c r="CT9" s="10" t="str">
        <f t="shared" si="3"/>
        <v>28007</v>
      </c>
      <c r="CU9" s="10" t="str">
        <f t="shared" si="4"/>
        <v>30009</v>
      </c>
      <c r="CV9" s="17" t="s">
        <v>76</v>
      </c>
      <c r="CW9" s="10" t="str">
        <f t="shared" si="5"/>
        <v>32009</v>
      </c>
      <c r="CX9" s="10" t="str">
        <f t="shared" si="6"/>
        <v>32012</v>
      </c>
      <c r="CY9" s="17" t="s">
        <v>77</v>
      </c>
      <c r="CZ9" s="10" t="str">
        <f t="shared" si="7"/>
        <v>31013</v>
      </c>
      <c r="DA9" s="10" t="str">
        <f t="shared" si="8"/>
        <v>27007</v>
      </c>
      <c r="DB9" s="10" t="str">
        <f t="shared" si="9"/>
        <v>28005</v>
      </c>
      <c r="DC9" s="10" t="str">
        <f t="shared" si="10"/>
        <v>31008</v>
      </c>
      <c r="DD9" s="10" t="str">
        <f t="shared" si="11"/>
        <v>30013</v>
      </c>
      <c r="DE9" s="10" t="str">
        <f t="shared" si="12"/>
        <v>26006</v>
      </c>
      <c r="DF9" s="10" t="str">
        <f t="shared" si="13"/>
        <v>24007</v>
      </c>
      <c r="DG9" s="10" t="str">
        <f t="shared" si="14"/>
        <v>30013</v>
      </c>
      <c r="DH9" s="10" t="str">
        <f t="shared" si="15"/>
        <v>32006</v>
      </c>
      <c r="DI9" s="10" t="str">
        <f t="shared" si="16"/>
        <v>30018</v>
      </c>
      <c r="DJ9" s="10" t="str">
        <f t="shared" si="17"/>
        <v>29005</v>
      </c>
      <c r="DK9" s="10" t="str">
        <f t="shared" si="18"/>
        <v>30004</v>
      </c>
      <c r="DL9" s="10" t="str">
        <f t="shared" si="19"/>
        <v>30002</v>
      </c>
      <c r="DM9" s="10" t="str">
        <f t="shared" si="20"/>
        <v>31008</v>
      </c>
      <c r="DN9" s="10" t="str">
        <f t="shared" si="21"/>
        <v>29010</v>
      </c>
      <c r="DO9" s="10" t="str">
        <f t="shared" si="22"/>
        <v>31010</v>
      </c>
      <c r="DP9" s="10" t="str">
        <f t="shared" si="23"/>
        <v>28010</v>
      </c>
      <c r="DQ9" s="2" t="e">
        <f t="shared" si="24"/>
        <v>#REF!</v>
      </c>
      <c r="DR9" s="10" t="e">
        <f t="shared" si="25"/>
        <v>#REF!</v>
      </c>
      <c r="DS9" s="10" t="e">
        <f t="shared" si="26"/>
        <v>#REF!</v>
      </c>
    </row>
    <row r="10" spans="1:123" ht="12.75" customHeight="1" x14ac:dyDescent="0.3">
      <c r="A10" s="8"/>
      <c r="B10" s="15" t="s">
        <v>53</v>
      </c>
      <c r="C10" s="20">
        <v>3</v>
      </c>
      <c r="D10" s="20">
        <v>4</v>
      </c>
      <c r="E10" s="20">
        <v>5</v>
      </c>
      <c r="F10" s="20">
        <v>6</v>
      </c>
      <c r="G10" s="20">
        <v>10</v>
      </c>
      <c r="H10" s="20">
        <v>6</v>
      </c>
      <c r="I10" s="20">
        <v>0</v>
      </c>
      <c r="J10" s="20">
        <v>4</v>
      </c>
      <c r="K10" s="20">
        <v>4</v>
      </c>
      <c r="L10" s="20">
        <v>3</v>
      </c>
      <c r="M10" s="20">
        <v>4</v>
      </c>
      <c r="N10" s="20">
        <v>3</v>
      </c>
      <c r="O10" s="20">
        <v>4</v>
      </c>
      <c r="P10" s="20">
        <v>3</v>
      </c>
      <c r="Q10" s="20">
        <v>3</v>
      </c>
      <c r="R10" s="20">
        <v>3</v>
      </c>
      <c r="S10" s="20">
        <v>3</v>
      </c>
      <c r="T10" s="20">
        <v>2</v>
      </c>
      <c r="U10" s="20">
        <v>3</v>
      </c>
      <c r="V10" s="20">
        <v>3</v>
      </c>
      <c r="W10" s="20">
        <v>4</v>
      </c>
      <c r="X10" s="20">
        <v>5</v>
      </c>
      <c r="Y10" s="20">
        <v>4</v>
      </c>
      <c r="Z10" s="20">
        <v>4</v>
      </c>
      <c r="AB10" s="7" t="s">
        <v>5</v>
      </c>
      <c r="AC10" s="19" t="str">
        <f>+H5</f>
        <v>33</v>
      </c>
      <c r="AD10" s="15">
        <f>H6</f>
        <v>7</v>
      </c>
      <c r="AE10" s="19" t="str">
        <f>+H7</f>
        <v>31</v>
      </c>
      <c r="AF10" s="15">
        <f>+H8</f>
        <v>10</v>
      </c>
      <c r="AG10" s="19" t="str">
        <f>+H9</f>
        <v>32</v>
      </c>
      <c r="AH10" s="15">
        <f>+H10</f>
        <v>6</v>
      </c>
      <c r="AI10" s="19" t="str">
        <f>+H11</f>
        <v>29</v>
      </c>
      <c r="AJ10" s="15">
        <f>+H12</f>
        <v>6</v>
      </c>
      <c r="AK10" s="19" t="str">
        <f>+H13</f>
        <v>33</v>
      </c>
      <c r="AL10" s="15">
        <f>+H14</f>
        <v>8</v>
      </c>
      <c r="AM10" s="19" t="str">
        <f>+H15</f>
        <v>30</v>
      </c>
      <c r="AN10" s="15">
        <f>+H16</f>
        <v>6</v>
      </c>
      <c r="AO10" s="19" t="str">
        <f>+H17</f>
        <v>31</v>
      </c>
      <c r="AP10" s="15">
        <f>+H18</f>
        <v>6</v>
      </c>
      <c r="AQ10" s="19" t="str">
        <f>+H19</f>
        <v>32</v>
      </c>
      <c r="AR10" s="15">
        <f>+H20</f>
        <v>15</v>
      </c>
      <c r="AS10" s="19" t="str">
        <f>+H21</f>
        <v>32</v>
      </c>
      <c r="AT10" s="15">
        <f>+H22</f>
        <v>10</v>
      </c>
      <c r="AU10" s="19" t="str">
        <f>+H23</f>
        <v>33</v>
      </c>
      <c r="AV10" s="15">
        <f>+H24</f>
        <v>11</v>
      </c>
      <c r="AW10" s="19" t="str">
        <f>+H25</f>
        <v>32</v>
      </c>
      <c r="AX10" s="15">
        <f>+H26</f>
        <v>9</v>
      </c>
      <c r="AY10" s="19" t="str">
        <f>+H27</f>
        <v>29</v>
      </c>
      <c r="AZ10" s="15">
        <f>+H28</f>
        <v>13</v>
      </c>
      <c r="BA10" s="19" t="str">
        <f>+H29</f>
        <v>30</v>
      </c>
      <c r="BB10" s="15">
        <f>+H30</f>
        <v>10</v>
      </c>
      <c r="BC10" s="19" t="str">
        <f>+H31</f>
        <v>30</v>
      </c>
      <c r="BD10" s="15">
        <f>+H32</f>
        <v>3</v>
      </c>
      <c r="BE10" s="19" t="str">
        <f>+H33</f>
        <v>30</v>
      </c>
      <c r="BF10" s="15">
        <f>+H34</f>
        <v>6</v>
      </c>
      <c r="BG10" s="19" t="str">
        <f>+H35</f>
        <v>30</v>
      </c>
      <c r="BH10" s="15">
        <f>+H36</f>
        <v>11</v>
      </c>
      <c r="BI10" s="19" t="str">
        <f>+H37</f>
        <v>26</v>
      </c>
      <c r="BJ10" s="15">
        <f>+H38</f>
        <v>6</v>
      </c>
      <c r="BK10" s="19" t="str">
        <f>+H39</f>
        <v>30</v>
      </c>
      <c r="BL10" s="15">
        <f>+H40</f>
        <v>7</v>
      </c>
      <c r="BM10" s="19" t="str">
        <f>+H41</f>
        <v>29</v>
      </c>
      <c r="BN10" s="15">
        <f>+H42</f>
        <v>18</v>
      </c>
      <c r="BO10" s="19" t="str">
        <f>+H43</f>
        <v>31</v>
      </c>
      <c r="BP10" s="15">
        <f>+H44</f>
        <v>10</v>
      </c>
      <c r="BQ10" s="19" t="str">
        <f>+H45</f>
        <v>30</v>
      </c>
      <c r="BR10" s="15">
        <f>+H46</f>
        <v>14</v>
      </c>
      <c r="BS10" s="19" t="str">
        <f>+H47</f>
        <v>29</v>
      </c>
      <c r="BT10" s="15">
        <f>+H48</f>
        <v>5</v>
      </c>
      <c r="BU10" s="19" t="str">
        <f>+H49</f>
        <v>30</v>
      </c>
      <c r="BV10" s="15">
        <f>+H50</f>
        <v>4</v>
      </c>
      <c r="BW10" s="19" t="str">
        <f>+H51</f>
        <v>32</v>
      </c>
      <c r="BX10" s="15">
        <f>+H52</f>
        <v>5</v>
      </c>
      <c r="BY10" s="19" t="str">
        <f>+H53</f>
        <v>31</v>
      </c>
      <c r="BZ10" s="15">
        <f>+H54</f>
        <v>5</v>
      </c>
      <c r="CA10" s="19" t="str">
        <f>+H55</f>
        <v>30</v>
      </c>
      <c r="CB10" s="15">
        <f>+H56</f>
        <v>13</v>
      </c>
      <c r="CC10" s="19" t="str">
        <f>+H57</f>
        <v>32</v>
      </c>
      <c r="CD10" s="15">
        <f>+H58</f>
        <v>9</v>
      </c>
      <c r="CE10" s="19" t="str">
        <f>+H59</f>
        <v>33</v>
      </c>
      <c r="CF10" s="15">
        <f>+H60</f>
        <v>7</v>
      </c>
      <c r="CG10" s="19" t="str">
        <f>+H61</f>
        <v>26</v>
      </c>
      <c r="CH10" s="15">
        <f>+H62</f>
        <v>7</v>
      </c>
      <c r="CI10" s="19" t="str">
        <f>+H63</f>
        <v>27</v>
      </c>
      <c r="CJ10" s="21">
        <f>+H64</f>
        <v>2</v>
      </c>
      <c r="CK10" s="19" t="str">
        <f>+H65</f>
        <v>29</v>
      </c>
      <c r="CL10" s="21">
        <f>+H66</f>
        <v>9</v>
      </c>
      <c r="CM10" s="16"/>
      <c r="CN10" s="15">
        <v>7</v>
      </c>
      <c r="CO10" s="10" t="str">
        <f t="shared" si="0"/>
        <v>28005</v>
      </c>
      <c r="CP10" s="10" t="str">
        <f t="shared" si="1"/>
        <v>16004</v>
      </c>
      <c r="CQ10" s="17" t="s">
        <v>78</v>
      </c>
      <c r="CR10" s="10" t="str">
        <f t="shared" si="2"/>
        <v>26004</v>
      </c>
      <c r="CS10" s="17" t="s">
        <v>79</v>
      </c>
      <c r="CT10" s="10" t="str">
        <f t="shared" si="3"/>
        <v>31008</v>
      </c>
      <c r="CU10" s="10" t="str">
        <f t="shared" si="4"/>
        <v>31006</v>
      </c>
      <c r="CV10" s="17" t="s">
        <v>80</v>
      </c>
      <c r="CW10" s="10" t="str">
        <f t="shared" si="5"/>
        <v>32004</v>
      </c>
      <c r="CX10" s="10" t="str">
        <f t="shared" si="6"/>
        <v>31012</v>
      </c>
      <c r="CY10" s="17" t="s">
        <v>77</v>
      </c>
      <c r="CZ10" s="10" t="str">
        <f t="shared" si="7"/>
        <v>32014</v>
      </c>
      <c r="DA10" s="10" t="str">
        <f t="shared" si="8"/>
        <v>30004</v>
      </c>
      <c r="DB10" s="10" t="str">
        <f t="shared" si="9"/>
        <v>31003</v>
      </c>
      <c r="DC10" s="10" t="str">
        <f t="shared" si="10"/>
        <v>30007</v>
      </c>
      <c r="DD10" s="10" t="str">
        <f t="shared" si="11"/>
        <v>27008</v>
      </c>
      <c r="DE10" s="10" t="str">
        <f t="shared" si="12"/>
        <v>25006</v>
      </c>
      <c r="DF10" s="10" t="str">
        <f t="shared" si="13"/>
        <v>26005</v>
      </c>
      <c r="DG10" s="10" t="str">
        <f t="shared" si="14"/>
        <v>29015</v>
      </c>
      <c r="DH10" s="10" t="str">
        <f t="shared" si="15"/>
        <v>31007</v>
      </c>
      <c r="DI10" s="10" t="str">
        <f t="shared" si="16"/>
        <v>29014</v>
      </c>
      <c r="DJ10" s="10" t="str">
        <f t="shared" si="17"/>
        <v>27008</v>
      </c>
      <c r="DK10" s="10" t="str">
        <f t="shared" si="18"/>
        <v>31005</v>
      </c>
      <c r="DL10" s="10" t="str">
        <f t="shared" si="19"/>
        <v>30003</v>
      </c>
      <c r="DM10" s="10" t="str">
        <f t="shared" si="20"/>
        <v>31007</v>
      </c>
      <c r="DN10" s="10" t="str">
        <f t="shared" si="21"/>
        <v>28009</v>
      </c>
      <c r="DO10" s="10" t="str">
        <f t="shared" si="22"/>
        <v>30007</v>
      </c>
      <c r="DP10" s="10" t="str">
        <f t="shared" si="23"/>
        <v>31008</v>
      </c>
      <c r="DQ10" s="2" t="e">
        <f t="shared" si="24"/>
        <v>#REF!</v>
      </c>
      <c r="DR10" s="10" t="e">
        <f t="shared" si="25"/>
        <v>#REF!</v>
      </c>
      <c r="DS10" s="10" t="e">
        <f t="shared" si="26"/>
        <v>#REF!</v>
      </c>
    </row>
    <row r="11" spans="1:123" ht="12.75" customHeight="1" x14ac:dyDescent="0.3">
      <c r="A11" s="8">
        <v>4</v>
      </c>
      <c r="B11" s="14" t="s">
        <v>52</v>
      </c>
      <c r="C11" s="18" t="s">
        <v>22</v>
      </c>
      <c r="D11" s="18" t="s">
        <v>7</v>
      </c>
      <c r="E11" s="18" t="s">
        <v>8</v>
      </c>
      <c r="F11" s="18" t="s">
        <v>81</v>
      </c>
      <c r="G11" s="18" t="s">
        <v>31</v>
      </c>
      <c r="H11" s="18" t="s">
        <v>29</v>
      </c>
      <c r="I11" s="18" t="s">
        <v>68</v>
      </c>
      <c r="J11" s="18" t="s">
        <v>26</v>
      </c>
      <c r="K11" s="18" t="s">
        <v>30</v>
      </c>
      <c r="L11" s="18" t="s">
        <v>27</v>
      </c>
      <c r="M11" s="18" t="s">
        <v>21</v>
      </c>
      <c r="N11" s="18" t="s">
        <v>15</v>
      </c>
      <c r="O11" s="18" t="s">
        <v>12</v>
      </c>
      <c r="P11" s="18" t="s">
        <v>8</v>
      </c>
      <c r="Q11" s="18" t="s">
        <v>7</v>
      </c>
      <c r="R11" s="18" t="s">
        <v>12</v>
      </c>
      <c r="S11" s="18" t="s">
        <v>11</v>
      </c>
      <c r="T11" s="18" t="s">
        <v>12</v>
      </c>
      <c r="U11" s="18" t="s">
        <v>10</v>
      </c>
      <c r="V11" s="18" t="s">
        <v>9</v>
      </c>
      <c r="W11" s="18" t="s">
        <v>10</v>
      </c>
      <c r="X11" s="18" t="s">
        <v>7</v>
      </c>
      <c r="Y11" s="18" t="s">
        <v>10</v>
      </c>
      <c r="Z11" s="18" t="s">
        <v>9</v>
      </c>
      <c r="AB11" s="7" t="s">
        <v>6</v>
      </c>
      <c r="AC11" s="19" t="str">
        <f>+I5</f>
        <v>30</v>
      </c>
      <c r="AD11" s="15">
        <f>I6</f>
        <v>7</v>
      </c>
      <c r="AE11" s="19" t="str">
        <f>+I7</f>
        <v>11</v>
      </c>
      <c r="AF11" s="15">
        <f>+I8</f>
        <v>10</v>
      </c>
      <c r="AG11" s="19" t="str">
        <f>+I9</f>
        <v>00</v>
      </c>
      <c r="AH11" s="15">
        <f>+I10</f>
        <v>0</v>
      </c>
      <c r="AI11" s="19" t="str">
        <f>+I11</f>
        <v>32</v>
      </c>
      <c r="AJ11" s="15">
        <f>+I12</f>
        <v>8</v>
      </c>
      <c r="AK11" s="19" t="str">
        <f>+I13</f>
        <v>21</v>
      </c>
      <c r="AL11" s="15">
        <f>+I14</f>
        <v>8</v>
      </c>
      <c r="AM11" s="19" t="str">
        <f>+I15</f>
        <v>28</v>
      </c>
      <c r="AN11" s="15">
        <f>+I16</f>
        <v>7</v>
      </c>
      <c r="AO11" s="19" t="str">
        <f>+I17</f>
        <v>30</v>
      </c>
      <c r="AP11" s="15">
        <f>+I18</f>
        <v>9</v>
      </c>
      <c r="AQ11" s="19" t="str">
        <f>+I19</f>
        <v>33</v>
      </c>
      <c r="AR11" s="15">
        <f>+I20</f>
        <v>11</v>
      </c>
      <c r="AS11" s="19" t="str">
        <f>+I21</f>
        <v>32</v>
      </c>
      <c r="AT11" s="15">
        <f>+I22</f>
        <v>9</v>
      </c>
      <c r="AU11" s="19" t="str">
        <f>+I23</f>
        <v>32</v>
      </c>
      <c r="AV11" s="15">
        <f>+I24</f>
        <v>12</v>
      </c>
      <c r="AW11" s="19" t="str">
        <f>+I25</f>
        <v>31</v>
      </c>
      <c r="AX11" s="15">
        <f>+I26</f>
        <v>10</v>
      </c>
      <c r="AY11" s="19" t="str">
        <f>+I27</f>
        <v>31</v>
      </c>
      <c r="AZ11" s="15">
        <f>+I28</f>
        <v>13</v>
      </c>
      <c r="BA11" s="19" t="str">
        <f>+I29</f>
        <v>27</v>
      </c>
      <c r="BB11" s="15">
        <f>+I30</f>
        <v>7</v>
      </c>
      <c r="BC11" s="19" t="str">
        <f>+I31</f>
        <v>28</v>
      </c>
      <c r="BD11" s="15">
        <f>+I32</f>
        <v>5</v>
      </c>
      <c r="BE11" s="19" t="str">
        <f>+I33</f>
        <v>31</v>
      </c>
      <c r="BF11" s="15">
        <f>+I34</f>
        <v>8</v>
      </c>
      <c r="BG11" s="19" t="str">
        <f>+I35</f>
        <v>30</v>
      </c>
      <c r="BH11" s="15">
        <f>+I36</f>
        <v>13</v>
      </c>
      <c r="BI11" s="19" t="str">
        <f>+I37</f>
        <v>26</v>
      </c>
      <c r="BJ11" s="15">
        <f>+I38</f>
        <v>6</v>
      </c>
      <c r="BK11" s="19" t="str">
        <f>+I39</f>
        <v>24</v>
      </c>
      <c r="BL11" s="15">
        <f>+I40</f>
        <v>7</v>
      </c>
      <c r="BM11" s="19" t="str">
        <f>+I41</f>
        <v>30</v>
      </c>
      <c r="BN11" s="15">
        <f>+I42</f>
        <v>13</v>
      </c>
      <c r="BO11" s="19" t="str">
        <f>+I43</f>
        <v>32</v>
      </c>
      <c r="BP11" s="15">
        <f>+I44</f>
        <v>6</v>
      </c>
      <c r="BQ11" s="19" t="str">
        <f>+I45</f>
        <v>30</v>
      </c>
      <c r="BR11" s="15">
        <f>+I46</f>
        <v>18</v>
      </c>
      <c r="BS11" s="19" t="str">
        <f>+I47</f>
        <v>29</v>
      </c>
      <c r="BT11" s="15">
        <f>+I48</f>
        <v>5</v>
      </c>
      <c r="BU11" s="19" t="str">
        <f>+I49</f>
        <v>30</v>
      </c>
      <c r="BV11" s="15">
        <f>+I50</f>
        <v>4</v>
      </c>
      <c r="BW11" s="19" t="str">
        <f>+I51</f>
        <v>30</v>
      </c>
      <c r="BX11" s="15">
        <f>+I52</f>
        <v>2</v>
      </c>
      <c r="BY11" s="19" t="str">
        <f>+I53</f>
        <v>31</v>
      </c>
      <c r="BZ11" s="15">
        <f>+I54</f>
        <v>8</v>
      </c>
      <c r="CA11" s="19" t="str">
        <f>+I55</f>
        <v>29</v>
      </c>
      <c r="CB11" s="15">
        <f>+I56</f>
        <v>10</v>
      </c>
      <c r="CC11" s="19" t="str">
        <f>+I57</f>
        <v>31</v>
      </c>
      <c r="CD11" s="15">
        <f>+I58</f>
        <v>10</v>
      </c>
      <c r="CE11" s="19" t="str">
        <f>+I59</f>
        <v>28</v>
      </c>
      <c r="CF11" s="15">
        <f>+I60</f>
        <v>10</v>
      </c>
      <c r="CG11" s="19" t="str">
        <f>+I61</f>
        <v>29</v>
      </c>
      <c r="CH11" s="15">
        <f>+I62</f>
        <v>8</v>
      </c>
      <c r="CI11" s="19" t="str">
        <f>+I63</f>
        <v>24</v>
      </c>
      <c r="CJ11" s="15">
        <f>+I64</f>
        <v>5</v>
      </c>
      <c r="CK11" s="19" t="str">
        <f>+I65</f>
        <v>29</v>
      </c>
      <c r="CL11" s="15">
        <f>+I66</f>
        <v>9</v>
      </c>
      <c r="CM11" s="16"/>
      <c r="CN11" s="15">
        <v>8</v>
      </c>
      <c r="CO11" s="10" t="str">
        <f t="shared" si="0"/>
        <v>31005</v>
      </c>
      <c r="CP11" s="10" t="str">
        <f t="shared" si="1"/>
        <v>03004</v>
      </c>
      <c r="CQ11" s="17" t="s">
        <v>78</v>
      </c>
      <c r="CR11" s="10" t="str">
        <f t="shared" si="2"/>
        <v>30002</v>
      </c>
      <c r="CS11" s="17" t="s">
        <v>82</v>
      </c>
      <c r="CT11" s="10" t="str">
        <f t="shared" si="3"/>
        <v>11004</v>
      </c>
      <c r="CU11" s="10" t="str">
        <f t="shared" si="4"/>
        <v>31007</v>
      </c>
      <c r="CV11" s="17" t="s">
        <v>83</v>
      </c>
      <c r="CW11" s="10" t="str">
        <f t="shared" si="5"/>
        <v>30005</v>
      </c>
      <c r="CX11" s="10" t="str">
        <f t="shared" si="6"/>
        <v>32009</v>
      </c>
      <c r="CY11" s="17" t="s">
        <v>84</v>
      </c>
      <c r="CZ11" s="10" t="str">
        <f t="shared" si="7"/>
        <v>30011</v>
      </c>
      <c r="DA11" s="10" t="str">
        <f t="shared" si="8"/>
        <v>30007</v>
      </c>
      <c r="DB11" s="10" t="str">
        <f t="shared" si="9"/>
        <v>32004</v>
      </c>
      <c r="DC11" s="10" t="str">
        <f t="shared" si="10"/>
        <v>31007</v>
      </c>
      <c r="DD11" s="10" t="str">
        <f t="shared" si="11"/>
        <v>29007</v>
      </c>
      <c r="DE11" s="10" t="str">
        <f t="shared" si="12"/>
        <v>23008</v>
      </c>
      <c r="DF11" s="10" t="str">
        <f t="shared" si="13"/>
        <v>24005</v>
      </c>
      <c r="DG11" s="10" t="str">
        <f t="shared" si="14"/>
        <v>26010</v>
      </c>
      <c r="DH11" s="10" t="str">
        <f t="shared" si="15"/>
        <v>32003</v>
      </c>
      <c r="DI11" s="10" t="str">
        <f t="shared" si="16"/>
        <v>28011</v>
      </c>
      <c r="DJ11" s="10" t="str">
        <f t="shared" si="17"/>
        <v>27004</v>
      </c>
      <c r="DK11" s="10" t="str">
        <f t="shared" si="18"/>
        <v>22010</v>
      </c>
      <c r="DL11" s="10" t="str">
        <f t="shared" si="19"/>
        <v>29002</v>
      </c>
      <c r="DM11" s="10" t="str">
        <f t="shared" si="20"/>
        <v>29006</v>
      </c>
      <c r="DN11" s="10" t="str">
        <f t="shared" si="21"/>
        <v>27008</v>
      </c>
      <c r="DO11" s="10" t="str">
        <f t="shared" si="22"/>
        <v>31008</v>
      </c>
      <c r="DP11" s="10" t="str">
        <f t="shared" si="23"/>
        <v>30007</v>
      </c>
      <c r="DQ11" s="2" t="e">
        <f t="shared" si="24"/>
        <v>#REF!</v>
      </c>
      <c r="DR11" s="10" t="e">
        <f t="shared" si="25"/>
        <v>#REF!</v>
      </c>
      <c r="DS11" s="10" t="e">
        <f t="shared" si="26"/>
        <v>#REF!</v>
      </c>
    </row>
    <row r="12" spans="1:123" ht="12.75" customHeight="1" x14ac:dyDescent="0.3">
      <c r="A12" s="8"/>
      <c r="B12" s="15" t="s">
        <v>53</v>
      </c>
      <c r="C12" s="20">
        <v>2</v>
      </c>
      <c r="D12" s="20">
        <v>2</v>
      </c>
      <c r="E12" s="20">
        <v>4</v>
      </c>
      <c r="F12" s="20">
        <v>4</v>
      </c>
      <c r="G12" s="20">
        <v>6</v>
      </c>
      <c r="H12" s="20">
        <v>6</v>
      </c>
      <c r="I12" s="20">
        <v>8</v>
      </c>
      <c r="J12" s="20">
        <v>4</v>
      </c>
      <c r="K12" s="20">
        <v>2</v>
      </c>
      <c r="L12" s="20">
        <v>3</v>
      </c>
      <c r="M12" s="20">
        <v>2</v>
      </c>
      <c r="N12" s="20">
        <v>2</v>
      </c>
      <c r="O12" s="20">
        <v>2</v>
      </c>
      <c r="P12" s="20">
        <v>3</v>
      </c>
      <c r="Q12" s="20">
        <v>2</v>
      </c>
      <c r="R12" s="20">
        <v>3</v>
      </c>
      <c r="S12" s="20">
        <v>2</v>
      </c>
      <c r="T12" s="20">
        <v>3</v>
      </c>
      <c r="U12" s="20">
        <v>3</v>
      </c>
      <c r="V12" s="20">
        <v>2</v>
      </c>
      <c r="W12" s="20">
        <v>2</v>
      </c>
      <c r="X12" s="20">
        <v>5</v>
      </c>
      <c r="Y12" s="20">
        <v>4</v>
      </c>
      <c r="Z12" s="20">
        <v>5</v>
      </c>
      <c r="AB12" s="7" t="s">
        <v>7</v>
      </c>
      <c r="AC12" s="19" t="str">
        <f>+J5</f>
        <v>28</v>
      </c>
      <c r="AD12" s="15">
        <f>J6</f>
        <v>5</v>
      </c>
      <c r="AE12" s="19" t="str">
        <f>+J7</f>
        <v>16</v>
      </c>
      <c r="AF12" s="15">
        <f>+J8</f>
        <v>4</v>
      </c>
      <c r="AG12" s="19" t="str">
        <f>+J9</f>
        <v>10</v>
      </c>
      <c r="AH12" s="15">
        <f>+J10</f>
        <v>4</v>
      </c>
      <c r="AI12" s="19" t="str">
        <f>+J11</f>
        <v>26</v>
      </c>
      <c r="AJ12" s="21">
        <f>+J12</f>
        <v>4</v>
      </c>
      <c r="AK12" s="19" t="str">
        <f>+J13</f>
        <v>14</v>
      </c>
      <c r="AL12" s="21">
        <f>+J14</f>
        <v>7</v>
      </c>
      <c r="AM12" s="19" t="str">
        <f>+J15</f>
        <v>31</v>
      </c>
      <c r="AN12" s="21">
        <f>+J16</f>
        <v>8</v>
      </c>
      <c r="AO12" s="19" t="str">
        <f>+J17</f>
        <v>31</v>
      </c>
      <c r="AP12" s="21">
        <f>+J18</f>
        <v>6</v>
      </c>
      <c r="AQ12" s="19" t="str">
        <f>+J19</f>
        <v>33</v>
      </c>
      <c r="AR12" s="21">
        <f>+J20</f>
        <v>17</v>
      </c>
      <c r="AS12" s="19" t="str">
        <f>+J21</f>
        <v>32</v>
      </c>
      <c r="AT12" s="21">
        <f>+J22</f>
        <v>4</v>
      </c>
      <c r="AU12" s="19" t="str">
        <f>+J23</f>
        <v>31</v>
      </c>
      <c r="AV12" s="21">
        <f>+J24</f>
        <v>12</v>
      </c>
      <c r="AW12" s="19" t="str">
        <f>+J25</f>
        <v>31</v>
      </c>
      <c r="AX12" s="15">
        <f>+J26</f>
        <v>10</v>
      </c>
      <c r="AY12" s="19" t="str">
        <f>+J27</f>
        <v>32</v>
      </c>
      <c r="AZ12" s="15">
        <f>+J28</f>
        <v>14</v>
      </c>
      <c r="BA12" s="19" t="str">
        <f>+J29</f>
        <v>30</v>
      </c>
      <c r="BB12" s="21">
        <f>+J30</f>
        <v>4</v>
      </c>
      <c r="BC12" s="19" t="str">
        <f>+J31</f>
        <v>31</v>
      </c>
      <c r="BD12" s="15">
        <f>+J32</f>
        <v>3</v>
      </c>
      <c r="BE12" s="19" t="str">
        <f>+J33</f>
        <v>30</v>
      </c>
      <c r="BF12" s="15">
        <f>+J34</f>
        <v>7</v>
      </c>
      <c r="BG12" s="19" t="str">
        <f>+J35</f>
        <v>27</v>
      </c>
      <c r="BH12" s="15">
        <f>+J36</f>
        <v>8</v>
      </c>
      <c r="BI12" s="19" t="str">
        <f>+J37</f>
        <v>25</v>
      </c>
      <c r="BJ12" s="15">
        <f>+J38</f>
        <v>6</v>
      </c>
      <c r="BK12" s="19" t="str">
        <f>+J39</f>
        <v>26</v>
      </c>
      <c r="BL12" s="15">
        <f>+J40</f>
        <v>5</v>
      </c>
      <c r="BM12" s="19" t="str">
        <f>+J41</f>
        <v>29</v>
      </c>
      <c r="BN12" s="15">
        <f>+J42</f>
        <v>15</v>
      </c>
      <c r="BO12" s="19" t="str">
        <f>+J43</f>
        <v>31</v>
      </c>
      <c r="BP12" s="15">
        <f>+J44</f>
        <v>7</v>
      </c>
      <c r="BQ12" s="19" t="str">
        <f>+J45</f>
        <v>29</v>
      </c>
      <c r="BR12" s="15">
        <f>+J46</f>
        <v>14</v>
      </c>
      <c r="BS12" s="19" t="str">
        <f>+J47</f>
        <v>27</v>
      </c>
      <c r="BT12" s="15">
        <f>+J48</f>
        <v>8</v>
      </c>
      <c r="BU12" s="19" t="str">
        <f>+J49</f>
        <v>31</v>
      </c>
      <c r="BV12" s="15">
        <f>+J50</f>
        <v>5</v>
      </c>
      <c r="BW12" s="19" t="str">
        <f>+J51</f>
        <v>30</v>
      </c>
      <c r="BX12" s="15">
        <f>+J52</f>
        <v>3</v>
      </c>
      <c r="BY12" s="19" t="str">
        <f>+J53</f>
        <v>31</v>
      </c>
      <c r="BZ12" s="21">
        <f>+J54</f>
        <v>7</v>
      </c>
      <c r="CA12" s="19" t="str">
        <f>+J55</f>
        <v>28</v>
      </c>
      <c r="CB12" s="21">
        <f>+J56</f>
        <v>9</v>
      </c>
      <c r="CC12" s="19" t="str">
        <f>+J57</f>
        <v>30</v>
      </c>
      <c r="CD12" s="21">
        <f>+J58</f>
        <v>7</v>
      </c>
      <c r="CE12" s="19" t="str">
        <f>+J59</f>
        <v>31</v>
      </c>
      <c r="CF12" s="21">
        <f>+J60</f>
        <v>8</v>
      </c>
      <c r="CG12" s="19" t="str">
        <f>+J61</f>
        <v>31</v>
      </c>
      <c r="CH12" s="15">
        <f>+J62</f>
        <v>10</v>
      </c>
      <c r="CI12" s="19" t="str">
        <f>+J63</f>
        <v>31</v>
      </c>
      <c r="CJ12" s="15">
        <f>+J64</f>
        <v>4</v>
      </c>
      <c r="CK12" s="19" t="str">
        <f>+J65</f>
        <v>29</v>
      </c>
      <c r="CL12" s="15">
        <f>+J66</f>
        <v>10</v>
      </c>
      <c r="CM12" s="16"/>
      <c r="CN12" s="15">
        <v>9</v>
      </c>
      <c r="CO12" s="10" t="str">
        <f t="shared" si="0"/>
        <v>09005</v>
      </c>
      <c r="CP12" s="10" t="str">
        <f t="shared" si="1"/>
        <v>07007</v>
      </c>
      <c r="CQ12" s="17" t="s">
        <v>85</v>
      </c>
      <c r="CR12" s="10" t="str">
        <f t="shared" si="2"/>
        <v>27003</v>
      </c>
      <c r="CS12" s="17" t="s">
        <v>86</v>
      </c>
      <c r="CT12" s="10" t="str">
        <f t="shared" si="3"/>
        <v>08009</v>
      </c>
      <c r="CU12" s="10" t="str">
        <f t="shared" si="4"/>
        <v>34006</v>
      </c>
      <c r="CV12" s="17" t="s">
        <v>63</v>
      </c>
      <c r="CW12" s="10" t="str">
        <f t="shared" si="5"/>
        <v>32003</v>
      </c>
      <c r="CX12" s="10" t="str">
        <f t="shared" si="6"/>
        <v>33007</v>
      </c>
      <c r="CY12" s="17" t="s">
        <v>87</v>
      </c>
      <c r="CZ12" s="10" t="str">
        <f t="shared" si="7"/>
        <v>31013</v>
      </c>
      <c r="DA12" s="10" t="str">
        <f t="shared" si="8"/>
        <v>30004</v>
      </c>
      <c r="DB12" s="10" t="str">
        <f t="shared" si="9"/>
        <v>14005</v>
      </c>
      <c r="DC12" s="10" t="str">
        <f t="shared" si="10"/>
        <v>30007</v>
      </c>
      <c r="DD12" s="10" t="str">
        <f t="shared" si="11"/>
        <v>25008</v>
      </c>
      <c r="DE12" s="10" t="str">
        <f t="shared" si="12"/>
        <v>27007</v>
      </c>
      <c r="DF12" s="10" t="str">
        <f t="shared" si="13"/>
        <v>30009</v>
      </c>
      <c r="DG12" s="10" t="str">
        <f t="shared" si="14"/>
        <v>28011</v>
      </c>
      <c r="DH12" s="10" t="str">
        <f t="shared" si="15"/>
        <v>32006</v>
      </c>
      <c r="DI12" s="10" t="str">
        <f t="shared" si="16"/>
        <v>28010</v>
      </c>
      <c r="DJ12" s="10" t="str">
        <f t="shared" si="17"/>
        <v>30005</v>
      </c>
      <c r="DK12" s="10" t="str">
        <f t="shared" si="18"/>
        <v>00000</v>
      </c>
      <c r="DL12" s="10" t="str">
        <f t="shared" si="19"/>
        <v>31004</v>
      </c>
      <c r="DM12" s="10" t="str">
        <f t="shared" si="20"/>
        <v>27004</v>
      </c>
      <c r="DN12" s="10" t="str">
        <f t="shared" si="21"/>
        <v>26007</v>
      </c>
      <c r="DO12" s="10" t="str">
        <f t="shared" si="22"/>
        <v>29007</v>
      </c>
      <c r="DP12" s="10" t="str">
        <f t="shared" si="23"/>
        <v>31006</v>
      </c>
      <c r="DQ12" s="2" t="e">
        <f t="shared" si="24"/>
        <v>#REF!</v>
      </c>
      <c r="DR12" s="10" t="e">
        <f t="shared" si="25"/>
        <v>#REF!</v>
      </c>
      <c r="DS12" s="10" t="e">
        <f t="shared" si="26"/>
        <v>#REF!</v>
      </c>
    </row>
    <row r="13" spans="1:123" ht="12.75" customHeight="1" x14ac:dyDescent="0.3">
      <c r="A13" s="8">
        <v>5</v>
      </c>
      <c r="B13" s="14" t="s">
        <v>52</v>
      </c>
      <c r="C13" s="18" t="s">
        <v>8</v>
      </c>
      <c r="D13" s="18" t="s">
        <v>6</v>
      </c>
      <c r="E13" s="18" t="s">
        <v>6</v>
      </c>
      <c r="F13" s="18" t="s">
        <v>59</v>
      </c>
      <c r="G13" s="18" t="s">
        <v>59</v>
      </c>
      <c r="H13" s="18" t="s">
        <v>59</v>
      </c>
      <c r="I13" s="18" t="s">
        <v>21</v>
      </c>
      <c r="J13" s="18" t="s">
        <v>14</v>
      </c>
      <c r="K13" s="18" t="s">
        <v>1</v>
      </c>
      <c r="L13" s="18" t="s">
        <v>14</v>
      </c>
      <c r="M13" s="18" t="s">
        <v>12</v>
      </c>
      <c r="N13" s="18" t="s">
        <v>12</v>
      </c>
      <c r="O13" s="18" t="s">
        <v>14</v>
      </c>
      <c r="P13" s="18" t="s">
        <v>12</v>
      </c>
      <c r="Q13" s="18" t="s">
        <v>18</v>
      </c>
      <c r="R13" s="18" t="s">
        <v>17</v>
      </c>
      <c r="S13" s="18" t="s">
        <v>26</v>
      </c>
      <c r="T13" s="18" t="s">
        <v>24</v>
      </c>
      <c r="U13" s="18" t="s">
        <v>68</v>
      </c>
      <c r="V13" s="18" t="s">
        <v>88</v>
      </c>
      <c r="W13" s="18" t="s">
        <v>59</v>
      </c>
      <c r="X13" s="18" t="s">
        <v>29</v>
      </c>
      <c r="Y13" s="18" t="s">
        <v>13</v>
      </c>
      <c r="Z13" s="18" t="s">
        <v>3</v>
      </c>
      <c r="AB13" s="7" t="s">
        <v>8</v>
      </c>
      <c r="AC13" s="19" t="str">
        <f>+K5</f>
        <v>31</v>
      </c>
      <c r="AD13" s="15">
        <f>K6</f>
        <v>5</v>
      </c>
      <c r="AE13" s="19" t="str">
        <f>+K7</f>
        <v>03</v>
      </c>
      <c r="AF13" s="15">
        <f>+K8</f>
        <v>4</v>
      </c>
      <c r="AG13" s="19" t="str">
        <f>+K9</f>
        <v>10</v>
      </c>
      <c r="AH13" s="15">
        <f>+K10</f>
        <v>4</v>
      </c>
      <c r="AI13" s="19" t="str">
        <f>+K11</f>
        <v>30</v>
      </c>
      <c r="AJ13" s="15">
        <f>+K12</f>
        <v>2</v>
      </c>
      <c r="AK13" s="19" t="str">
        <f>+K13</f>
        <v>01</v>
      </c>
      <c r="AL13" s="15">
        <f>+K14</f>
        <v>5</v>
      </c>
      <c r="AM13" s="19" t="str">
        <f>+K15</f>
        <v>11</v>
      </c>
      <c r="AN13" s="15">
        <f>+K16</f>
        <v>4</v>
      </c>
      <c r="AO13" s="19" t="str">
        <f>+K17</f>
        <v>31</v>
      </c>
      <c r="AP13" s="15">
        <f>+K18</f>
        <v>7</v>
      </c>
      <c r="AQ13" s="19" t="str">
        <f>+K19</f>
        <v>34</v>
      </c>
      <c r="AR13" s="15">
        <f>+K20</f>
        <v>13</v>
      </c>
      <c r="AS13" s="19" t="str">
        <f>+K21</f>
        <v>30</v>
      </c>
      <c r="AT13" s="15">
        <f>+K22</f>
        <v>5</v>
      </c>
      <c r="AU13" s="19" t="str">
        <f>+K23</f>
        <v>32</v>
      </c>
      <c r="AV13" s="15">
        <f>+K24</f>
        <v>9</v>
      </c>
      <c r="AW13" s="19" t="str">
        <f>+K25</f>
        <v>30</v>
      </c>
      <c r="AX13" s="15">
        <f>K26</f>
        <v>8</v>
      </c>
      <c r="AY13" s="19" t="str">
        <f>+K27</f>
        <v>30</v>
      </c>
      <c r="AZ13" s="15">
        <f>+K28</f>
        <v>11</v>
      </c>
      <c r="BA13" s="19" t="str">
        <f>+K29</f>
        <v>30</v>
      </c>
      <c r="BB13" s="15">
        <f>+K30</f>
        <v>7</v>
      </c>
      <c r="BC13" s="19" t="str">
        <f>+K31</f>
        <v>32</v>
      </c>
      <c r="BD13" s="15">
        <f>+K32</f>
        <v>4</v>
      </c>
      <c r="BE13" s="19" t="str">
        <f>+K33</f>
        <v>31</v>
      </c>
      <c r="BF13" s="15">
        <f>+K34</f>
        <v>7</v>
      </c>
      <c r="BG13" s="19" t="str">
        <f>+K35</f>
        <v>29</v>
      </c>
      <c r="BH13" s="15">
        <f>+K36</f>
        <v>7</v>
      </c>
      <c r="BI13" s="19" t="str">
        <f>+K37</f>
        <v>23</v>
      </c>
      <c r="BJ13" s="15">
        <f>+K38</f>
        <v>8</v>
      </c>
      <c r="BK13" s="19" t="str">
        <f>+K39</f>
        <v>24</v>
      </c>
      <c r="BL13" s="15">
        <f>+K40</f>
        <v>5</v>
      </c>
      <c r="BM13" s="19" t="str">
        <f>+K41</f>
        <v>26</v>
      </c>
      <c r="BN13" s="15">
        <f>+K42</f>
        <v>10</v>
      </c>
      <c r="BO13" s="19" t="str">
        <f>+K43</f>
        <v>32</v>
      </c>
      <c r="BP13" s="15">
        <f>+K44</f>
        <v>3</v>
      </c>
      <c r="BQ13" s="19" t="str">
        <f>+K45</f>
        <v>28</v>
      </c>
      <c r="BR13" s="15">
        <f>+K46</f>
        <v>11</v>
      </c>
      <c r="BS13" s="19" t="str">
        <f>+K47</f>
        <v>27</v>
      </c>
      <c r="BT13" s="15">
        <f>+K48</f>
        <v>4</v>
      </c>
      <c r="BU13" s="19" t="str">
        <f>+K49</f>
        <v>22</v>
      </c>
      <c r="BV13" s="15">
        <f>+K50</f>
        <v>10</v>
      </c>
      <c r="BW13" s="19" t="str">
        <f>+K51</f>
        <v>29</v>
      </c>
      <c r="BX13" s="15">
        <f>+K52</f>
        <v>2</v>
      </c>
      <c r="BY13" s="19" t="str">
        <f>+K53</f>
        <v>29</v>
      </c>
      <c r="BZ13" s="15">
        <f>+K54</f>
        <v>6</v>
      </c>
      <c r="CA13" s="19" t="str">
        <f>+K55</f>
        <v>27</v>
      </c>
      <c r="CB13" s="15">
        <f>+K56</f>
        <v>8</v>
      </c>
      <c r="CC13" s="19" t="str">
        <f>+K57</f>
        <v>31</v>
      </c>
      <c r="CD13" s="21">
        <f>+K58</f>
        <v>8</v>
      </c>
      <c r="CE13" s="19" t="str">
        <f>+K59</f>
        <v>30</v>
      </c>
      <c r="CF13" s="21">
        <f>+K60</f>
        <v>7</v>
      </c>
      <c r="CG13" s="19" t="str">
        <f>+K61</f>
        <v>30</v>
      </c>
      <c r="CH13" s="21">
        <f>+K62</f>
        <v>8</v>
      </c>
      <c r="CI13" s="19" t="str">
        <f>+K63</f>
        <v>30</v>
      </c>
      <c r="CJ13" s="21">
        <f>+K64</f>
        <v>4</v>
      </c>
      <c r="CK13" s="19" t="str">
        <f>+K65</f>
        <v>31</v>
      </c>
      <c r="CL13" s="15">
        <f>+K66</f>
        <v>7</v>
      </c>
      <c r="CM13" s="16"/>
      <c r="CN13" s="15">
        <v>10</v>
      </c>
      <c r="CO13" s="10" t="str">
        <f t="shared" si="0"/>
        <v>19005</v>
      </c>
      <c r="CP13" s="10" t="str">
        <f t="shared" si="1"/>
        <v>12003</v>
      </c>
      <c r="CQ13" s="17" t="s">
        <v>89</v>
      </c>
      <c r="CR13" s="10" t="str">
        <f t="shared" si="2"/>
        <v>21002</v>
      </c>
      <c r="CS13" s="17" t="s">
        <v>90</v>
      </c>
      <c r="CT13" s="10" t="str">
        <f t="shared" si="3"/>
        <v>25009</v>
      </c>
      <c r="CU13" s="10" t="str">
        <f t="shared" si="4"/>
        <v>31002</v>
      </c>
      <c r="CV13" s="17" t="s">
        <v>73</v>
      </c>
      <c r="CW13" s="10" t="str">
        <f t="shared" si="5"/>
        <v>32004</v>
      </c>
      <c r="CX13" s="10" t="str">
        <f t="shared" si="6"/>
        <v>31005</v>
      </c>
      <c r="CY13" s="17" t="s">
        <v>91</v>
      </c>
      <c r="CZ13" s="10" t="str">
        <f t="shared" si="7"/>
        <v>28006</v>
      </c>
      <c r="DA13" s="10" t="str">
        <f t="shared" si="8"/>
        <v>29003</v>
      </c>
      <c r="DB13" s="10" t="str">
        <f t="shared" si="9"/>
        <v>11001</v>
      </c>
      <c r="DC13" s="10" t="str">
        <f t="shared" si="10"/>
        <v>30004</v>
      </c>
      <c r="DD13" s="10" t="str">
        <f t="shared" si="11"/>
        <v>27006</v>
      </c>
      <c r="DE13" s="10" t="str">
        <f t="shared" si="12"/>
        <v>28008</v>
      </c>
      <c r="DF13" s="10" t="str">
        <f t="shared" si="13"/>
        <v>29006</v>
      </c>
      <c r="DG13" s="10" t="str">
        <f t="shared" si="14"/>
        <v>29011</v>
      </c>
      <c r="DH13" s="10" t="str">
        <f t="shared" si="15"/>
        <v>32006</v>
      </c>
      <c r="DI13" s="10" t="str">
        <f t="shared" si="16"/>
        <v>30009</v>
      </c>
      <c r="DJ13" s="10" t="str">
        <f t="shared" si="17"/>
        <v>28003</v>
      </c>
      <c r="DK13" s="10" t="str">
        <f t="shared" si="18"/>
        <v>22002</v>
      </c>
      <c r="DL13" s="10" t="str">
        <f t="shared" si="19"/>
        <v>30003</v>
      </c>
      <c r="DM13" s="10" t="str">
        <f t="shared" si="20"/>
        <v>25004</v>
      </c>
      <c r="DN13" s="10" t="str">
        <f t="shared" si="21"/>
        <v>26005</v>
      </c>
      <c r="DO13" s="10" t="str">
        <f t="shared" si="22"/>
        <v>30004</v>
      </c>
      <c r="DP13" s="10" t="str">
        <f t="shared" si="23"/>
        <v>28003</v>
      </c>
      <c r="DQ13" s="2" t="e">
        <f t="shared" si="24"/>
        <v>#REF!</v>
      </c>
      <c r="DR13" s="10" t="e">
        <f t="shared" si="25"/>
        <v>#REF!</v>
      </c>
      <c r="DS13" s="10" t="e">
        <f t="shared" si="26"/>
        <v>#REF!</v>
      </c>
    </row>
    <row r="14" spans="1:123" ht="12.75" customHeight="1" x14ac:dyDescent="0.3">
      <c r="A14" s="8"/>
      <c r="B14" s="15" t="s">
        <v>53</v>
      </c>
      <c r="C14" s="20">
        <v>7</v>
      </c>
      <c r="D14" s="20">
        <v>6</v>
      </c>
      <c r="E14" s="20">
        <v>4</v>
      </c>
      <c r="F14" s="20">
        <v>9</v>
      </c>
      <c r="G14" s="20">
        <v>8</v>
      </c>
      <c r="H14" s="20">
        <v>8</v>
      </c>
      <c r="I14" s="20">
        <v>8</v>
      </c>
      <c r="J14" s="20">
        <v>7</v>
      </c>
      <c r="K14" s="20">
        <v>5</v>
      </c>
      <c r="L14" s="20">
        <v>3</v>
      </c>
      <c r="M14" s="20">
        <v>9</v>
      </c>
      <c r="N14" s="20">
        <v>7</v>
      </c>
      <c r="O14" s="20">
        <v>4</v>
      </c>
      <c r="P14" s="20">
        <v>2</v>
      </c>
      <c r="Q14" s="20">
        <v>2</v>
      </c>
      <c r="R14" s="20">
        <v>2</v>
      </c>
      <c r="S14" s="20">
        <v>2</v>
      </c>
      <c r="T14" s="20">
        <v>2</v>
      </c>
      <c r="U14" s="20">
        <v>3</v>
      </c>
      <c r="V14" s="20">
        <v>5</v>
      </c>
      <c r="W14" s="20">
        <v>3</v>
      </c>
      <c r="X14" s="20">
        <v>2</v>
      </c>
      <c r="Y14" s="20">
        <v>2</v>
      </c>
      <c r="Z14" s="20">
        <v>2</v>
      </c>
      <c r="AB14" s="7" t="s">
        <v>9</v>
      </c>
      <c r="AC14" s="19" t="str">
        <f>+L5</f>
        <v>09</v>
      </c>
      <c r="AD14" s="15">
        <f>L6</f>
        <v>5</v>
      </c>
      <c r="AE14" s="19" t="str">
        <f>+L7</f>
        <v>07</v>
      </c>
      <c r="AF14" s="15">
        <f>+L8</f>
        <v>7</v>
      </c>
      <c r="AG14" s="19" t="str">
        <f>+L9</f>
        <v>10</v>
      </c>
      <c r="AH14" s="15">
        <f>+L10</f>
        <v>3</v>
      </c>
      <c r="AI14" s="19" t="str">
        <f>+L11</f>
        <v>27</v>
      </c>
      <c r="AJ14" s="15">
        <f>+L12</f>
        <v>3</v>
      </c>
      <c r="AK14" s="19" t="str">
        <f>+L13</f>
        <v>14</v>
      </c>
      <c r="AL14" s="15">
        <f>+L14</f>
        <v>3</v>
      </c>
      <c r="AM14" s="19" t="str">
        <f>+L15</f>
        <v>08</v>
      </c>
      <c r="AN14" s="21">
        <f>+L16</f>
        <v>9</v>
      </c>
      <c r="AO14" s="19" t="str">
        <f>+L17</f>
        <v>34</v>
      </c>
      <c r="AP14" s="21">
        <f>+L18</f>
        <v>6</v>
      </c>
      <c r="AQ14" s="19" t="str">
        <f>+L19</f>
        <v>31</v>
      </c>
      <c r="AR14" s="21">
        <f>+L20</f>
        <v>7</v>
      </c>
      <c r="AS14" s="19" t="str">
        <f>+L21</f>
        <v>32</v>
      </c>
      <c r="AT14" s="15">
        <f>+L22</f>
        <v>3</v>
      </c>
      <c r="AU14" s="19" t="str">
        <f>+L23</f>
        <v>33</v>
      </c>
      <c r="AV14" s="15">
        <f>+L24</f>
        <v>7</v>
      </c>
      <c r="AW14" s="19" t="str">
        <f>+L25</f>
        <v>31</v>
      </c>
      <c r="AX14" s="21">
        <f>+L26</f>
        <v>8</v>
      </c>
      <c r="AY14" s="19" t="str">
        <f>+L27</f>
        <v>31</v>
      </c>
      <c r="AZ14" s="15">
        <f>+L28</f>
        <v>13</v>
      </c>
      <c r="BA14" s="19" t="str">
        <f>+L29</f>
        <v>30</v>
      </c>
      <c r="BB14" s="15">
        <f>+L30</f>
        <v>4</v>
      </c>
      <c r="BC14" s="19" t="str">
        <f>+L31</f>
        <v>14</v>
      </c>
      <c r="BD14" s="15">
        <f>+L32</f>
        <v>5</v>
      </c>
      <c r="BE14" s="19" t="str">
        <f>+L33</f>
        <v>30</v>
      </c>
      <c r="BF14" s="15">
        <f>+L34</f>
        <v>7</v>
      </c>
      <c r="BG14" s="19" t="str">
        <f>+L35</f>
        <v>25</v>
      </c>
      <c r="BH14" s="15">
        <f>+L36</f>
        <v>8</v>
      </c>
      <c r="BI14" s="19" t="str">
        <f>+L37</f>
        <v>27</v>
      </c>
      <c r="BJ14" s="15">
        <f>+L38</f>
        <v>7</v>
      </c>
      <c r="BK14" s="19" t="str">
        <f>+L39</f>
        <v>30</v>
      </c>
      <c r="BL14" s="15">
        <f>+L40</f>
        <v>9</v>
      </c>
      <c r="BM14" s="19" t="str">
        <f>+L41</f>
        <v>28</v>
      </c>
      <c r="BN14" s="15">
        <f>+L42</f>
        <v>11</v>
      </c>
      <c r="BO14" s="19" t="str">
        <f>+L43</f>
        <v>32</v>
      </c>
      <c r="BP14" s="15">
        <f>+L44</f>
        <v>6</v>
      </c>
      <c r="BQ14" s="19" t="str">
        <f>+L45</f>
        <v>28</v>
      </c>
      <c r="BR14" s="15">
        <f>+L46</f>
        <v>10</v>
      </c>
      <c r="BS14" s="19" t="str">
        <f>+L47</f>
        <v>30</v>
      </c>
      <c r="BT14" s="15">
        <f>+L48</f>
        <v>5</v>
      </c>
      <c r="BU14" s="19" t="str">
        <f>+L49</f>
        <v>00</v>
      </c>
      <c r="BV14" s="15">
        <f>+L50</f>
        <v>0</v>
      </c>
      <c r="BW14" s="19" t="str">
        <f>+L51</f>
        <v>31</v>
      </c>
      <c r="BX14" s="15">
        <f>+L52</f>
        <v>4</v>
      </c>
      <c r="BY14" s="19" t="str">
        <f>+L53</f>
        <v>27</v>
      </c>
      <c r="BZ14" s="15">
        <f>+L54</f>
        <v>4</v>
      </c>
      <c r="CA14" s="19" t="str">
        <f>+L55</f>
        <v>26</v>
      </c>
      <c r="CB14" s="15">
        <f>+L56</f>
        <v>7</v>
      </c>
      <c r="CC14" s="19" t="str">
        <f>+L57</f>
        <v>29</v>
      </c>
      <c r="CD14" s="15">
        <f>+L58</f>
        <v>7</v>
      </c>
      <c r="CE14" s="19" t="str">
        <f>+L59</f>
        <v>31</v>
      </c>
      <c r="CF14" s="15">
        <f>+L60</f>
        <v>6</v>
      </c>
      <c r="CG14" s="19" t="str">
        <f>+L61</f>
        <v>31</v>
      </c>
      <c r="CH14" s="15">
        <f>+L62</f>
        <v>7</v>
      </c>
      <c r="CI14" s="19" t="str">
        <f>+L63</f>
        <v>32</v>
      </c>
      <c r="CJ14" s="15">
        <f>+L64</f>
        <v>4</v>
      </c>
      <c r="CK14" s="19" t="str">
        <f>+L65</f>
        <v>30</v>
      </c>
      <c r="CL14" s="15">
        <f>+L66</f>
        <v>6</v>
      </c>
      <c r="CM14" s="16"/>
      <c r="CN14" s="15">
        <v>11</v>
      </c>
      <c r="CO14" s="10" t="str">
        <f t="shared" si="0"/>
        <v>00000</v>
      </c>
      <c r="CP14" s="10" t="str">
        <f t="shared" si="1"/>
        <v>15003</v>
      </c>
      <c r="CQ14" s="17" t="s">
        <v>92</v>
      </c>
      <c r="CR14" s="10" t="str">
        <f t="shared" si="2"/>
        <v>15002</v>
      </c>
      <c r="CS14" s="17" t="s">
        <v>93</v>
      </c>
      <c r="CT14" s="10" t="str">
        <f t="shared" si="3"/>
        <v>26006</v>
      </c>
      <c r="CU14" s="10" t="str">
        <f t="shared" si="4"/>
        <v>30002</v>
      </c>
      <c r="CV14" s="17" t="s">
        <v>77</v>
      </c>
      <c r="CW14" s="10" t="str">
        <f t="shared" si="5"/>
        <v>32004</v>
      </c>
      <c r="CX14" s="10" t="str">
        <f t="shared" si="6"/>
        <v>31003</v>
      </c>
      <c r="CY14" s="17" t="s">
        <v>94</v>
      </c>
      <c r="CZ14" s="10" t="str">
        <f t="shared" si="7"/>
        <v>31005</v>
      </c>
      <c r="DA14" s="10" t="str">
        <f t="shared" si="8"/>
        <v>30002</v>
      </c>
      <c r="DB14" s="10" t="str">
        <f t="shared" si="9"/>
        <v>11001</v>
      </c>
      <c r="DC14" s="10" t="str">
        <f t="shared" si="10"/>
        <v>31009</v>
      </c>
      <c r="DD14" s="10" t="str">
        <f t="shared" si="11"/>
        <v>24005</v>
      </c>
      <c r="DE14" s="10" t="str">
        <f t="shared" si="12"/>
        <v>19004</v>
      </c>
      <c r="DF14" s="10" t="str">
        <f t="shared" si="13"/>
        <v>27005</v>
      </c>
      <c r="DG14" s="10" t="str">
        <f t="shared" si="14"/>
        <v>28008</v>
      </c>
      <c r="DH14" s="10" t="str">
        <f t="shared" si="15"/>
        <v>32008</v>
      </c>
      <c r="DI14" s="10" t="str">
        <f t="shared" si="16"/>
        <v>29006</v>
      </c>
      <c r="DJ14" s="10" t="str">
        <f t="shared" si="17"/>
        <v>27003</v>
      </c>
      <c r="DK14" s="10" t="str">
        <f t="shared" si="18"/>
        <v>00000</v>
      </c>
      <c r="DL14" s="10" t="str">
        <f t="shared" si="19"/>
        <v>30004</v>
      </c>
      <c r="DM14" s="10" t="str">
        <f t="shared" si="20"/>
        <v>22003</v>
      </c>
      <c r="DN14" s="10" t="str">
        <f t="shared" si="21"/>
        <v>26004</v>
      </c>
      <c r="DO14" s="10" t="str">
        <f t="shared" si="22"/>
        <v>28003</v>
      </c>
      <c r="DP14" s="10" t="str">
        <f t="shared" si="23"/>
        <v>27004</v>
      </c>
      <c r="DQ14" s="2" t="e">
        <f t="shared" si="24"/>
        <v>#REF!</v>
      </c>
      <c r="DR14" s="10" t="e">
        <f t="shared" si="25"/>
        <v>#REF!</v>
      </c>
      <c r="DS14" s="10" t="e">
        <f t="shared" si="26"/>
        <v>#REF!</v>
      </c>
    </row>
    <row r="15" spans="1:123" ht="12.75" customHeight="1" x14ac:dyDescent="0.3">
      <c r="A15" s="8">
        <v>6</v>
      </c>
      <c r="B15" s="14" t="s">
        <v>52</v>
      </c>
      <c r="C15" s="18" t="s">
        <v>4</v>
      </c>
      <c r="D15" s="18" t="s">
        <v>1</v>
      </c>
      <c r="E15" s="18" t="s">
        <v>58</v>
      </c>
      <c r="F15" s="18" t="s">
        <v>29</v>
      </c>
      <c r="G15" s="18" t="s">
        <v>28</v>
      </c>
      <c r="H15" s="18" t="s">
        <v>30</v>
      </c>
      <c r="I15" s="18" t="s">
        <v>28</v>
      </c>
      <c r="J15" s="18" t="s">
        <v>31</v>
      </c>
      <c r="K15" s="18" t="s">
        <v>11</v>
      </c>
      <c r="L15" s="18" t="s">
        <v>8</v>
      </c>
      <c r="M15" s="18" t="s">
        <v>25</v>
      </c>
      <c r="N15" s="18" t="s">
        <v>26</v>
      </c>
      <c r="O15" s="18" t="s">
        <v>22</v>
      </c>
      <c r="P15" s="18" t="s">
        <v>12</v>
      </c>
      <c r="Q15" s="18" t="s">
        <v>17</v>
      </c>
      <c r="R15" s="18" t="s">
        <v>24</v>
      </c>
      <c r="S15" s="18" t="s">
        <v>8</v>
      </c>
      <c r="T15" s="18" t="s">
        <v>14</v>
      </c>
      <c r="U15" s="18" t="s">
        <v>20</v>
      </c>
      <c r="V15" s="18" t="s">
        <v>21</v>
      </c>
      <c r="W15" s="18" t="s">
        <v>16</v>
      </c>
      <c r="X15" s="18" t="s">
        <v>23</v>
      </c>
      <c r="Y15" s="18" t="s">
        <v>68</v>
      </c>
      <c r="Z15" s="18" t="s">
        <v>11</v>
      </c>
      <c r="AB15" s="7" t="s">
        <v>10</v>
      </c>
      <c r="AC15" s="19" t="str">
        <f>+M5</f>
        <v>19</v>
      </c>
      <c r="AD15" s="15">
        <f>M6</f>
        <v>5</v>
      </c>
      <c r="AE15" s="19" t="str">
        <f>+M7</f>
        <v>12</v>
      </c>
      <c r="AF15" s="15">
        <f>+M8</f>
        <v>3</v>
      </c>
      <c r="AG15" s="19" t="str">
        <f>+M9</f>
        <v>11</v>
      </c>
      <c r="AH15" s="15">
        <f>+M10</f>
        <v>4</v>
      </c>
      <c r="AI15" s="19" t="str">
        <f>+M11</f>
        <v>21</v>
      </c>
      <c r="AJ15" s="15">
        <f>+M12</f>
        <v>2</v>
      </c>
      <c r="AK15" s="19" t="str">
        <f>+M13</f>
        <v>12</v>
      </c>
      <c r="AL15" s="15">
        <f>+M14</f>
        <v>9</v>
      </c>
      <c r="AM15" s="19" t="str">
        <f>+M15</f>
        <v>25</v>
      </c>
      <c r="AN15" s="15">
        <f>+M16</f>
        <v>9</v>
      </c>
      <c r="AO15" s="19" t="str">
        <f>+M17</f>
        <v>31</v>
      </c>
      <c r="AP15" s="15">
        <f>+M18</f>
        <v>2</v>
      </c>
      <c r="AQ15" s="19" t="str">
        <f>+M19</f>
        <v>32</v>
      </c>
      <c r="AR15" s="15">
        <f>+M20</f>
        <v>9</v>
      </c>
      <c r="AS15" s="19" t="str">
        <f>+M21</f>
        <v>32</v>
      </c>
      <c r="AT15" s="15">
        <f>+M22</f>
        <v>4</v>
      </c>
      <c r="AU15" s="19" t="str">
        <f>+M23</f>
        <v>31</v>
      </c>
      <c r="AV15" s="15">
        <f>+M24</f>
        <v>5</v>
      </c>
      <c r="AW15" s="19" t="str">
        <f>+M25</f>
        <v>31</v>
      </c>
      <c r="AX15" s="15">
        <f>+M26</f>
        <v>5</v>
      </c>
      <c r="AY15" s="19" t="str">
        <f>+M27</f>
        <v>28</v>
      </c>
      <c r="AZ15" s="15">
        <f>+M28</f>
        <v>6</v>
      </c>
      <c r="BA15" s="19" t="str">
        <f>+M29</f>
        <v>29</v>
      </c>
      <c r="BB15" s="15">
        <f>+M30</f>
        <v>3</v>
      </c>
      <c r="BC15" s="19" t="str">
        <f>+M31</f>
        <v>11</v>
      </c>
      <c r="BD15" s="15">
        <f>+M32</f>
        <v>1</v>
      </c>
      <c r="BE15" s="19" t="str">
        <f>+M33</f>
        <v>30</v>
      </c>
      <c r="BF15" s="15">
        <f>+M34</f>
        <v>4</v>
      </c>
      <c r="BG15" s="19" t="str">
        <f>+M35</f>
        <v>27</v>
      </c>
      <c r="BH15" s="15">
        <f>+M36</f>
        <v>6</v>
      </c>
      <c r="BI15" s="19" t="str">
        <f>+M37</f>
        <v>28</v>
      </c>
      <c r="BJ15" s="15">
        <f>+M38</f>
        <v>8</v>
      </c>
      <c r="BK15" s="19" t="str">
        <f>+M39</f>
        <v>29</v>
      </c>
      <c r="BL15" s="15">
        <f>+M40</f>
        <v>6</v>
      </c>
      <c r="BM15" s="19" t="str">
        <f>+M41</f>
        <v>29</v>
      </c>
      <c r="BN15" s="15">
        <f>+M42</f>
        <v>11</v>
      </c>
      <c r="BO15" s="19" t="str">
        <f>+M43</f>
        <v>32</v>
      </c>
      <c r="BP15" s="15">
        <f>+M44</f>
        <v>6</v>
      </c>
      <c r="BQ15" s="19" t="str">
        <f>+M45</f>
        <v>30</v>
      </c>
      <c r="BR15" s="15">
        <f>+M46</f>
        <v>9</v>
      </c>
      <c r="BS15" s="19" t="str">
        <f>+M47</f>
        <v>28</v>
      </c>
      <c r="BT15" s="15">
        <f>+M48</f>
        <v>3</v>
      </c>
      <c r="BU15" s="19" t="str">
        <f>+M49</f>
        <v>22</v>
      </c>
      <c r="BV15" s="15">
        <f>+M50</f>
        <v>2</v>
      </c>
      <c r="BW15" s="19" t="str">
        <f>+M51</f>
        <v>30</v>
      </c>
      <c r="BX15" s="15">
        <f>+M52</f>
        <v>3</v>
      </c>
      <c r="BY15" s="19" t="str">
        <f>+M53</f>
        <v>25</v>
      </c>
      <c r="BZ15" s="15">
        <f>+M54</f>
        <v>4</v>
      </c>
      <c r="CA15" s="19" t="str">
        <f>+M55</f>
        <v>26</v>
      </c>
      <c r="CB15" s="15">
        <f>+M56</f>
        <v>5</v>
      </c>
      <c r="CC15" s="19" t="str">
        <f>+M57</f>
        <v>30</v>
      </c>
      <c r="CD15" s="15">
        <f>+M58</f>
        <v>4</v>
      </c>
      <c r="CE15" s="19" t="str">
        <f>+M59</f>
        <v>28</v>
      </c>
      <c r="CF15" s="15">
        <f>+M60</f>
        <v>3</v>
      </c>
      <c r="CG15" s="19" t="str">
        <f>+M61</f>
        <v>23</v>
      </c>
      <c r="CH15" s="15">
        <f>+M62</f>
        <v>6</v>
      </c>
      <c r="CI15" s="19" t="str">
        <f>+M63</f>
        <v>31</v>
      </c>
      <c r="CJ15" s="15">
        <f>+M64</f>
        <v>4</v>
      </c>
      <c r="CK15" s="19" t="str">
        <f>+M65</f>
        <v>31</v>
      </c>
      <c r="CL15" s="15">
        <f>+M66</f>
        <v>5</v>
      </c>
      <c r="CM15" s="16"/>
      <c r="CN15" s="15">
        <v>12</v>
      </c>
      <c r="CO15" s="10" t="str">
        <f t="shared" si="0"/>
        <v>20002</v>
      </c>
      <c r="CP15" s="10" t="str">
        <f t="shared" si="1"/>
        <v>15002</v>
      </c>
      <c r="CQ15" s="17" t="s">
        <v>89</v>
      </c>
      <c r="CR15" s="10" t="str">
        <f t="shared" si="2"/>
        <v>12002</v>
      </c>
      <c r="CS15" s="17" t="s">
        <v>95</v>
      </c>
      <c r="CT15" s="10" t="str">
        <f t="shared" si="3"/>
        <v>22004</v>
      </c>
      <c r="CU15" s="10" t="str">
        <f t="shared" si="4"/>
        <v>25002</v>
      </c>
      <c r="CV15" s="17" t="s">
        <v>57</v>
      </c>
      <c r="CW15" s="10" t="str">
        <f t="shared" si="5"/>
        <v>32006</v>
      </c>
      <c r="CX15" s="10" t="str">
        <f t="shared" si="6"/>
        <v>00000</v>
      </c>
      <c r="CY15" s="17" t="s">
        <v>96</v>
      </c>
      <c r="CZ15" s="10" t="str">
        <f t="shared" si="7"/>
        <v>10004</v>
      </c>
      <c r="DA15" s="10" t="str">
        <f t="shared" si="8"/>
        <v>27003</v>
      </c>
      <c r="DB15" s="10" t="str">
        <f t="shared" si="9"/>
        <v>29002</v>
      </c>
      <c r="DC15" s="10" t="str">
        <f t="shared" si="10"/>
        <v>18003</v>
      </c>
      <c r="DD15" s="10" t="str">
        <f t="shared" si="11"/>
        <v>00000</v>
      </c>
      <c r="DE15" s="10" t="str">
        <f t="shared" si="12"/>
        <v>30004</v>
      </c>
      <c r="DF15" s="10" t="str">
        <f t="shared" si="13"/>
        <v>28002</v>
      </c>
      <c r="DG15" s="10" t="str">
        <f t="shared" si="14"/>
        <v>26004</v>
      </c>
      <c r="DH15" s="10" t="str">
        <f t="shared" si="15"/>
        <v>31011</v>
      </c>
      <c r="DI15" s="10" t="str">
        <f t="shared" si="16"/>
        <v>28006</v>
      </c>
      <c r="DJ15" s="10" t="str">
        <f t="shared" si="17"/>
        <v>28005</v>
      </c>
      <c r="DK15" s="10" t="str">
        <f t="shared" si="18"/>
        <v>25002</v>
      </c>
      <c r="DL15" s="10" t="str">
        <f t="shared" si="19"/>
        <v>00000</v>
      </c>
      <c r="DM15" s="10" t="str">
        <f t="shared" si="20"/>
        <v>10002</v>
      </c>
      <c r="DN15" s="10" t="str">
        <f t="shared" si="21"/>
        <v>16002</v>
      </c>
      <c r="DO15" s="10" t="str">
        <f t="shared" si="22"/>
        <v>17002</v>
      </c>
      <c r="DP15" s="10" t="str">
        <f t="shared" si="23"/>
        <v>23002</v>
      </c>
      <c r="DQ15" s="2" t="e">
        <f t="shared" si="24"/>
        <v>#REF!</v>
      </c>
      <c r="DR15" s="10" t="e">
        <f t="shared" si="25"/>
        <v>#REF!</v>
      </c>
      <c r="DS15" s="10" t="e">
        <f t="shared" si="26"/>
        <v>#REF!</v>
      </c>
    </row>
    <row r="16" spans="1:123" ht="12.75" customHeight="1" x14ac:dyDescent="0.3">
      <c r="A16" s="8"/>
      <c r="B16" s="15" t="s">
        <v>53</v>
      </c>
      <c r="C16" s="20">
        <v>4</v>
      </c>
      <c r="D16" s="20">
        <v>3</v>
      </c>
      <c r="E16" s="20">
        <v>3</v>
      </c>
      <c r="F16" s="20">
        <v>3</v>
      </c>
      <c r="G16" s="20">
        <v>4</v>
      </c>
      <c r="H16" s="20">
        <v>6</v>
      </c>
      <c r="I16" s="20">
        <v>7</v>
      </c>
      <c r="J16" s="20">
        <v>8</v>
      </c>
      <c r="K16" s="20">
        <v>4</v>
      </c>
      <c r="L16" s="20">
        <v>9</v>
      </c>
      <c r="M16" s="20">
        <v>9</v>
      </c>
      <c r="N16" s="20">
        <v>6</v>
      </c>
      <c r="O16" s="20">
        <v>4</v>
      </c>
      <c r="P16" s="20">
        <v>4</v>
      </c>
      <c r="Q16" s="20">
        <v>2</v>
      </c>
      <c r="R16" s="20">
        <v>1</v>
      </c>
      <c r="S16" s="20">
        <v>2</v>
      </c>
      <c r="T16" s="20">
        <v>1</v>
      </c>
      <c r="U16" s="20">
        <v>1</v>
      </c>
      <c r="V16" s="20">
        <v>1</v>
      </c>
      <c r="W16" s="20">
        <v>2</v>
      </c>
      <c r="X16" s="20">
        <v>3</v>
      </c>
      <c r="Y16" s="20">
        <v>4</v>
      </c>
      <c r="Z16" s="20">
        <v>3</v>
      </c>
      <c r="AB16" s="7" t="s">
        <v>11</v>
      </c>
      <c r="AC16" s="19" t="str">
        <f>+N5</f>
        <v>00</v>
      </c>
      <c r="AD16" s="15">
        <f>N6</f>
        <v>0</v>
      </c>
      <c r="AE16" s="19" t="str">
        <f>+N7</f>
        <v>15</v>
      </c>
      <c r="AF16" s="15">
        <f>+N8</f>
        <v>3</v>
      </c>
      <c r="AG16" s="19" t="str">
        <f>+N9</f>
        <v>13</v>
      </c>
      <c r="AH16" s="15">
        <f>+N10</f>
        <v>3</v>
      </c>
      <c r="AI16" s="19" t="str">
        <f>+N11</f>
        <v>15</v>
      </c>
      <c r="AJ16" s="15">
        <f>+N12</f>
        <v>2</v>
      </c>
      <c r="AK16" s="19" t="str">
        <f>+N13</f>
        <v>12</v>
      </c>
      <c r="AL16" s="15">
        <f>+N14</f>
        <v>7</v>
      </c>
      <c r="AM16" s="19" t="str">
        <f>+N15</f>
        <v>26</v>
      </c>
      <c r="AN16" s="15">
        <f>+N16</f>
        <v>6</v>
      </c>
      <c r="AO16" s="19" t="str">
        <f>+N17</f>
        <v>30</v>
      </c>
      <c r="AP16" s="15">
        <f>+N18</f>
        <v>2</v>
      </c>
      <c r="AQ16" s="19" t="str">
        <f>+N19</f>
        <v>31</v>
      </c>
      <c r="AR16" s="15">
        <f>+N20</f>
        <v>10</v>
      </c>
      <c r="AS16" s="19" t="str">
        <f>+N21</f>
        <v>32</v>
      </c>
      <c r="AT16" s="15">
        <f>+N22</f>
        <v>4</v>
      </c>
      <c r="AU16" s="19" t="str">
        <f>+N23</f>
        <v>31</v>
      </c>
      <c r="AV16" s="15">
        <f>+N24</f>
        <v>3</v>
      </c>
      <c r="AW16" s="19" t="str">
        <f>+N25</f>
        <v>35</v>
      </c>
      <c r="AX16" s="15">
        <f>+N26</f>
        <v>2</v>
      </c>
      <c r="AY16" s="19" t="str">
        <f>+N27</f>
        <v>31</v>
      </c>
      <c r="AZ16" s="15">
        <f>+N28</f>
        <v>5</v>
      </c>
      <c r="BA16" s="19" t="str">
        <f>+N29</f>
        <v>30</v>
      </c>
      <c r="BB16" s="15">
        <f>+N30</f>
        <v>2</v>
      </c>
      <c r="BC16" s="19" t="str">
        <f>+N31</f>
        <v>11</v>
      </c>
      <c r="BD16" s="15">
        <f>+N32</f>
        <v>1</v>
      </c>
      <c r="BE16" s="19" t="str">
        <f>+N33</f>
        <v>31</v>
      </c>
      <c r="BF16" s="15">
        <f>+N34</f>
        <v>9</v>
      </c>
      <c r="BG16" s="19" t="str">
        <f>+N35</f>
        <v>24</v>
      </c>
      <c r="BH16" s="15">
        <f>+N36</f>
        <v>5</v>
      </c>
      <c r="BI16" s="19" t="str">
        <f>+N37</f>
        <v>19</v>
      </c>
      <c r="BJ16" s="15">
        <f>+N38</f>
        <v>4</v>
      </c>
      <c r="BK16" s="19" t="str">
        <f>+N39</f>
        <v>27</v>
      </c>
      <c r="BL16" s="15">
        <f>+N40</f>
        <v>5</v>
      </c>
      <c r="BM16" s="19" t="str">
        <f>+N41</f>
        <v>28</v>
      </c>
      <c r="BN16" s="15">
        <f>+N42</f>
        <v>8</v>
      </c>
      <c r="BO16" s="19" t="str">
        <f>+N43</f>
        <v>32</v>
      </c>
      <c r="BP16" s="21">
        <f>+N44</f>
        <v>8</v>
      </c>
      <c r="BQ16" s="19" t="str">
        <f>+N45</f>
        <v>29</v>
      </c>
      <c r="BR16" s="21">
        <f>+N46</f>
        <v>6</v>
      </c>
      <c r="BS16" s="19" t="str">
        <f>+N47</f>
        <v>27</v>
      </c>
      <c r="BT16" s="21">
        <f>+N48</f>
        <v>3</v>
      </c>
      <c r="BU16" s="19" t="str">
        <f>+N49</f>
        <v>00</v>
      </c>
      <c r="BV16" s="21">
        <f>+N50</f>
        <v>0</v>
      </c>
      <c r="BW16" s="19" t="str">
        <f>+N51</f>
        <v>30</v>
      </c>
      <c r="BX16" s="15">
        <f>+N52</f>
        <v>4</v>
      </c>
      <c r="BY16" s="19" t="str">
        <f>+N53</f>
        <v>22</v>
      </c>
      <c r="BZ16" s="15">
        <f>+N54</f>
        <v>3</v>
      </c>
      <c r="CA16" s="19" t="str">
        <f>+N55</f>
        <v>26</v>
      </c>
      <c r="CB16" s="15">
        <f>+N56</f>
        <v>4</v>
      </c>
      <c r="CC16" s="19" t="str">
        <f>+N57</f>
        <v>28</v>
      </c>
      <c r="CD16" s="15">
        <f>+N58</f>
        <v>3</v>
      </c>
      <c r="CE16" s="19" t="str">
        <f>+N59</f>
        <v>27</v>
      </c>
      <c r="CF16" s="15">
        <f>+N60</f>
        <v>4</v>
      </c>
      <c r="CG16" s="19" t="str">
        <f>+N61</f>
        <v>25</v>
      </c>
      <c r="CH16" s="15">
        <f>+N62</f>
        <v>5</v>
      </c>
      <c r="CI16" s="19" t="str">
        <f>+N63</f>
        <v>27</v>
      </c>
      <c r="CJ16" s="15">
        <f>+N64</f>
        <v>2</v>
      </c>
      <c r="CK16" s="19" t="str">
        <f>+N65</f>
        <v>25</v>
      </c>
      <c r="CL16" s="15">
        <f>+N66</f>
        <v>4</v>
      </c>
      <c r="CM16" s="16"/>
      <c r="CN16" s="15">
        <v>13</v>
      </c>
      <c r="CO16" s="10" t="str">
        <f t="shared" si="0"/>
        <v>25001</v>
      </c>
      <c r="CP16" s="10" t="str">
        <f t="shared" si="1"/>
        <v>26003</v>
      </c>
      <c r="CQ16" s="17" t="s">
        <v>97</v>
      </c>
      <c r="CR16" s="10" t="str">
        <f t="shared" si="2"/>
        <v>08003</v>
      </c>
      <c r="CS16" s="17" t="s">
        <v>98</v>
      </c>
      <c r="CT16" s="10" t="str">
        <f t="shared" si="3"/>
        <v>12004</v>
      </c>
      <c r="CU16" s="10" t="str">
        <f t="shared" si="4"/>
        <v>26001</v>
      </c>
      <c r="CV16" s="17" t="s">
        <v>74</v>
      </c>
      <c r="CW16" s="10" t="str">
        <f t="shared" si="5"/>
        <v>33002</v>
      </c>
      <c r="CX16" s="10" t="str">
        <f t="shared" si="6"/>
        <v>00000</v>
      </c>
      <c r="CY16" s="17" t="s">
        <v>99</v>
      </c>
      <c r="CZ16" s="10" t="str">
        <f t="shared" si="7"/>
        <v>09003</v>
      </c>
      <c r="DA16" s="10" t="str">
        <f t="shared" si="8"/>
        <v>11002</v>
      </c>
      <c r="DB16" s="10" t="str">
        <f t="shared" si="9"/>
        <v>09003</v>
      </c>
      <c r="DC16" s="10" t="str">
        <f t="shared" si="10"/>
        <v>26004</v>
      </c>
      <c r="DD16" s="10" t="str">
        <f t="shared" si="11"/>
        <v>00000</v>
      </c>
      <c r="DE16" s="10" t="str">
        <f t="shared" si="12"/>
        <v>12002</v>
      </c>
      <c r="DF16" s="10" t="str">
        <f t="shared" si="13"/>
        <v>28004</v>
      </c>
      <c r="DG16" s="10" t="str">
        <f t="shared" si="14"/>
        <v>27002</v>
      </c>
      <c r="DH16" s="10" t="str">
        <f t="shared" si="15"/>
        <v>32010</v>
      </c>
      <c r="DI16" s="10" t="str">
        <f t="shared" si="16"/>
        <v>29005</v>
      </c>
      <c r="DJ16" s="10" t="str">
        <f t="shared" si="17"/>
        <v>28003</v>
      </c>
      <c r="DK16" s="10" t="str">
        <f t="shared" si="18"/>
        <v>24004</v>
      </c>
      <c r="DL16" s="10" t="str">
        <f t="shared" si="19"/>
        <v>00000</v>
      </c>
      <c r="DM16" s="10" t="str">
        <f t="shared" si="20"/>
        <v>08002</v>
      </c>
      <c r="DN16" s="10" t="str">
        <f t="shared" si="21"/>
        <v>20002</v>
      </c>
      <c r="DO16" s="10" t="str">
        <f t="shared" si="22"/>
        <v>20003</v>
      </c>
      <c r="DP16" s="10" t="str">
        <f t="shared" si="23"/>
        <v>15002</v>
      </c>
      <c r="DQ16" s="2" t="e">
        <f t="shared" si="24"/>
        <v>#REF!</v>
      </c>
      <c r="DR16" s="10" t="e">
        <f t="shared" si="25"/>
        <v>#REF!</v>
      </c>
      <c r="DS16" s="10" t="e">
        <f t="shared" si="26"/>
        <v>#REF!</v>
      </c>
    </row>
    <row r="17" spans="1:123" ht="12.75" customHeight="1" x14ac:dyDescent="0.3">
      <c r="A17" s="8">
        <v>7</v>
      </c>
      <c r="B17" s="14" t="s">
        <v>52</v>
      </c>
      <c r="C17" s="18" t="s">
        <v>17</v>
      </c>
      <c r="D17" s="18" t="s">
        <v>11</v>
      </c>
      <c r="E17" s="18" t="s">
        <v>88</v>
      </c>
      <c r="F17" s="18" t="s">
        <v>29</v>
      </c>
      <c r="G17" s="18" t="s">
        <v>31</v>
      </c>
      <c r="H17" s="18" t="s">
        <v>31</v>
      </c>
      <c r="I17" s="18" t="s">
        <v>30</v>
      </c>
      <c r="J17" s="18" t="s">
        <v>31</v>
      </c>
      <c r="K17" s="18" t="s">
        <v>31</v>
      </c>
      <c r="L17" s="18" t="s">
        <v>88</v>
      </c>
      <c r="M17" s="18" t="s">
        <v>31</v>
      </c>
      <c r="N17" s="18" t="s">
        <v>30</v>
      </c>
      <c r="O17" s="18" t="s">
        <v>25</v>
      </c>
      <c r="P17" s="18" t="s">
        <v>26</v>
      </c>
      <c r="Q17" s="18" t="s">
        <v>31</v>
      </c>
      <c r="R17" s="18" t="s">
        <v>88</v>
      </c>
      <c r="S17" s="18" t="s">
        <v>59</v>
      </c>
      <c r="T17" s="18" t="s">
        <v>24</v>
      </c>
      <c r="U17" s="18" t="s">
        <v>9</v>
      </c>
      <c r="V17" s="18" t="s">
        <v>8</v>
      </c>
      <c r="W17" s="18" t="s">
        <v>5</v>
      </c>
      <c r="X17" s="18" t="s">
        <v>13</v>
      </c>
      <c r="Y17" s="18" t="s">
        <v>12</v>
      </c>
      <c r="Z17" s="18" t="s">
        <v>17</v>
      </c>
      <c r="AB17" s="7" t="s">
        <v>12</v>
      </c>
      <c r="AC17" s="19" t="str">
        <f>+O5</f>
        <v>20</v>
      </c>
      <c r="AD17" s="15">
        <f>O6</f>
        <v>2</v>
      </c>
      <c r="AE17" s="19" t="str">
        <f>+O7</f>
        <v>15</v>
      </c>
      <c r="AF17" s="15">
        <f>+O8</f>
        <v>2</v>
      </c>
      <c r="AG17" s="19" t="str">
        <f>+O9</f>
        <v>11</v>
      </c>
      <c r="AH17" s="15">
        <f>+O10</f>
        <v>4</v>
      </c>
      <c r="AI17" s="19" t="str">
        <f>+O11</f>
        <v>12</v>
      </c>
      <c r="AJ17" s="15">
        <f>+O12</f>
        <v>2</v>
      </c>
      <c r="AK17" s="19" t="str">
        <f>+O13</f>
        <v>14</v>
      </c>
      <c r="AL17" s="15">
        <f>+O14</f>
        <v>4</v>
      </c>
      <c r="AM17" s="19" t="str">
        <f>+O15</f>
        <v>22</v>
      </c>
      <c r="AN17" s="15">
        <f>+O16</f>
        <v>4</v>
      </c>
      <c r="AO17" s="19" t="str">
        <f>+O17</f>
        <v>25</v>
      </c>
      <c r="AP17" s="15">
        <f>+O18</f>
        <v>2</v>
      </c>
      <c r="AQ17" s="19" t="str">
        <f>+O19</f>
        <v>31</v>
      </c>
      <c r="AR17" s="15">
        <f>+O20</f>
        <v>4</v>
      </c>
      <c r="AS17" s="19" t="str">
        <f>+O21</f>
        <v>32</v>
      </c>
      <c r="AT17" s="15">
        <f>+O22</f>
        <v>6</v>
      </c>
      <c r="AU17" s="19" t="str">
        <f>+O23</f>
        <v>00</v>
      </c>
      <c r="AV17" s="15">
        <f>+O24</f>
        <v>0</v>
      </c>
      <c r="AW17" s="19" t="str">
        <f>+O25</f>
        <v>33</v>
      </c>
      <c r="AX17" s="15">
        <f>+O26</f>
        <v>2</v>
      </c>
      <c r="AY17" s="19" t="str">
        <f>+O27</f>
        <v>10</v>
      </c>
      <c r="AZ17" s="15">
        <f>+O28</f>
        <v>4</v>
      </c>
      <c r="BA17" s="19" t="str">
        <f>+O29</f>
        <v>27</v>
      </c>
      <c r="BB17" s="15">
        <f>+O30</f>
        <v>3</v>
      </c>
      <c r="BC17" s="19" t="str">
        <f>+O31</f>
        <v>29</v>
      </c>
      <c r="BD17" s="15">
        <f>+O32</f>
        <v>2</v>
      </c>
      <c r="BE17" s="19" t="str">
        <f>+O33</f>
        <v>18</v>
      </c>
      <c r="BF17" s="15">
        <f>+O34</f>
        <v>3</v>
      </c>
      <c r="BG17" s="19" t="str">
        <f>+O35</f>
        <v>00</v>
      </c>
      <c r="BH17" s="15">
        <f>+O36</f>
        <v>0</v>
      </c>
      <c r="BI17" s="19" t="str">
        <f>+O37</f>
        <v>30</v>
      </c>
      <c r="BJ17" s="15">
        <f>+O38</f>
        <v>4</v>
      </c>
      <c r="BK17" s="19" t="str">
        <f>+O39</f>
        <v>28</v>
      </c>
      <c r="BL17" s="15">
        <f>+O40</f>
        <v>2</v>
      </c>
      <c r="BM17" s="19" t="str">
        <f>+O41</f>
        <v>26</v>
      </c>
      <c r="BN17" s="15">
        <f>+O42</f>
        <v>4</v>
      </c>
      <c r="BO17" s="19" t="str">
        <f>+O43</f>
        <v>31</v>
      </c>
      <c r="BP17" s="15">
        <f>+O44</f>
        <v>11</v>
      </c>
      <c r="BQ17" s="19" t="str">
        <f>+O45</f>
        <v>28</v>
      </c>
      <c r="BR17" s="15">
        <f>+O46</f>
        <v>6</v>
      </c>
      <c r="BS17" s="19" t="str">
        <f>+O47</f>
        <v>28</v>
      </c>
      <c r="BT17" s="15">
        <f>+O48</f>
        <v>5</v>
      </c>
      <c r="BU17" s="19" t="str">
        <f>+O49</f>
        <v>25</v>
      </c>
      <c r="BV17" s="15">
        <f>+O50</f>
        <v>2</v>
      </c>
      <c r="BW17" s="19" t="str">
        <f>+O51</f>
        <v>00</v>
      </c>
      <c r="BX17" s="15">
        <f>+O52</f>
        <v>0</v>
      </c>
      <c r="BY17" s="19" t="str">
        <f>+O53</f>
        <v>10</v>
      </c>
      <c r="BZ17" s="15">
        <f>+O54</f>
        <v>2</v>
      </c>
      <c r="CA17" s="19" t="str">
        <f>+O55</f>
        <v>16</v>
      </c>
      <c r="CB17" s="15">
        <f>+O56</f>
        <v>2</v>
      </c>
      <c r="CC17" s="19" t="str">
        <f>+O57</f>
        <v>17</v>
      </c>
      <c r="CD17" s="15">
        <f>+O58</f>
        <v>2</v>
      </c>
      <c r="CE17" s="19" t="str">
        <f>+O59</f>
        <v>23</v>
      </c>
      <c r="CF17" s="15">
        <f>+O60</f>
        <v>2</v>
      </c>
      <c r="CG17" s="19" t="str">
        <f>+O61</f>
        <v>24</v>
      </c>
      <c r="CH17" s="15">
        <f>+O62</f>
        <v>2</v>
      </c>
      <c r="CI17" s="19" t="str">
        <f>+O63</f>
        <v>00</v>
      </c>
      <c r="CJ17" s="15">
        <f>+O64</f>
        <v>0</v>
      </c>
      <c r="CK17" s="19" t="str">
        <f>+O65</f>
        <v>25</v>
      </c>
      <c r="CL17" s="15">
        <f>+O66</f>
        <v>2</v>
      </c>
      <c r="CM17" s="16"/>
      <c r="CN17" s="15">
        <v>14</v>
      </c>
      <c r="CO17" s="10" t="str">
        <f t="shared" si="0"/>
        <v>20003</v>
      </c>
      <c r="CP17" s="10" t="str">
        <f t="shared" si="1"/>
        <v>00000</v>
      </c>
      <c r="CQ17" s="17" t="s">
        <v>100</v>
      </c>
      <c r="CR17" s="10" t="str">
        <f t="shared" si="2"/>
        <v>07002</v>
      </c>
      <c r="CS17" s="17" t="s">
        <v>101</v>
      </c>
      <c r="CT17" s="10" t="str">
        <f t="shared" si="3"/>
        <v>17002</v>
      </c>
      <c r="CU17" s="10" t="str">
        <f t="shared" si="4"/>
        <v>31005</v>
      </c>
      <c r="CV17" s="17" t="s">
        <v>102</v>
      </c>
      <c r="CW17" s="10" t="str">
        <f t="shared" si="5"/>
        <v>31003</v>
      </c>
      <c r="CX17" s="10" t="str">
        <f t="shared" si="6"/>
        <v>00000</v>
      </c>
      <c r="CY17" s="17" t="s">
        <v>103</v>
      </c>
      <c r="CZ17" s="10" t="str">
        <f t="shared" si="7"/>
        <v>08002</v>
      </c>
      <c r="DA17" s="10" t="str">
        <f t="shared" si="8"/>
        <v>25004</v>
      </c>
      <c r="DB17" s="10" t="str">
        <f t="shared" si="9"/>
        <v>13003</v>
      </c>
      <c r="DC17" s="10" t="str">
        <f t="shared" si="10"/>
        <v>23004</v>
      </c>
      <c r="DD17" s="10" t="str">
        <f t="shared" si="11"/>
        <v>00000</v>
      </c>
      <c r="DE17" s="10" t="str">
        <f t="shared" si="12"/>
        <v>13001</v>
      </c>
      <c r="DF17" s="10" t="str">
        <f t="shared" si="13"/>
        <v>27004</v>
      </c>
      <c r="DG17" s="10" t="str">
        <f t="shared" si="14"/>
        <v>31003</v>
      </c>
      <c r="DH17" s="10" t="str">
        <f t="shared" si="15"/>
        <v>32007</v>
      </c>
      <c r="DI17" s="10" t="str">
        <f t="shared" si="16"/>
        <v>29006</v>
      </c>
      <c r="DJ17" s="10" t="str">
        <f t="shared" si="17"/>
        <v>27003</v>
      </c>
      <c r="DK17" s="10" t="str">
        <f t="shared" si="18"/>
        <v>23003</v>
      </c>
      <c r="DL17" s="10" t="str">
        <f t="shared" si="19"/>
        <v>19002</v>
      </c>
      <c r="DM17" s="10" t="str">
        <f t="shared" si="20"/>
        <v>11002</v>
      </c>
      <c r="DN17" s="10" t="str">
        <f t="shared" si="21"/>
        <v>00000</v>
      </c>
      <c r="DO17" s="10" t="str">
        <f t="shared" si="22"/>
        <v>17001</v>
      </c>
      <c r="DP17" s="10" t="str">
        <f t="shared" si="23"/>
        <v>10002</v>
      </c>
      <c r="DQ17" s="2" t="e">
        <f t="shared" si="24"/>
        <v>#REF!</v>
      </c>
      <c r="DR17" s="10" t="e">
        <f t="shared" si="25"/>
        <v>#REF!</v>
      </c>
      <c r="DS17" s="10" t="e">
        <f t="shared" si="26"/>
        <v>#REF!</v>
      </c>
    </row>
    <row r="18" spans="1:123" ht="12.75" customHeight="1" x14ac:dyDescent="0.3">
      <c r="A18" s="8"/>
      <c r="B18" s="15" t="s">
        <v>53</v>
      </c>
      <c r="C18" s="20">
        <v>2</v>
      </c>
      <c r="D18" s="20">
        <v>3</v>
      </c>
      <c r="E18" s="20">
        <v>6</v>
      </c>
      <c r="F18" s="20">
        <v>5</v>
      </c>
      <c r="G18" s="20">
        <v>6</v>
      </c>
      <c r="H18" s="20">
        <v>6</v>
      </c>
      <c r="I18" s="20">
        <v>9</v>
      </c>
      <c r="J18" s="20">
        <v>6</v>
      </c>
      <c r="K18" s="20">
        <v>7</v>
      </c>
      <c r="L18" s="20">
        <v>6</v>
      </c>
      <c r="M18" s="20">
        <v>2</v>
      </c>
      <c r="N18" s="20">
        <v>2</v>
      </c>
      <c r="O18" s="20">
        <v>2</v>
      </c>
      <c r="P18" s="20">
        <v>1</v>
      </c>
      <c r="Q18" s="20">
        <v>5</v>
      </c>
      <c r="R18" s="20">
        <v>4</v>
      </c>
      <c r="S18" s="20">
        <v>5</v>
      </c>
      <c r="T18" s="20">
        <v>14</v>
      </c>
      <c r="U18" s="20">
        <v>2</v>
      </c>
      <c r="V18" s="20">
        <v>5</v>
      </c>
      <c r="W18" s="20">
        <v>3</v>
      </c>
      <c r="X18" s="20">
        <v>2</v>
      </c>
      <c r="Y18" s="20">
        <v>2</v>
      </c>
      <c r="Z18" s="20">
        <v>3</v>
      </c>
      <c r="AB18" s="7" t="s">
        <v>13</v>
      </c>
      <c r="AC18" s="19" t="str">
        <f>+P5</f>
        <v>25</v>
      </c>
      <c r="AD18" s="15">
        <f>P6</f>
        <v>1</v>
      </c>
      <c r="AE18" s="19" t="str">
        <f>+P7</f>
        <v>26</v>
      </c>
      <c r="AF18" s="15">
        <f>+P8</f>
        <v>3</v>
      </c>
      <c r="AG18" s="19" t="str">
        <f>+P9</f>
        <v>07</v>
      </c>
      <c r="AH18" s="15">
        <f>+P10</f>
        <v>3</v>
      </c>
      <c r="AI18" s="19" t="str">
        <f>+P11</f>
        <v>08</v>
      </c>
      <c r="AJ18" s="15">
        <f>+P12</f>
        <v>3</v>
      </c>
      <c r="AK18" s="19" t="str">
        <f>+P13</f>
        <v>12</v>
      </c>
      <c r="AL18" s="15">
        <f>+P14</f>
        <v>2</v>
      </c>
      <c r="AM18" s="19" t="str">
        <f>+P15</f>
        <v>12</v>
      </c>
      <c r="AN18" s="15">
        <f>+P16</f>
        <v>4</v>
      </c>
      <c r="AO18" s="19" t="str">
        <f>+P17</f>
        <v>26</v>
      </c>
      <c r="AP18" s="21">
        <f>+P18</f>
        <v>1</v>
      </c>
      <c r="AQ18" s="19" t="str">
        <f>+P19</f>
        <v>00</v>
      </c>
      <c r="AR18" s="21">
        <f>+P20</f>
        <v>0</v>
      </c>
      <c r="AS18" s="19" t="str">
        <f>+P21</f>
        <v>33</v>
      </c>
      <c r="AT18" s="15">
        <f>+P22</f>
        <v>2</v>
      </c>
      <c r="AU18" s="19" t="str">
        <f>+P23</f>
        <v>00</v>
      </c>
      <c r="AV18" s="15">
        <f>+P24</f>
        <v>0</v>
      </c>
      <c r="AW18" s="19" t="str">
        <f>+P25</f>
        <v>25</v>
      </c>
      <c r="AX18" s="15">
        <f>+P26</f>
        <v>3</v>
      </c>
      <c r="AY18" s="19" t="str">
        <f>+P27</f>
        <v>09</v>
      </c>
      <c r="AZ18" s="15">
        <f>+P28</f>
        <v>3</v>
      </c>
      <c r="BA18" s="19" t="str">
        <f>+P29</f>
        <v>11</v>
      </c>
      <c r="BB18" s="15">
        <f>+P30</f>
        <v>2</v>
      </c>
      <c r="BC18" s="19" t="str">
        <f>+P31</f>
        <v>09</v>
      </c>
      <c r="BD18" s="15">
        <f>+P32</f>
        <v>3</v>
      </c>
      <c r="BE18" s="19" t="str">
        <f>+P33</f>
        <v>26</v>
      </c>
      <c r="BF18" s="15">
        <f>+P34</f>
        <v>4</v>
      </c>
      <c r="BG18" s="19" t="str">
        <f>+P35</f>
        <v>00</v>
      </c>
      <c r="BH18" s="15">
        <f>+P36</f>
        <v>0</v>
      </c>
      <c r="BI18" s="19" t="str">
        <f>+P37</f>
        <v>12</v>
      </c>
      <c r="BJ18" s="15">
        <f>+P38</f>
        <v>2</v>
      </c>
      <c r="BK18" s="19" t="str">
        <f>+P39</f>
        <v>28</v>
      </c>
      <c r="BL18" s="15">
        <f>+P40</f>
        <v>4</v>
      </c>
      <c r="BM18" s="19" t="str">
        <f>+P41</f>
        <v>27</v>
      </c>
      <c r="BN18" s="15">
        <f>+P42</f>
        <v>2</v>
      </c>
      <c r="BO18" s="19" t="str">
        <f>+P43</f>
        <v>32</v>
      </c>
      <c r="BP18" s="15">
        <f>+P44</f>
        <v>10</v>
      </c>
      <c r="BQ18" s="19" t="str">
        <f>+P45</f>
        <v>29</v>
      </c>
      <c r="BR18" s="15">
        <f>+P46</f>
        <v>5</v>
      </c>
      <c r="BS18" s="19" t="str">
        <f>+P47</f>
        <v>28</v>
      </c>
      <c r="BT18" s="15">
        <f>+P48</f>
        <v>3</v>
      </c>
      <c r="BU18" s="19" t="str">
        <f>+P49</f>
        <v>24</v>
      </c>
      <c r="BV18" s="15">
        <f>+P50</f>
        <v>4</v>
      </c>
      <c r="BW18" s="19" t="str">
        <f>+P51</f>
        <v>00</v>
      </c>
      <c r="BX18" s="15">
        <f>+P52</f>
        <v>0</v>
      </c>
      <c r="BY18" s="19" t="str">
        <f>+P53</f>
        <v>08</v>
      </c>
      <c r="BZ18" s="15">
        <f>+P54</f>
        <v>2</v>
      </c>
      <c r="CA18" s="19" t="str">
        <f>+P55</f>
        <v>20</v>
      </c>
      <c r="CB18" s="15">
        <f>+P56</f>
        <v>2</v>
      </c>
      <c r="CC18" s="19" t="str">
        <f>+P57</f>
        <v>20</v>
      </c>
      <c r="CD18" s="15">
        <f>+P58</f>
        <v>3</v>
      </c>
      <c r="CE18" s="19" t="str">
        <f>+P59</f>
        <v>15</v>
      </c>
      <c r="CF18" s="15">
        <f>+P60</f>
        <v>2</v>
      </c>
      <c r="CG18" s="19" t="str">
        <f>+P61</f>
        <v>24</v>
      </c>
      <c r="CH18" s="15">
        <f>+P62</f>
        <v>2</v>
      </c>
      <c r="CI18" s="19" t="str">
        <f>+P63</f>
        <v>00</v>
      </c>
      <c r="CJ18" s="15">
        <f>+P64</f>
        <v>0</v>
      </c>
      <c r="CK18" s="19" t="str">
        <f>+P65</f>
        <v>26</v>
      </c>
      <c r="CL18" s="15">
        <f>+P66</f>
        <v>2</v>
      </c>
      <c r="CM18" s="16"/>
      <c r="CN18" s="15">
        <v>15</v>
      </c>
      <c r="CO18" s="10" t="str">
        <f t="shared" si="0"/>
        <v>21003</v>
      </c>
      <c r="CP18" s="10" t="str">
        <f t="shared" si="1"/>
        <v>17003</v>
      </c>
      <c r="CQ18" s="17" t="s">
        <v>85</v>
      </c>
      <c r="CR18" s="10" t="str">
        <f t="shared" si="2"/>
        <v>12003</v>
      </c>
      <c r="CS18" s="17" t="s">
        <v>104</v>
      </c>
      <c r="CT18" s="10" t="str">
        <f t="shared" si="3"/>
        <v>24001</v>
      </c>
      <c r="CU18" s="10" t="str">
        <f t="shared" si="4"/>
        <v>34004</v>
      </c>
      <c r="CV18" s="17" t="s">
        <v>74</v>
      </c>
      <c r="CW18" s="10" t="str">
        <f t="shared" si="5"/>
        <v>09001</v>
      </c>
      <c r="CX18" s="10" t="str">
        <f t="shared" si="6"/>
        <v>00000</v>
      </c>
      <c r="CY18" s="17" t="s">
        <v>105</v>
      </c>
      <c r="CZ18" s="10" t="str">
        <f t="shared" si="7"/>
        <v>32002</v>
      </c>
      <c r="DA18" s="10" t="str">
        <f t="shared" si="8"/>
        <v>26002</v>
      </c>
      <c r="DB18" s="10" t="str">
        <f t="shared" si="9"/>
        <v>13002</v>
      </c>
      <c r="DC18" s="10" t="str">
        <f t="shared" si="10"/>
        <v>25002</v>
      </c>
      <c r="DD18" s="10" t="str">
        <f t="shared" si="11"/>
        <v>00000</v>
      </c>
      <c r="DE18" s="10" t="str">
        <f t="shared" si="12"/>
        <v>04002</v>
      </c>
      <c r="DF18" s="10" t="str">
        <f t="shared" si="13"/>
        <v>28005</v>
      </c>
      <c r="DG18" s="10" t="str">
        <f t="shared" si="14"/>
        <v>30004</v>
      </c>
      <c r="DH18" s="10" t="str">
        <f t="shared" si="15"/>
        <v>32010</v>
      </c>
      <c r="DI18" s="10" t="str">
        <f t="shared" si="16"/>
        <v>28005</v>
      </c>
      <c r="DJ18" s="10" t="str">
        <f t="shared" si="17"/>
        <v>28002</v>
      </c>
      <c r="DK18" s="10" t="str">
        <f t="shared" si="18"/>
        <v>31002</v>
      </c>
      <c r="DL18" s="10" t="str">
        <f t="shared" si="19"/>
        <v>17002</v>
      </c>
      <c r="DM18" s="10" t="str">
        <f t="shared" si="20"/>
        <v>16002</v>
      </c>
      <c r="DN18" s="10" t="str">
        <f t="shared" si="21"/>
        <v>00000</v>
      </c>
      <c r="DO18" s="10" t="str">
        <f t="shared" si="22"/>
        <v>19001</v>
      </c>
      <c r="DP18" s="10" t="str">
        <f t="shared" si="23"/>
        <v>21002</v>
      </c>
      <c r="DQ18" s="2" t="e">
        <f t="shared" si="24"/>
        <v>#REF!</v>
      </c>
      <c r="DR18" s="10" t="e">
        <f t="shared" si="25"/>
        <v>#REF!</v>
      </c>
      <c r="DS18" s="10" t="e">
        <f t="shared" si="26"/>
        <v>#REF!</v>
      </c>
    </row>
    <row r="19" spans="1:123" ht="12.75" customHeight="1" x14ac:dyDescent="0.3">
      <c r="A19" s="8">
        <v>8</v>
      </c>
      <c r="B19" s="14" t="s">
        <v>52</v>
      </c>
      <c r="C19" s="18" t="s">
        <v>17</v>
      </c>
      <c r="D19" s="18" t="s">
        <v>26</v>
      </c>
      <c r="E19" s="18" t="s">
        <v>28</v>
      </c>
      <c r="F19" s="18" t="s">
        <v>59</v>
      </c>
      <c r="G19" s="18" t="s">
        <v>59</v>
      </c>
      <c r="H19" s="18" t="s">
        <v>68</v>
      </c>
      <c r="I19" s="18" t="s">
        <v>59</v>
      </c>
      <c r="J19" s="18" t="s">
        <v>59</v>
      </c>
      <c r="K19" s="18" t="s">
        <v>88</v>
      </c>
      <c r="L19" s="18" t="s">
        <v>31</v>
      </c>
      <c r="M19" s="18" t="s">
        <v>68</v>
      </c>
      <c r="N19" s="18" t="s">
        <v>31</v>
      </c>
      <c r="O19" s="18" t="s">
        <v>31</v>
      </c>
      <c r="P19" s="18" t="s">
        <v>46</v>
      </c>
      <c r="Q19" s="18" t="s">
        <v>28</v>
      </c>
      <c r="R19" s="18" t="s">
        <v>46</v>
      </c>
      <c r="S19" s="18" t="s">
        <v>24</v>
      </c>
      <c r="T19" s="18" t="s">
        <v>25</v>
      </c>
      <c r="U19" s="18" t="s">
        <v>23</v>
      </c>
      <c r="V19" s="18" t="s">
        <v>68</v>
      </c>
      <c r="W19" s="18" t="s">
        <v>59</v>
      </c>
      <c r="X19" s="18" t="s">
        <v>88</v>
      </c>
      <c r="Y19" s="18" t="s">
        <v>68</v>
      </c>
      <c r="Z19" s="18" t="s">
        <v>88</v>
      </c>
      <c r="AB19" s="7" t="s">
        <v>14</v>
      </c>
      <c r="AC19" s="19" t="str">
        <f>+Q5</f>
        <v>20</v>
      </c>
      <c r="AD19" s="15">
        <f>Q6</f>
        <v>3</v>
      </c>
      <c r="AE19" s="19" t="str">
        <f>+Q7</f>
        <v>00</v>
      </c>
      <c r="AF19" s="15">
        <f>+Q8</f>
        <v>0</v>
      </c>
      <c r="AG19" s="19" t="str">
        <f>+Q9</f>
        <v>05</v>
      </c>
      <c r="AH19" s="15">
        <f>+Q10</f>
        <v>3</v>
      </c>
      <c r="AI19" s="19" t="str">
        <f>+Q11</f>
        <v>07</v>
      </c>
      <c r="AJ19" s="15">
        <f>+Q12</f>
        <v>2</v>
      </c>
      <c r="AK19" s="19" t="str">
        <f>+Q13</f>
        <v>18</v>
      </c>
      <c r="AL19" s="15">
        <f>+Q14</f>
        <v>2</v>
      </c>
      <c r="AM19" s="19" t="str">
        <f>+Q15</f>
        <v>17</v>
      </c>
      <c r="AN19" s="21">
        <f>+Q16</f>
        <v>2</v>
      </c>
      <c r="AO19" s="19" t="str">
        <f>+Q17</f>
        <v>31</v>
      </c>
      <c r="AP19" s="21">
        <f>+Q18</f>
        <v>5</v>
      </c>
      <c r="AQ19" s="19" t="str">
        <f>+Q19</f>
        <v>28</v>
      </c>
      <c r="AR19" s="15">
        <f>+Q20</f>
        <v>2</v>
      </c>
      <c r="AS19" s="19" t="str">
        <f>+Q21</f>
        <v>31</v>
      </c>
      <c r="AT19" s="15">
        <f>+Q22</f>
        <v>3</v>
      </c>
      <c r="AU19" s="19" t="str">
        <f>+Q23</f>
        <v>00</v>
      </c>
      <c r="AV19" s="15">
        <f>+Q24</f>
        <v>0</v>
      </c>
      <c r="AW19" s="19" t="str">
        <f>+Q25</f>
        <v>19</v>
      </c>
      <c r="AX19" s="15">
        <f>+Q26</f>
        <v>1</v>
      </c>
      <c r="AY19" s="19" t="str">
        <f>+Q27</f>
        <v>08</v>
      </c>
      <c r="AZ19" s="15">
        <f>+Q28</f>
        <v>2</v>
      </c>
      <c r="BA19" s="19" t="str">
        <f>+Q29</f>
        <v>25</v>
      </c>
      <c r="BB19" s="15">
        <f>+Q30</f>
        <v>4</v>
      </c>
      <c r="BC19" s="19" t="str">
        <f>+Q31</f>
        <v>13</v>
      </c>
      <c r="BD19" s="15">
        <f>+Q32</f>
        <v>3</v>
      </c>
      <c r="BE19" s="19" t="str">
        <f>+Q33</f>
        <v>23</v>
      </c>
      <c r="BF19" s="15">
        <f>+Q34</f>
        <v>4</v>
      </c>
      <c r="BG19" s="19" t="str">
        <f>+Q35</f>
        <v>00</v>
      </c>
      <c r="BH19" s="15">
        <f>+Q36</f>
        <v>0</v>
      </c>
      <c r="BI19" s="19" t="str">
        <f>+Q37</f>
        <v>13</v>
      </c>
      <c r="BJ19" s="15">
        <f>+Q38</f>
        <v>1</v>
      </c>
      <c r="BK19" s="19" t="str">
        <f>+Q39</f>
        <v>27</v>
      </c>
      <c r="BL19" s="15">
        <f>+Q40</f>
        <v>4</v>
      </c>
      <c r="BM19" s="19" t="str">
        <f>+Q41</f>
        <v>31</v>
      </c>
      <c r="BN19" s="15">
        <f>+Q42</f>
        <v>3</v>
      </c>
      <c r="BO19" s="19" t="str">
        <f>+Q43</f>
        <v>32</v>
      </c>
      <c r="BP19" s="15">
        <f>+Q44</f>
        <v>7</v>
      </c>
      <c r="BQ19" s="19" t="str">
        <f>+Q45</f>
        <v>29</v>
      </c>
      <c r="BR19" s="15">
        <f>+Q46</f>
        <v>6</v>
      </c>
      <c r="BS19" s="19" t="str">
        <f>+Q47</f>
        <v>27</v>
      </c>
      <c r="BT19" s="15">
        <f>+Q48</f>
        <v>3</v>
      </c>
      <c r="BU19" s="19" t="str">
        <f>+Q49</f>
        <v>23</v>
      </c>
      <c r="BV19" s="15">
        <f>+Q50</f>
        <v>3</v>
      </c>
      <c r="BW19" s="19" t="str">
        <f>+Q51</f>
        <v>19</v>
      </c>
      <c r="BX19" s="15">
        <f>+Q52</f>
        <v>2</v>
      </c>
      <c r="BY19" s="19" t="str">
        <f>+Q53</f>
        <v>11</v>
      </c>
      <c r="BZ19" s="15">
        <f>+Q54</f>
        <v>2</v>
      </c>
      <c r="CA19" s="19" t="str">
        <f>+Q55</f>
        <v>00</v>
      </c>
      <c r="CB19" s="15">
        <f>+Q56</f>
        <v>0</v>
      </c>
      <c r="CC19" s="19" t="str">
        <f>+Q57</f>
        <v>17</v>
      </c>
      <c r="CD19" s="15">
        <f>+Q58</f>
        <v>1</v>
      </c>
      <c r="CE19" s="19" t="str">
        <f>+Q59</f>
        <v>10</v>
      </c>
      <c r="CF19" s="15">
        <f>+Q60</f>
        <v>2</v>
      </c>
      <c r="CG19" s="19" t="str">
        <f>+Q61</f>
        <v>23</v>
      </c>
      <c r="CH19" s="15">
        <f>+Q62</f>
        <v>3</v>
      </c>
      <c r="CI19" s="19" t="str">
        <f>+Q63</f>
        <v>00</v>
      </c>
      <c r="CJ19" s="15">
        <f>+Q64</f>
        <v>0</v>
      </c>
      <c r="CK19" s="19" t="str">
        <f>+Q65</f>
        <v>00</v>
      </c>
      <c r="CL19" s="15">
        <f>+Q66</f>
        <v>0</v>
      </c>
      <c r="CM19" s="16"/>
      <c r="CN19" s="15">
        <v>16</v>
      </c>
      <c r="CO19" s="10" t="str">
        <f t="shared" si="0"/>
        <v>20002</v>
      </c>
      <c r="CP19" s="10" t="str">
        <f t="shared" si="1"/>
        <v>17003</v>
      </c>
      <c r="CQ19" s="17" t="s">
        <v>106</v>
      </c>
      <c r="CR19" s="10" t="str">
        <f t="shared" si="2"/>
        <v>11002</v>
      </c>
      <c r="CS19" s="17" t="s">
        <v>107</v>
      </c>
      <c r="CT19" s="10" t="str">
        <f t="shared" si="3"/>
        <v>08002</v>
      </c>
      <c r="CU19" s="10" t="str">
        <f t="shared" si="4"/>
        <v>33005</v>
      </c>
      <c r="CV19" s="17" t="s">
        <v>108</v>
      </c>
      <c r="CW19" s="10" t="str">
        <f t="shared" si="5"/>
        <v>27003</v>
      </c>
      <c r="CX19" s="10" t="str">
        <f t="shared" si="6"/>
        <v>23002</v>
      </c>
      <c r="CY19" s="17" t="s">
        <v>103</v>
      </c>
      <c r="CZ19" s="10" t="str">
        <f t="shared" si="7"/>
        <v>33002</v>
      </c>
      <c r="DA19" s="10" t="str">
        <f t="shared" si="8"/>
        <v>17004</v>
      </c>
      <c r="DB19" s="10" t="str">
        <f t="shared" si="9"/>
        <v>08002</v>
      </c>
      <c r="DC19" s="10" t="str">
        <f t="shared" si="10"/>
        <v>02002</v>
      </c>
      <c r="DD19" s="10" t="str">
        <f t="shared" si="11"/>
        <v>08002</v>
      </c>
      <c r="DE19" s="10" t="str">
        <f t="shared" si="12"/>
        <v>14002</v>
      </c>
      <c r="DF19" s="10" t="str">
        <f t="shared" si="13"/>
        <v>26004</v>
      </c>
      <c r="DG19" s="10" t="str">
        <f t="shared" si="14"/>
        <v>29004</v>
      </c>
      <c r="DH19" s="10" t="str">
        <f t="shared" si="15"/>
        <v>27016</v>
      </c>
      <c r="DI19" s="10" t="str">
        <f t="shared" si="16"/>
        <v>28005</v>
      </c>
      <c r="DJ19" s="10" t="str">
        <f t="shared" si="17"/>
        <v>24007</v>
      </c>
      <c r="DK19" s="10" t="str">
        <f t="shared" si="18"/>
        <v>25001</v>
      </c>
      <c r="DL19" s="10" t="str">
        <f t="shared" si="19"/>
        <v>15002</v>
      </c>
      <c r="DM19" s="10" t="str">
        <f t="shared" si="20"/>
        <v>00000</v>
      </c>
      <c r="DN19" s="10" t="str">
        <f t="shared" si="21"/>
        <v>00000</v>
      </c>
      <c r="DO19" s="10" t="str">
        <f t="shared" si="22"/>
        <v>22001</v>
      </c>
      <c r="DP19" s="10" t="str">
        <f t="shared" si="23"/>
        <v>20004</v>
      </c>
      <c r="DQ19" s="2" t="e">
        <f t="shared" si="24"/>
        <v>#REF!</v>
      </c>
      <c r="DR19" s="10" t="e">
        <f t="shared" si="25"/>
        <v>#REF!</v>
      </c>
      <c r="DS19" s="10" t="e">
        <f t="shared" si="26"/>
        <v>#REF!</v>
      </c>
    </row>
    <row r="20" spans="1:123" ht="12.75" customHeight="1" x14ac:dyDescent="0.3">
      <c r="A20" s="8"/>
      <c r="B20" s="15" t="s">
        <v>53</v>
      </c>
      <c r="C20" s="20">
        <v>3</v>
      </c>
      <c r="D20" s="20">
        <v>4</v>
      </c>
      <c r="E20" s="20">
        <v>7</v>
      </c>
      <c r="F20" s="20">
        <v>7</v>
      </c>
      <c r="G20" s="20">
        <v>13</v>
      </c>
      <c r="H20" s="20">
        <v>15</v>
      </c>
      <c r="I20" s="20">
        <v>11</v>
      </c>
      <c r="J20" s="20">
        <v>17</v>
      </c>
      <c r="K20" s="20">
        <v>13</v>
      </c>
      <c r="L20" s="20">
        <v>7</v>
      </c>
      <c r="M20" s="20">
        <v>9</v>
      </c>
      <c r="N20" s="20">
        <v>10</v>
      </c>
      <c r="O20" s="20">
        <v>4</v>
      </c>
      <c r="P20" s="20">
        <v>0</v>
      </c>
      <c r="Q20" s="20">
        <v>2</v>
      </c>
      <c r="R20" s="20">
        <v>0</v>
      </c>
      <c r="S20" s="20">
        <v>2</v>
      </c>
      <c r="T20" s="20">
        <v>2</v>
      </c>
      <c r="U20" s="20">
        <v>2</v>
      </c>
      <c r="V20" s="20">
        <v>3</v>
      </c>
      <c r="W20" s="20">
        <v>2</v>
      </c>
      <c r="X20" s="20">
        <v>2</v>
      </c>
      <c r="Y20" s="20">
        <v>3</v>
      </c>
      <c r="Z20" s="20">
        <v>6</v>
      </c>
      <c r="AB20" s="7" t="s">
        <v>15</v>
      </c>
      <c r="AC20" s="19" t="str">
        <f>+R5</f>
        <v>21</v>
      </c>
      <c r="AD20" s="15">
        <f>R6</f>
        <v>3</v>
      </c>
      <c r="AE20" s="19" t="str">
        <f>+R7</f>
        <v>17</v>
      </c>
      <c r="AF20" s="15">
        <f>+R8</f>
        <v>3</v>
      </c>
      <c r="AG20" s="19" t="str">
        <f>+R9</f>
        <v>10</v>
      </c>
      <c r="AH20" s="15">
        <f>+R10</f>
        <v>3</v>
      </c>
      <c r="AI20" s="19" t="str">
        <f>+R11</f>
        <v>12</v>
      </c>
      <c r="AJ20" s="15">
        <f>+R12</f>
        <v>3</v>
      </c>
      <c r="AK20" s="19" t="str">
        <f>+R13</f>
        <v>17</v>
      </c>
      <c r="AL20" s="15">
        <f>+R14</f>
        <v>2</v>
      </c>
      <c r="AM20" s="19" t="str">
        <f>+R15</f>
        <v>24</v>
      </c>
      <c r="AN20" s="15">
        <f>+R16</f>
        <v>1</v>
      </c>
      <c r="AO20" s="19" t="str">
        <f>+R17</f>
        <v>34</v>
      </c>
      <c r="AP20" s="21">
        <f>+R18</f>
        <v>4</v>
      </c>
      <c r="AQ20" s="19" t="str">
        <f>+R19</f>
        <v>00</v>
      </c>
      <c r="AR20" s="21">
        <f>+R20</f>
        <v>0</v>
      </c>
      <c r="AS20" s="19" t="str">
        <f>+R21</f>
        <v>09</v>
      </c>
      <c r="AT20" s="15">
        <f>+R22</f>
        <v>1</v>
      </c>
      <c r="AU20" s="19" t="str">
        <f>+R23</f>
        <v>00</v>
      </c>
      <c r="AV20" s="15">
        <f>+R24</f>
        <v>0</v>
      </c>
      <c r="AW20" s="19" t="str">
        <f>+R25</f>
        <v>12</v>
      </c>
      <c r="AX20" s="15">
        <f>+R26</f>
        <v>1</v>
      </c>
      <c r="AY20" s="19" t="str">
        <f>+R27</f>
        <v>32</v>
      </c>
      <c r="AZ20" s="15">
        <f>+R28</f>
        <v>2</v>
      </c>
      <c r="BA20" s="19" t="str">
        <f>+R29</f>
        <v>26</v>
      </c>
      <c r="BB20" s="15">
        <f>+R30</f>
        <v>2</v>
      </c>
      <c r="BC20" s="19" t="str">
        <f>+R31</f>
        <v>13</v>
      </c>
      <c r="BD20" s="15">
        <f>+R32</f>
        <v>2</v>
      </c>
      <c r="BE20" s="19" t="str">
        <f>+R33</f>
        <v>25</v>
      </c>
      <c r="BF20" s="15">
        <f>+R34</f>
        <v>2</v>
      </c>
      <c r="BG20" s="19" t="str">
        <f>+R35</f>
        <v>00</v>
      </c>
      <c r="BH20" s="15">
        <f>+R36</f>
        <v>0</v>
      </c>
      <c r="BI20" s="19" t="str">
        <f>+R37</f>
        <v>04</v>
      </c>
      <c r="BJ20" s="15">
        <f>+R38</f>
        <v>2</v>
      </c>
      <c r="BK20" s="19" t="str">
        <f>+R39</f>
        <v>28</v>
      </c>
      <c r="BL20" s="15">
        <f>+R40</f>
        <v>5</v>
      </c>
      <c r="BM20" s="19" t="str">
        <f>+R41</f>
        <v>30</v>
      </c>
      <c r="BN20" s="15">
        <f>+R42</f>
        <v>4</v>
      </c>
      <c r="BO20" s="19" t="str">
        <f>+R43</f>
        <v>32</v>
      </c>
      <c r="BP20" s="15">
        <f>+R44</f>
        <v>10</v>
      </c>
      <c r="BQ20" s="19" t="str">
        <f>+R45</f>
        <v>28</v>
      </c>
      <c r="BR20" s="15">
        <f>+R46</f>
        <v>5</v>
      </c>
      <c r="BS20" s="19" t="str">
        <f>+R47</f>
        <v>28</v>
      </c>
      <c r="BT20" s="15">
        <f>+R48</f>
        <v>2</v>
      </c>
      <c r="BU20" s="19" t="str">
        <f>+R49</f>
        <v>31</v>
      </c>
      <c r="BV20" s="15">
        <f>+R50</f>
        <v>2</v>
      </c>
      <c r="BW20" s="19" t="str">
        <f>+R51</f>
        <v>17</v>
      </c>
      <c r="BX20" s="15">
        <f>+R52</f>
        <v>2</v>
      </c>
      <c r="BY20" s="19" t="str">
        <f>+R53</f>
        <v>16</v>
      </c>
      <c r="BZ20" s="15">
        <f>+R54</f>
        <v>2</v>
      </c>
      <c r="CA20" s="19" t="str">
        <f>+R55</f>
        <v>00</v>
      </c>
      <c r="CB20" s="15">
        <f>+R56</f>
        <v>0</v>
      </c>
      <c r="CC20" s="19" t="str">
        <f>+R57</f>
        <v>19</v>
      </c>
      <c r="CD20" s="15">
        <f>+R58</f>
        <v>1</v>
      </c>
      <c r="CE20" s="19" t="str">
        <f>+R59</f>
        <v>21</v>
      </c>
      <c r="CF20" s="15">
        <f>+R60</f>
        <v>2</v>
      </c>
      <c r="CG20" s="19" t="str">
        <f>+R61</f>
        <v>29</v>
      </c>
      <c r="CH20" s="15">
        <f>+R62</f>
        <v>2</v>
      </c>
      <c r="CI20" s="19" t="str">
        <f>+R63</f>
        <v>30</v>
      </c>
      <c r="CJ20" s="15">
        <f>+R64</f>
        <v>2</v>
      </c>
      <c r="CK20" s="19" t="str">
        <f>+R65</f>
        <v>14</v>
      </c>
      <c r="CL20" s="15">
        <f>+R66</f>
        <v>2</v>
      </c>
      <c r="CM20" s="16"/>
      <c r="CN20" s="15">
        <v>17</v>
      </c>
      <c r="CO20" s="10" t="str">
        <f t="shared" si="0"/>
        <v>19004</v>
      </c>
      <c r="CP20" s="10" t="str">
        <f t="shared" si="1"/>
        <v>10002</v>
      </c>
      <c r="CQ20" s="17" t="s">
        <v>109</v>
      </c>
      <c r="CR20" s="10" t="str">
        <f t="shared" si="2"/>
        <v>12003</v>
      </c>
      <c r="CS20" s="17" t="s">
        <v>108</v>
      </c>
      <c r="CT20" s="10" t="str">
        <f t="shared" si="3"/>
        <v>14001</v>
      </c>
      <c r="CU20" s="10" t="str">
        <f t="shared" si="4"/>
        <v>24014</v>
      </c>
      <c r="CV20" s="17" t="s">
        <v>110</v>
      </c>
      <c r="CW20" s="10" t="str">
        <f t="shared" si="5"/>
        <v>28002</v>
      </c>
      <c r="CX20" s="10" t="str">
        <f t="shared" si="6"/>
        <v>25002</v>
      </c>
      <c r="CY20" s="17" t="s">
        <v>111</v>
      </c>
      <c r="CZ20" s="10" t="str">
        <f t="shared" si="7"/>
        <v>34004</v>
      </c>
      <c r="DA20" s="10" t="str">
        <f t="shared" si="8"/>
        <v>19004</v>
      </c>
      <c r="DB20" s="10" t="str">
        <f t="shared" si="9"/>
        <v>08003</v>
      </c>
      <c r="DC20" s="10" t="str">
        <f t="shared" si="10"/>
        <v>26003</v>
      </c>
      <c r="DD20" s="10" t="str">
        <f t="shared" si="11"/>
        <v>00000</v>
      </c>
      <c r="DE20" s="10" t="str">
        <f t="shared" si="12"/>
        <v>26001</v>
      </c>
      <c r="DF20" s="10" t="str">
        <f t="shared" si="13"/>
        <v>27002</v>
      </c>
      <c r="DG20" s="10" t="str">
        <f t="shared" si="14"/>
        <v>30015</v>
      </c>
      <c r="DH20" s="10" t="str">
        <f t="shared" si="15"/>
        <v>31006</v>
      </c>
      <c r="DI20" s="10" t="str">
        <f t="shared" si="16"/>
        <v>27006</v>
      </c>
      <c r="DJ20" s="10" t="str">
        <f t="shared" si="17"/>
        <v>27007</v>
      </c>
      <c r="DK20" s="10" t="str">
        <f t="shared" si="18"/>
        <v>11001</v>
      </c>
      <c r="DL20" s="10" t="str">
        <f t="shared" si="19"/>
        <v>18002</v>
      </c>
      <c r="DM20" s="10" t="str">
        <f t="shared" si="20"/>
        <v>11002</v>
      </c>
      <c r="DN20" s="10" t="str">
        <f t="shared" si="21"/>
        <v>00000</v>
      </c>
      <c r="DO20" s="10" t="str">
        <f t="shared" si="22"/>
        <v>10001</v>
      </c>
      <c r="DP20" s="10" t="str">
        <f t="shared" si="23"/>
        <v>19003</v>
      </c>
      <c r="DQ20" s="2" t="e">
        <f t="shared" si="24"/>
        <v>#REF!</v>
      </c>
      <c r="DR20" s="10" t="e">
        <f t="shared" si="25"/>
        <v>#REF!</v>
      </c>
      <c r="DS20" s="10" t="e">
        <f t="shared" si="26"/>
        <v>#REF!</v>
      </c>
    </row>
    <row r="21" spans="1:123" ht="12.75" customHeight="1" x14ac:dyDescent="0.3">
      <c r="A21" s="8">
        <v>9</v>
      </c>
      <c r="B21" s="14" t="s">
        <v>52</v>
      </c>
      <c r="C21" s="18" t="s">
        <v>59</v>
      </c>
      <c r="D21" s="18" t="s">
        <v>88</v>
      </c>
      <c r="E21" s="18" t="s">
        <v>58</v>
      </c>
      <c r="F21" s="18" t="s">
        <v>30</v>
      </c>
      <c r="G21" s="18" t="s">
        <v>59</v>
      </c>
      <c r="H21" s="18" t="s">
        <v>68</v>
      </c>
      <c r="I21" s="18" t="s">
        <v>68</v>
      </c>
      <c r="J21" s="18" t="s">
        <v>68</v>
      </c>
      <c r="K21" s="18" t="s">
        <v>30</v>
      </c>
      <c r="L21" s="18" t="s">
        <v>68</v>
      </c>
      <c r="M21" s="18" t="s">
        <v>68</v>
      </c>
      <c r="N21" s="18" t="s">
        <v>68</v>
      </c>
      <c r="O21" s="18" t="s">
        <v>68</v>
      </c>
      <c r="P21" s="18" t="s">
        <v>59</v>
      </c>
      <c r="Q21" s="18" t="s">
        <v>31</v>
      </c>
      <c r="R21" s="18" t="s">
        <v>9</v>
      </c>
      <c r="S21" s="18" t="s">
        <v>27</v>
      </c>
      <c r="T21" s="18" t="s">
        <v>28</v>
      </c>
      <c r="U21" s="18" t="s">
        <v>26</v>
      </c>
      <c r="V21" s="18" t="s">
        <v>1</v>
      </c>
      <c r="W21" s="18" t="s">
        <v>17</v>
      </c>
      <c r="X21" s="18" t="s">
        <v>23</v>
      </c>
      <c r="Y21" s="18" t="s">
        <v>27</v>
      </c>
      <c r="Z21" s="18" t="s">
        <v>58</v>
      </c>
      <c r="AB21" s="7" t="s">
        <v>16</v>
      </c>
      <c r="AC21" s="19" t="str">
        <f>+S5</f>
        <v>20</v>
      </c>
      <c r="AD21" s="15">
        <f>S6</f>
        <v>2</v>
      </c>
      <c r="AE21" s="19" t="str">
        <f>+S7</f>
        <v>17</v>
      </c>
      <c r="AF21" s="15">
        <f>+S8</f>
        <v>3</v>
      </c>
      <c r="AG21" s="19" t="str">
        <f>+S9</f>
        <v>20</v>
      </c>
      <c r="AH21" s="21">
        <f>+S10</f>
        <v>3</v>
      </c>
      <c r="AI21" s="19" t="str">
        <f>+S11</f>
        <v>11</v>
      </c>
      <c r="AJ21" s="15">
        <f>+S12</f>
        <v>2</v>
      </c>
      <c r="AK21" s="19" t="str">
        <f>+S13</f>
        <v>26</v>
      </c>
      <c r="AL21" s="15">
        <f>+S14</f>
        <v>2</v>
      </c>
      <c r="AM21" s="19" t="str">
        <f>+S15</f>
        <v>08</v>
      </c>
      <c r="AN21" s="15">
        <f>+S16</f>
        <v>2</v>
      </c>
      <c r="AO21" s="19" t="str">
        <f>+S17</f>
        <v>33</v>
      </c>
      <c r="AP21" s="15">
        <f>+S18</f>
        <v>5</v>
      </c>
      <c r="AQ21" s="19" t="str">
        <f>+S19</f>
        <v>24</v>
      </c>
      <c r="AR21" s="15">
        <f>+S20</f>
        <v>2</v>
      </c>
      <c r="AS21" s="19" t="str">
        <f>+S21</f>
        <v>27</v>
      </c>
      <c r="AT21" s="15">
        <f>+S22</f>
        <v>3</v>
      </c>
      <c r="AU21" s="19" t="str">
        <f>+S23</f>
        <v>23</v>
      </c>
      <c r="AV21" s="15">
        <f>+S24</f>
        <v>2</v>
      </c>
      <c r="AW21" s="19" t="str">
        <f>+S25</f>
        <v>19</v>
      </c>
      <c r="AX21" s="15">
        <f>+S26</f>
        <v>1</v>
      </c>
      <c r="AY21" s="19" t="str">
        <f>+S27</f>
        <v>33</v>
      </c>
      <c r="AZ21" s="15">
        <f>+S28</f>
        <v>2</v>
      </c>
      <c r="BA21" s="19" t="str">
        <f>+S29</f>
        <v>17</v>
      </c>
      <c r="BB21" s="15">
        <f>+S30</f>
        <v>4</v>
      </c>
      <c r="BC21" s="19" t="str">
        <f>+S31</f>
        <v>08</v>
      </c>
      <c r="BD21" s="15">
        <f>+S32</f>
        <v>2</v>
      </c>
      <c r="BE21" s="19">
        <f>+S32</f>
        <v>2</v>
      </c>
      <c r="BF21" s="15">
        <f>S34</f>
        <v>2</v>
      </c>
      <c r="BG21" s="19" t="str">
        <f>+S35</f>
        <v>08</v>
      </c>
      <c r="BH21" s="15">
        <f>+S36</f>
        <v>2</v>
      </c>
      <c r="BI21" s="19" t="str">
        <f>+S37</f>
        <v>14</v>
      </c>
      <c r="BJ21" s="15">
        <f>+S38</f>
        <v>2</v>
      </c>
      <c r="BK21" s="19" t="str">
        <f>+S39</f>
        <v>26</v>
      </c>
      <c r="BL21" s="15">
        <f>+S40</f>
        <v>4</v>
      </c>
      <c r="BM21" s="19" t="str">
        <f>+S41</f>
        <v>29</v>
      </c>
      <c r="BN21" s="15">
        <f>+S42</f>
        <v>4</v>
      </c>
      <c r="BO21" s="19" t="str">
        <f>+S43</f>
        <v>27</v>
      </c>
      <c r="BP21" s="21">
        <f>+S44</f>
        <v>16</v>
      </c>
      <c r="BQ21" s="19" t="str">
        <f>+S45</f>
        <v>28</v>
      </c>
      <c r="BR21" s="21">
        <f>+S46</f>
        <v>5</v>
      </c>
      <c r="BS21" s="19" t="str">
        <f>+S47</f>
        <v>24</v>
      </c>
      <c r="BT21" s="21">
        <f>+S48</f>
        <v>7</v>
      </c>
      <c r="BU21" s="19" t="str">
        <f>+S49</f>
        <v>25</v>
      </c>
      <c r="BV21" s="21">
        <f>+S50</f>
        <v>1</v>
      </c>
      <c r="BW21" s="19" t="str">
        <f>+S51</f>
        <v>15</v>
      </c>
      <c r="BX21" s="21">
        <f>+S52</f>
        <v>2</v>
      </c>
      <c r="BY21" s="19" t="str">
        <f>+S53</f>
        <v>00</v>
      </c>
      <c r="BZ21" s="21">
        <f>+S54</f>
        <v>0</v>
      </c>
      <c r="CA21" s="19" t="str">
        <f>+S55</f>
        <v>00</v>
      </c>
      <c r="CB21" s="21">
        <f>+S56</f>
        <v>0</v>
      </c>
      <c r="CC21" s="19" t="str">
        <f>+S57</f>
        <v>22</v>
      </c>
      <c r="CD21" s="21">
        <f>+S58</f>
        <v>1</v>
      </c>
      <c r="CE21" s="19" t="str">
        <f>+S59</f>
        <v>20</v>
      </c>
      <c r="CF21" s="21">
        <f>+S60</f>
        <v>4</v>
      </c>
      <c r="CG21" s="19" t="str">
        <f>+S61</f>
        <v>15</v>
      </c>
      <c r="CH21" s="15">
        <f>+S62</f>
        <v>2</v>
      </c>
      <c r="CI21" s="19" t="str">
        <f>+S63</f>
        <v>00</v>
      </c>
      <c r="CJ21" s="15">
        <f>+S64</f>
        <v>0</v>
      </c>
      <c r="CK21" s="19" t="str">
        <f>+S65</f>
        <v>00</v>
      </c>
      <c r="CL21" s="15">
        <f>+S66</f>
        <v>0</v>
      </c>
      <c r="CM21" s="16"/>
      <c r="CN21" s="15">
        <v>18</v>
      </c>
      <c r="CO21" s="10" t="str">
        <f t="shared" si="0"/>
        <v>00000</v>
      </c>
      <c r="CP21" s="10" t="str">
        <f t="shared" si="1"/>
        <v>09004</v>
      </c>
      <c r="CQ21" s="17" t="s">
        <v>112</v>
      </c>
      <c r="CR21" s="10" t="str">
        <f t="shared" si="2"/>
        <v>10003</v>
      </c>
      <c r="CS21" s="17" t="s">
        <v>113</v>
      </c>
      <c r="CT21" s="10" t="str">
        <f t="shared" si="3"/>
        <v>20001</v>
      </c>
      <c r="CU21" s="10" t="str">
        <f t="shared" si="4"/>
        <v>09002</v>
      </c>
      <c r="CV21" s="17" t="s">
        <v>114</v>
      </c>
      <c r="CW21" s="10" t="str">
        <f t="shared" si="5"/>
        <v>26004</v>
      </c>
      <c r="CX21" s="10" t="str">
        <f t="shared" si="6"/>
        <v>00000</v>
      </c>
      <c r="CY21" s="17" t="s">
        <v>115</v>
      </c>
      <c r="CZ21" s="10" t="str">
        <f t="shared" si="7"/>
        <v>00000</v>
      </c>
      <c r="DA21" s="10" t="str">
        <f t="shared" si="8"/>
        <v>13002</v>
      </c>
      <c r="DB21" s="10" t="str">
        <f t="shared" si="9"/>
        <v>12002</v>
      </c>
      <c r="DC21" s="10" t="str">
        <f t="shared" si="10"/>
        <v>22002</v>
      </c>
      <c r="DD21" s="10" t="str">
        <f t="shared" si="11"/>
        <v>00000</v>
      </c>
      <c r="DE21" s="10" t="str">
        <f t="shared" si="12"/>
        <v>26001</v>
      </c>
      <c r="DF21" s="10" t="str">
        <f t="shared" si="13"/>
        <v>27007</v>
      </c>
      <c r="DG21" s="10" t="str">
        <f t="shared" si="14"/>
        <v>28004</v>
      </c>
      <c r="DH21" s="10" t="str">
        <f t="shared" si="15"/>
        <v>32009</v>
      </c>
      <c r="DI21" s="10" t="str">
        <f t="shared" si="16"/>
        <v>29006</v>
      </c>
      <c r="DJ21" s="10" t="str">
        <f t="shared" si="17"/>
        <v>23006</v>
      </c>
      <c r="DK21" s="10" t="str">
        <f t="shared" si="18"/>
        <v>15002</v>
      </c>
      <c r="DL21" s="10" t="str">
        <f t="shared" si="19"/>
        <v>12002</v>
      </c>
      <c r="DM21" s="10" t="str">
        <f t="shared" si="20"/>
        <v>00000</v>
      </c>
      <c r="DN21" s="10" t="str">
        <f t="shared" si="21"/>
        <v>00000</v>
      </c>
      <c r="DO21" s="10" t="str">
        <f t="shared" si="22"/>
        <v>08001</v>
      </c>
      <c r="DP21" s="10" t="str">
        <f t="shared" si="23"/>
        <v>09002</v>
      </c>
      <c r="DQ21" s="2" t="e">
        <f t="shared" si="24"/>
        <v>#REF!</v>
      </c>
      <c r="DR21" s="10" t="e">
        <f t="shared" si="25"/>
        <v>#REF!</v>
      </c>
      <c r="DS21" s="10" t="e">
        <f t="shared" si="26"/>
        <v>#REF!</v>
      </c>
    </row>
    <row r="22" spans="1:123" ht="12.75" customHeight="1" x14ac:dyDescent="0.3">
      <c r="A22" s="8"/>
      <c r="B22" s="15" t="s">
        <v>53</v>
      </c>
      <c r="C22" s="20">
        <v>6</v>
      </c>
      <c r="D22" s="20">
        <v>4</v>
      </c>
      <c r="E22" s="20">
        <v>5</v>
      </c>
      <c r="F22" s="20">
        <v>7</v>
      </c>
      <c r="G22" s="20">
        <v>8</v>
      </c>
      <c r="H22" s="20">
        <v>10</v>
      </c>
      <c r="I22" s="20">
        <v>9</v>
      </c>
      <c r="J22" s="20">
        <v>4</v>
      </c>
      <c r="K22" s="20">
        <v>5</v>
      </c>
      <c r="L22" s="20">
        <v>3</v>
      </c>
      <c r="M22" s="20">
        <v>4</v>
      </c>
      <c r="N22" s="20">
        <v>4</v>
      </c>
      <c r="O22" s="20">
        <v>6</v>
      </c>
      <c r="P22" s="20">
        <v>2</v>
      </c>
      <c r="Q22" s="20">
        <v>3</v>
      </c>
      <c r="R22" s="20">
        <v>1</v>
      </c>
      <c r="S22" s="20">
        <v>3</v>
      </c>
      <c r="T22" s="20">
        <v>2</v>
      </c>
      <c r="U22" s="20">
        <v>4</v>
      </c>
      <c r="V22" s="20">
        <v>1</v>
      </c>
      <c r="W22" s="20">
        <v>1</v>
      </c>
      <c r="X22" s="20">
        <v>2</v>
      </c>
      <c r="Y22" s="20">
        <v>4</v>
      </c>
      <c r="Z22" s="20">
        <v>5</v>
      </c>
      <c r="AB22" s="7" t="s">
        <v>17</v>
      </c>
      <c r="AC22" s="19" t="str">
        <f>+T5</f>
        <v>19</v>
      </c>
      <c r="AD22" s="15">
        <f>+T6</f>
        <v>4</v>
      </c>
      <c r="AE22" s="19" t="str">
        <f>+T7</f>
        <v>10</v>
      </c>
      <c r="AF22" s="15">
        <f>+T8</f>
        <v>2</v>
      </c>
      <c r="AG22" s="19" t="str">
        <f>+T9</f>
        <v>20</v>
      </c>
      <c r="AH22" s="15">
        <f>+T10</f>
        <v>2</v>
      </c>
      <c r="AI22" s="19" t="str">
        <f>+T11</f>
        <v>12</v>
      </c>
      <c r="AJ22" s="15">
        <f>+T12</f>
        <v>3</v>
      </c>
      <c r="AK22" s="19" t="str">
        <f>+T13</f>
        <v>24</v>
      </c>
      <c r="AL22" s="15">
        <f>+T14</f>
        <v>2</v>
      </c>
      <c r="AM22" s="19" t="str">
        <f>+T15</f>
        <v>14</v>
      </c>
      <c r="AN22" s="15">
        <f>+T16</f>
        <v>1</v>
      </c>
      <c r="AO22" s="19" t="str">
        <f>+T17</f>
        <v>24</v>
      </c>
      <c r="AP22" s="15">
        <f>+T18</f>
        <v>14</v>
      </c>
      <c r="AQ22" s="19" t="str">
        <f>+T19</f>
        <v>25</v>
      </c>
      <c r="AR22" s="15">
        <f>+T20</f>
        <v>2</v>
      </c>
      <c r="AS22" s="19" t="str">
        <f>+T21</f>
        <v>28</v>
      </c>
      <c r="AT22" s="15">
        <f>+T22</f>
        <v>2</v>
      </c>
      <c r="AU22" s="19" t="str">
        <f>+T23</f>
        <v>25</v>
      </c>
      <c r="AV22" s="15">
        <f>+T24</f>
        <v>2</v>
      </c>
      <c r="AW22" s="19" t="str">
        <f>+T25</f>
        <v>16</v>
      </c>
      <c r="AX22" s="15">
        <f>+T26</f>
        <v>1</v>
      </c>
      <c r="AY22" s="19" t="str">
        <f>+T27</f>
        <v>34</v>
      </c>
      <c r="AZ22" s="15">
        <f>+T28</f>
        <v>4</v>
      </c>
      <c r="BA22" s="19" t="str">
        <f>+T29</f>
        <v>19</v>
      </c>
      <c r="BB22" s="15">
        <f>+T30</f>
        <v>4</v>
      </c>
      <c r="BC22" s="19" t="str">
        <f>+T31</f>
        <v>08</v>
      </c>
      <c r="BD22" s="15">
        <f>+T32</f>
        <v>3</v>
      </c>
      <c r="BE22" s="19" t="str">
        <f>+T33</f>
        <v>26</v>
      </c>
      <c r="BF22" s="15">
        <f>+T34</f>
        <v>3</v>
      </c>
      <c r="BG22" s="19" t="str">
        <f>+T35</f>
        <v>00</v>
      </c>
      <c r="BH22" s="15">
        <f>+T36</f>
        <v>0</v>
      </c>
      <c r="BI22" s="19" t="str">
        <f>+T37</f>
        <v>26</v>
      </c>
      <c r="BJ22" s="15">
        <f>+T38</f>
        <v>1</v>
      </c>
      <c r="BK22" s="19" t="str">
        <f>+T39</f>
        <v>27</v>
      </c>
      <c r="BL22" s="15">
        <f>+T40</f>
        <v>2</v>
      </c>
      <c r="BM22" s="19" t="str">
        <f>+T41</f>
        <v>30</v>
      </c>
      <c r="BN22" s="15">
        <f>+T42</f>
        <v>15</v>
      </c>
      <c r="BO22" s="19" t="str">
        <f>+T43</f>
        <v>31</v>
      </c>
      <c r="BP22" s="15">
        <f>+T44</f>
        <v>6</v>
      </c>
      <c r="BQ22" s="19" t="str">
        <f>+T45</f>
        <v>27</v>
      </c>
      <c r="BR22" s="15">
        <f>+T46</f>
        <v>6</v>
      </c>
      <c r="BS22" s="19" t="str">
        <f>+T47</f>
        <v>27</v>
      </c>
      <c r="BT22" s="15">
        <f>+T48</f>
        <v>7</v>
      </c>
      <c r="BU22" s="19" t="str">
        <f>+T49</f>
        <v>11</v>
      </c>
      <c r="BV22" s="15">
        <f>+T50</f>
        <v>1</v>
      </c>
      <c r="BW22" s="19" t="str">
        <f>+T51</f>
        <v>18</v>
      </c>
      <c r="BX22" s="15">
        <f>+T52</f>
        <v>2</v>
      </c>
      <c r="BY22" s="19" t="str">
        <f>+T53</f>
        <v>11</v>
      </c>
      <c r="BZ22" s="15">
        <f>+T54</f>
        <v>2</v>
      </c>
      <c r="CA22" s="19" t="str">
        <f>+T55</f>
        <v>00</v>
      </c>
      <c r="CB22" s="15">
        <f>+T56</f>
        <v>0</v>
      </c>
      <c r="CC22" s="19" t="str">
        <f>+T57</f>
        <v>10</v>
      </c>
      <c r="CD22" s="15">
        <f>+T58</f>
        <v>1</v>
      </c>
      <c r="CE22" s="19" t="str">
        <f>+T59</f>
        <v>19</v>
      </c>
      <c r="CF22" s="15">
        <f>+T60</f>
        <v>3</v>
      </c>
      <c r="CG22" s="19" t="str">
        <f>+T61</f>
        <v>00</v>
      </c>
      <c r="CH22" s="15">
        <f>+T62</f>
        <v>0</v>
      </c>
      <c r="CI22" s="19" t="str">
        <f>+T63</f>
        <v>00</v>
      </c>
      <c r="CJ22" s="15">
        <f>+T64</f>
        <v>0</v>
      </c>
      <c r="CK22" s="19" t="str">
        <f>+T65</f>
        <v>24</v>
      </c>
      <c r="CL22" s="15">
        <f>+T66</f>
        <v>2</v>
      </c>
      <c r="CM22" s="16"/>
      <c r="CN22" s="15">
        <v>19</v>
      </c>
      <c r="CO22" s="10" t="str">
        <f t="shared" si="0"/>
        <v>14001</v>
      </c>
      <c r="CP22" s="10" t="str">
        <f t="shared" si="1"/>
        <v>06002</v>
      </c>
      <c r="CQ22" s="17" t="s">
        <v>116</v>
      </c>
      <c r="CR22" s="10" t="str">
        <f t="shared" si="2"/>
        <v>09002</v>
      </c>
      <c r="CS22" s="17" t="s">
        <v>117</v>
      </c>
      <c r="CT22" s="10" t="str">
        <f t="shared" si="3"/>
        <v>21001</v>
      </c>
      <c r="CU22" s="10" t="str">
        <f t="shared" si="4"/>
        <v>08005</v>
      </c>
      <c r="CV22" s="17" t="s">
        <v>113</v>
      </c>
      <c r="CW22" s="10" t="str">
        <f t="shared" si="5"/>
        <v>01001</v>
      </c>
      <c r="CX22" s="10" t="str">
        <f t="shared" si="6"/>
        <v>00000</v>
      </c>
      <c r="CY22" s="17" t="s">
        <v>116</v>
      </c>
      <c r="CZ22" s="10" t="str">
        <f t="shared" si="7"/>
        <v>32002</v>
      </c>
      <c r="DA22" s="10" t="str">
        <f t="shared" si="8"/>
        <v>11002</v>
      </c>
      <c r="DB22" s="10" t="str">
        <f t="shared" si="9"/>
        <v>10002</v>
      </c>
      <c r="DC22" s="10" t="str">
        <f t="shared" si="10"/>
        <v>28002</v>
      </c>
      <c r="DD22" s="10" t="str">
        <f t="shared" si="11"/>
        <v>27003</v>
      </c>
      <c r="DE22" s="10" t="str">
        <f t="shared" si="12"/>
        <v>17003</v>
      </c>
      <c r="DF22" s="10" t="str">
        <f t="shared" si="13"/>
        <v>29005</v>
      </c>
      <c r="DG22" s="10" t="str">
        <f t="shared" si="14"/>
        <v>30006</v>
      </c>
      <c r="DH22" s="10" t="str">
        <f t="shared" si="15"/>
        <v>32010</v>
      </c>
      <c r="DI22" s="10" t="str">
        <f t="shared" si="16"/>
        <v>28006</v>
      </c>
      <c r="DJ22" s="10" t="str">
        <f t="shared" si="17"/>
        <v>29002</v>
      </c>
      <c r="DK22" s="10" t="str">
        <f t="shared" si="18"/>
        <v>19001</v>
      </c>
      <c r="DL22" s="10" t="str">
        <f t="shared" si="19"/>
        <v>20002</v>
      </c>
      <c r="DM22" s="10" t="str">
        <f t="shared" si="20"/>
        <v>00000</v>
      </c>
      <c r="DN22" s="10" t="str">
        <f t="shared" si="21"/>
        <v>00000</v>
      </c>
      <c r="DO22" s="10" t="str">
        <f t="shared" si="22"/>
        <v>17001</v>
      </c>
      <c r="DP22" s="10" t="str">
        <f t="shared" si="23"/>
        <v>08002</v>
      </c>
      <c r="DQ22" s="2" t="e">
        <f t="shared" si="24"/>
        <v>#REF!</v>
      </c>
      <c r="DR22" s="10" t="e">
        <f t="shared" si="25"/>
        <v>#REF!</v>
      </c>
      <c r="DS22" s="10" t="e">
        <f t="shared" si="26"/>
        <v>#REF!</v>
      </c>
    </row>
    <row r="23" spans="1:123" ht="12.75" customHeight="1" x14ac:dyDescent="0.3">
      <c r="A23" s="8">
        <v>10</v>
      </c>
      <c r="B23" s="14" t="s">
        <v>52</v>
      </c>
      <c r="C23" s="18" t="s">
        <v>59</v>
      </c>
      <c r="D23" s="18" t="s">
        <v>88</v>
      </c>
      <c r="E23" s="18" t="s">
        <v>68</v>
      </c>
      <c r="F23" s="18" t="s">
        <v>68</v>
      </c>
      <c r="G23" s="18" t="s">
        <v>88</v>
      </c>
      <c r="H23" s="18" t="s">
        <v>59</v>
      </c>
      <c r="I23" s="18" t="s">
        <v>68</v>
      </c>
      <c r="J23" s="18" t="s">
        <v>31</v>
      </c>
      <c r="K23" s="18" t="s">
        <v>68</v>
      </c>
      <c r="L23" s="18" t="s">
        <v>59</v>
      </c>
      <c r="M23" s="18" t="s">
        <v>31</v>
      </c>
      <c r="N23" s="18" t="s">
        <v>31</v>
      </c>
      <c r="O23" s="18" t="s">
        <v>46</v>
      </c>
      <c r="P23" s="18" t="s">
        <v>46</v>
      </c>
      <c r="Q23" s="18" t="s">
        <v>46</v>
      </c>
      <c r="R23" s="18" t="s">
        <v>46</v>
      </c>
      <c r="S23" s="18" t="s">
        <v>23</v>
      </c>
      <c r="T23" s="18" t="s">
        <v>25</v>
      </c>
      <c r="U23" s="18" t="s">
        <v>46</v>
      </c>
      <c r="V23" s="18" t="s">
        <v>46</v>
      </c>
      <c r="W23" s="18" t="s">
        <v>23</v>
      </c>
      <c r="X23" s="18" t="s">
        <v>22</v>
      </c>
      <c r="Y23" s="18" t="s">
        <v>46</v>
      </c>
      <c r="Z23" s="18" t="s">
        <v>46</v>
      </c>
      <c r="AB23" s="7" t="s">
        <v>18</v>
      </c>
      <c r="AC23" s="19" t="str">
        <f>+U5</f>
        <v>00</v>
      </c>
      <c r="AD23" s="15">
        <f>+U6</f>
        <v>0</v>
      </c>
      <c r="AE23" s="19" t="str">
        <f>+U7</f>
        <v>09</v>
      </c>
      <c r="AF23" s="15">
        <f>+U8</f>
        <v>4</v>
      </c>
      <c r="AG23" s="19" t="str">
        <f>+U9</f>
        <v>21</v>
      </c>
      <c r="AH23" s="15">
        <f>+U10</f>
        <v>3</v>
      </c>
      <c r="AI23" s="19" t="str">
        <f>+U11</f>
        <v>10</v>
      </c>
      <c r="AJ23" s="15">
        <f>+U12</f>
        <v>3</v>
      </c>
      <c r="AK23" s="19" t="str">
        <f>+U13</f>
        <v>32</v>
      </c>
      <c r="AL23" s="15">
        <f>+U14</f>
        <v>3</v>
      </c>
      <c r="AM23" s="19" t="str">
        <f>+U15</f>
        <v>20</v>
      </c>
      <c r="AN23" s="15">
        <f>+U16</f>
        <v>1</v>
      </c>
      <c r="AO23" s="19" t="str">
        <f>+U17</f>
        <v>09</v>
      </c>
      <c r="AP23" s="21">
        <f>+U18</f>
        <v>2</v>
      </c>
      <c r="AQ23" s="19" t="str">
        <f>+U19</f>
        <v>23</v>
      </c>
      <c r="AR23" s="15">
        <f>+U20</f>
        <v>2</v>
      </c>
      <c r="AS23" s="19" t="str">
        <f>+U21</f>
        <v>26</v>
      </c>
      <c r="AT23" s="15">
        <f>+U22</f>
        <v>4</v>
      </c>
      <c r="AU23" s="19" t="str">
        <f>+U23</f>
        <v>00</v>
      </c>
      <c r="AV23" s="15">
        <f>+U24</f>
        <v>0</v>
      </c>
      <c r="AW23" s="19" t="str">
        <f>U25</f>
        <v>15</v>
      </c>
      <c r="AX23" s="15">
        <f>+U26</f>
        <v>1</v>
      </c>
      <c r="AY23" s="19" t="str">
        <f>+U27</f>
        <v>00</v>
      </c>
      <c r="AZ23" s="15">
        <f>+U28</f>
        <v>0</v>
      </c>
      <c r="BA23" s="19" t="str">
        <f>+U29</f>
        <v>13</v>
      </c>
      <c r="BB23" s="21">
        <f>+U30</f>
        <v>2</v>
      </c>
      <c r="BC23" s="19" t="str">
        <f>+U31</f>
        <v>12</v>
      </c>
      <c r="BD23" s="15">
        <f>+U32</f>
        <v>2</v>
      </c>
      <c r="BE23" s="19" t="str">
        <f>+U33</f>
        <v>22</v>
      </c>
      <c r="BF23" s="15">
        <f>+U34</f>
        <v>2</v>
      </c>
      <c r="BG23" s="19" t="str">
        <f>+U35</f>
        <v>00</v>
      </c>
      <c r="BH23" s="15">
        <f>+U36</f>
        <v>0</v>
      </c>
      <c r="BI23" s="19" t="str">
        <f>+U37</f>
        <v>26</v>
      </c>
      <c r="BJ23" s="15">
        <f>+U38</f>
        <v>1</v>
      </c>
      <c r="BK23" s="19" t="str">
        <f>+U39</f>
        <v>27</v>
      </c>
      <c r="BL23" s="15">
        <f>+U40</f>
        <v>7</v>
      </c>
      <c r="BM23" s="19" t="str">
        <f>+U41</f>
        <v>28</v>
      </c>
      <c r="BN23" s="15">
        <f>+U42</f>
        <v>4</v>
      </c>
      <c r="BO23" s="19" t="str">
        <f>+U43</f>
        <v>32</v>
      </c>
      <c r="BP23" s="21">
        <f>+U44</f>
        <v>9</v>
      </c>
      <c r="BQ23" s="19" t="str">
        <f>+U45</f>
        <v>29</v>
      </c>
      <c r="BR23" s="15">
        <f>+U46</f>
        <v>6</v>
      </c>
      <c r="BS23" s="19" t="str">
        <f>+U47</f>
        <v>23</v>
      </c>
      <c r="BT23" s="15">
        <f>+U48</f>
        <v>6</v>
      </c>
      <c r="BU23" s="19" t="str">
        <f>+U49</f>
        <v>15</v>
      </c>
      <c r="BV23" s="15">
        <f>+U50</f>
        <v>2</v>
      </c>
      <c r="BW23" s="19" t="str">
        <f>+U51</f>
        <v>12</v>
      </c>
      <c r="BX23" s="15">
        <f>+U52</f>
        <v>2</v>
      </c>
      <c r="BY23" s="19" t="str">
        <f>+U53</f>
        <v>00</v>
      </c>
      <c r="BZ23" s="15">
        <f>+U54</f>
        <v>0</v>
      </c>
      <c r="CA23" s="19" t="str">
        <f>+U55</f>
        <v>00</v>
      </c>
      <c r="CB23" s="15">
        <f>+U56</f>
        <v>0</v>
      </c>
      <c r="CC23" s="19" t="str">
        <f>+U57</f>
        <v>08</v>
      </c>
      <c r="CD23" s="15">
        <f>+U58</f>
        <v>1</v>
      </c>
      <c r="CE23" s="19" t="str">
        <f>+U59</f>
        <v>09</v>
      </c>
      <c r="CF23" s="15">
        <f>+U60</f>
        <v>2</v>
      </c>
      <c r="CG23" s="19" t="str">
        <f>+U61</f>
        <v>21</v>
      </c>
      <c r="CH23" s="15">
        <f>+U62</f>
        <v>2</v>
      </c>
      <c r="CI23" s="19" t="str">
        <f>+U63</f>
        <v>00</v>
      </c>
      <c r="CJ23" s="15">
        <f>+U64</f>
        <v>0</v>
      </c>
      <c r="CK23" s="19" t="str">
        <f>+U65</f>
        <v>00</v>
      </c>
      <c r="CL23" s="15">
        <f>+U66</f>
        <v>0</v>
      </c>
      <c r="CM23" s="16"/>
      <c r="CN23" s="15">
        <v>20</v>
      </c>
      <c r="CO23" s="10" t="str">
        <f t="shared" si="0"/>
        <v>13001</v>
      </c>
      <c r="CP23" s="10" t="str">
        <f t="shared" si="1"/>
        <v>12002</v>
      </c>
      <c r="CQ23" s="17" t="s">
        <v>54</v>
      </c>
      <c r="CR23" s="10" t="str">
        <f t="shared" si="2"/>
        <v>10002</v>
      </c>
      <c r="CS23" s="17" t="s">
        <v>118</v>
      </c>
      <c r="CT23" s="10" t="str">
        <f t="shared" si="3"/>
        <v>16002</v>
      </c>
      <c r="CU23" s="10" t="str">
        <f t="shared" si="4"/>
        <v>05003</v>
      </c>
      <c r="CV23" s="17" t="s">
        <v>96</v>
      </c>
      <c r="CW23" s="10" t="str">
        <f t="shared" si="5"/>
        <v>17001</v>
      </c>
      <c r="CX23" s="10" t="str">
        <f t="shared" si="6"/>
        <v>23003</v>
      </c>
      <c r="CY23" s="17" t="s">
        <v>119</v>
      </c>
      <c r="CZ23" s="10" t="str">
        <f t="shared" si="7"/>
        <v>33003</v>
      </c>
      <c r="DA23" s="10" t="str">
        <f t="shared" si="8"/>
        <v>10003</v>
      </c>
      <c r="DB23" s="10" t="str">
        <f t="shared" si="9"/>
        <v>15003</v>
      </c>
      <c r="DC23" s="10" t="str">
        <f t="shared" si="10"/>
        <v>33002</v>
      </c>
      <c r="DD23" s="10" t="str">
        <f t="shared" si="11"/>
        <v>25004</v>
      </c>
      <c r="DE23" s="10" t="str">
        <f t="shared" si="12"/>
        <v>26001</v>
      </c>
      <c r="DF23" s="10" t="str">
        <f t="shared" si="13"/>
        <v>27002</v>
      </c>
      <c r="DG23" s="10" t="str">
        <f t="shared" si="14"/>
        <v>31008</v>
      </c>
      <c r="DH23" s="10" t="str">
        <f t="shared" si="15"/>
        <v>33014</v>
      </c>
      <c r="DI23" s="10" t="str">
        <f t="shared" si="16"/>
        <v>19006</v>
      </c>
      <c r="DJ23" s="10" t="str">
        <f t="shared" si="17"/>
        <v>23006</v>
      </c>
      <c r="DK23" s="10" t="str">
        <f t="shared" si="18"/>
        <v>09001</v>
      </c>
      <c r="DL23" s="10" t="str">
        <f t="shared" si="19"/>
        <v>17002</v>
      </c>
      <c r="DM23" s="10" t="str">
        <f t="shared" si="20"/>
        <v>00000</v>
      </c>
      <c r="DN23" s="10" t="str">
        <f t="shared" si="21"/>
        <v>00000</v>
      </c>
      <c r="DO23" s="10" t="str">
        <f t="shared" si="22"/>
        <v>13001</v>
      </c>
      <c r="DP23" s="10" t="str">
        <f t="shared" si="23"/>
        <v>18001</v>
      </c>
      <c r="DQ23" s="2" t="e">
        <f t="shared" si="24"/>
        <v>#REF!</v>
      </c>
      <c r="DR23" s="10" t="e">
        <f t="shared" si="25"/>
        <v>#REF!</v>
      </c>
      <c r="DS23" s="10" t="e">
        <f t="shared" si="26"/>
        <v>#REF!</v>
      </c>
    </row>
    <row r="24" spans="1:123" ht="12.75" customHeight="1" x14ac:dyDescent="0.3">
      <c r="A24" s="8"/>
      <c r="B24" s="15" t="s">
        <v>53</v>
      </c>
      <c r="C24" s="20">
        <v>6</v>
      </c>
      <c r="D24" s="20">
        <v>8</v>
      </c>
      <c r="E24" s="20">
        <v>12</v>
      </c>
      <c r="F24" s="20">
        <v>12</v>
      </c>
      <c r="G24" s="20">
        <v>11</v>
      </c>
      <c r="H24" s="20">
        <v>11</v>
      </c>
      <c r="I24" s="20">
        <v>12</v>
      </c>
      <c r="J24" s="20">
        <v>12</v>
      </c>
      <c r="K24" s="20">
        <v>9</v>
      </c>
      <c r="L24" s="20">
        <v>7</v>
      </c>
      <c r="M24" s="20">
        <v>5</v>
      </c>
      <c r="N24" s="20">
        <v>3</v>
      </c>
      <c r="O24" s="20">
        <v>0</v>
      </c>
      <c r="P24" s="20">
        <v>0</v>
      </c>
      <c r="Q24" s="20">
        <v>0</v>
      </c>
      <c r="R24" s="20">
        <v>0</v>
      </c>
      <c r="S24" s="20">
        <v>2</v>
      </c>
      <c r="T24" s="20">
        <v>2</v>
      </c>
      <c r="U24" s="20">
        <v>0</v>
      </c>
      <c r="V24" s="20">
        <v>0</v>
      </c>
      <c r="W24" s="20">
        <v>3</v>
      </c>
      <c r="X24" s="20">
        <v>2</v>
      </c>
      <c r="Y24" s="20">
        <v>0</v>
      </c>
      <c r="Z24" s="20">
        <v>0</v>
      </c>
      <c r="AB24" s="7" t="s">
        <v>19</v>
      </c>
      <c r="AC24" s="19" t="str">
        <f>+V5</f>
        <v>14</v>
      </c>
      <c r="AD24" s="15">
        <f>+V6</f>
        <v>1</v>
      </c>
      <c r="AE24" s="19" t="str">
        <f>+V7</f>
        <v>06</v>
      </c>
      <c r="AF24" s="15">
        <f>+V8</f>
        <v>2</v>
      </c>
      <c r="AG24" s="19" t="str">
        <f>+V9</f>
        <v>18</v>
      </c>
      <c r="AH24" s="15">
        <f>+V10</f>
        <v>3</v>
      </c>
      <c r="AI24" s="19" t="str">
        <f>+V11</f>
        <v>09</v>
      </c>
      <c r="AJ24" s="15">
        <f>+V12</f>
        <v>2</v>
      </c>
      <c r="AK24" s="19" t="str">
        <f>+V13</f>
        <v>34</v>
      </c>
      <c r="AL24" s="15">
        <f>+V14</f>
        <v>5</v>
      </c>
      <c r="AM24" s="19" t="str">
        <f>+V15</f>
        <v>21</v>
      </c>
      <c r="AN24" s="15">
        <f>+V16</f>
        <v>1</v>
      </c>
      <c r="AO24" s="19" t="str">
        <f>+V17</f>
        <v>08</v>
      </c>
      <c r="AP24" s="15">
        <f>+V18</f>
        <v>5</v>
      </c>
      <c r="AQ24" s="19" t="str">
        <f>+V19</f>
        <v>32</v>
      </c>
      <c r="AR24" s="15">
        <f>+V20</f>
        <v>3</v>
      </c>
      <c r="AS24" s="19" t="str">
        <f>+V21</f>
        <v>01</v>
      </c>
      <c r="AT24" s="15">
        <f>+V22</f>
        <v>1</v>
      </c>
      <c r="AU24" s="19" t="str">
        <f>+V23</f>
        <v>00</v>
      </c>
      <c r="AV24" s="15">
        <f>+V24</f>
        <v>0</v>
      </c>
      <c r="AW24" s="19" t="str">
        <f>+V25</f>
        <v>18</v>
      </c>
      <c r="AX24" s="15">
        <f>+V26</f>
        <v>3</v>
      </c>
      <c r="AY24" s="19" t="str">
        <f>+V27</f>
        <v>32</v>
      </c>
      <c r="AZ24" s="15">
        <f>+V28</f>
        <v>2</v>
      </c>
      <c r="BA24" s="19" t="str">
        <f>+V29</f>
        <v>11</v>
      </c>
      <c r="BB24" s="15">
        <f>+V30</f>
        <v>2</v>
      </c>
      <c r="BC24" s="19" t="str">
        <f>+V31</f>
        <v>10</v>
      </c>
      <c r="BD24" s="15">
        <f>+V32</f>
        <v>2</v>
      </c>
      <c r="BE24" s="19" t="str">
        <f>+V33</f>
        <v>28</v>
      </c>
      <c r="BF24" s="15">
        <f>+V34</f>
        <v>2</v>
      </c>
      <c r="BG24" s="19" t="str">
        <f>+V35</f>
        <v>27</v>
      </c>
      <c r="BH24" s="15">
        <f>+V36</f>
        <v>3</v>
      </c>
      <c r="BI24" s="19" t="str">
        <f>+V37</f>
        <v>17</v>
      </c>
      <c r="BJ24" s="15">
        <f>+V38</f>
        <v>3</v>
      </c>
      <c r="BK24" s="19" t="str">
        <f>+V39</f>
        <v>29</v>
      </c>
      <c r="BL24" s="15">
        <f>+V40</f>
        <v>5</v>
      </c>
      <c r="BM24" s="19" t="str">
        <f>+V41</f>
        <v>30</v>
      </c>
      <c r="BN24" s="15">
        <f>+V42</f>
        <v>6</v>
      </c>
      <c r="BO24" s="19" t="str">
        <f>+V43</f>
        <v>32</v>
      </c>
      <c r="BP24" s="15">
        <f>+V44</f>
        <v>10</v>
      </c>
      <c r="BQ24" s="19" t="str">
        <f>+V45</f>
        <v>28</v>
      </c>
      <c r="BR24" s="15">
        <f>+V46</f>
        <v>6</v>
      </c>
      <c r="BS24" s="19" t="str">
        <f>+V47</f>
        <v>29</v>
      </c>
      <c r="BT24" s="15">
        <f>+V48</f>
        <v>2</v>
      </c>
      <c r="BU24" s="19" t="str">
        <f>+V49</f>
        <v>19</v>
      </c>
      <c r="BV24" s="21">
        <f>+V50</f>
        <v>1</v>
      </c>
      <c r="BW24" s="19" t="str">
        <f>+V51</f>
        <v>20</v>
      </c>
      <c r="BX24" s="21">
        <f>+V52</f>
        <v>2</v>
      </c>
      <c r="BY24" s="19" t="str">
        <f>+V53</f>
        <v>00</v>
      </c>
      <c r="BZ24" s="21">
        <f>+V54</f>
        <v>0</v>
      </c>
      <c r="CA24" s="19" t="str">
        <f>+V55</f>
        <v>00</v>
      </c>
      <c r="CB24" s="21">
        <f>+V56</f>
        <v>0</v>
      </c>
      <c r="CC24" s="19" t="str">
        <f>+V57</f>
        <v>17</v>
      </c>
      <c r="CD24" s="21">
        <f>+V58</f>
        <v>1</v>
      </c>
      <c r="CE24" s="19" t="str">
        <f>+V59</f>
        <v>08</v>
      </c>
      <c r="CF24" s="15">
        <f>+V60</f>
        <v>2</v>
      </c>
      <c r="CG24" s="19" t="str">
        <f>+V61</f>
        <v>26</v>
      </c>
      <c r="CH24" s="15">
        <f>+V62</f>
        <v>2</v>
      </c>
      <c r="CI24" s="19" t="str">
        <f>+V63</f>
        <v>00</v>
      </c>
      <c r="CJ24" s="15">
        <f>+V64</f>
        <v>0</v>
      </c>
      <c r="CK24" s="19" t="str">
        <f>+V65</f>
        <v>08</v>
      </c>
      <c r="CL24" s="15">
        <f>+V66</f>
        <v>3</v>
      </c>
      <c r="CM24" s="16"/>
      <c r="CN24" s="15">
        <v>21</v>
      </c>
      <c r="CO24" s="10" t="str">
        <f t="shared" si="0"/>
        <v>14003</v>
      </c>
      <c r="CP24" s="10" t="str">
        <f t="shared" si="1"/>
        <v>00000</v>
      </c>
      <c r="CQ24" s="17" t="s">
        <v>120</v>
      </c>
      <c r="CR24" s="10" t="str">
        <f t="shared" si="2"/>
        <v>07005</v>
      </c>
      <c r="CS24" s="17" t="s">
        <v>121</v>
      </c>
      <c r="CT24" s="10" t="str">
        <f t="shared" si="3"/>
        <v>23003</v>
      </c>
      <c r="CU24" s="10" t="str">
        <f t="shared" si="4"/>
        <v>13002</v>
      </c>
      <c r="CV24" s="17" t="s">
        <v>122</v>
      </c>
      <c r="CW24" s="10" t="str">
        <f t="shared" si="5"/>
        <v>23002</v>
      </c>
      <c r="CX24" s="10" t="str">
        <f t="shared" si="6"/>
        <v>22002</v>
      </c>
      <c r="CY24" s="17" t="s">
        <v>123</v>
      </c>
      <c r="CZ24" s="10" t="str">
        <f t="shared" si="7"/>
        <v>33003</v>
      </c>
      <c r="DA24" s="10" t="str">
        <f t="shared" si="8"/>
        <v>02004</v>
      </c>
      <c r="DB24" s="10" t="str">
        <f t="shared" si="9"/>
        <v>18002</v>
      </c>
      <c r="DC24" s="10" t="str">
        <f t="shared" si="10"/>
        <v>31003</v>
      </c>
      <c r="DD24" s="10" t="str">
        <f t="shared" si="11"/>
        <v>24006</v>
      </c>
      <c r="DE24" s="10" t="str">
        <f t="shared" si="12"/>
        <v>10007</v>
      </c>
      <c r="DF24" s="10" t="str">
        <f t="shared" si="13"/>
        <v>27003</v>
      </c>
      <c r="DG24" s="10" t="str">
        <f t="shared" si="14"/>
        <v>31005</v>
      </c>
      <c r="DH24" s="10" t="str">
        <f t="shared" si="15"/>
        <v>31016</v>
      </c>
      <c r="DI24" s="10" t="str">
        <f t="shared" si="16"/>
        <v>27004</v>
      </c>
      <c r="DJ24" s="10" t="str">
        <f t="shared" si="17"/>
        <v>22011</v>
      </c>
      <c r="DK24" s="10" t="str">
        <f t="shared" si="18"/>
        <v>21001</v>
      </c>
      <c r="DL24" s="10" t="str">
        <f t="shared" si="19"/>
        <v>18002</v>
      </c>
      <c r="DM24" s="10" t="str">
        <f t="shared" si="20"/>
        <v>00000</v>
      </c>
      <c r="DN24" s="10" t="str">
        <f t="shared" si="21"/>
        <v>00000</v>
      </c>
      <c r="DO24" s="10" t="str">
        <f t="shared" si="22"/>
        <v>17001</v>
      </c>
      <c r="DP24" s="10" t="str">
        <f t="shared" si="23"/>
        <v>17001</v>
      </c>
      <c r="DQ24" s="2" t="e">
        <f t="shared" si="24"/>
        <v>#REF!</v>
      </c>
      <c r="DR24" s="10" t="e">
        <f t="shared" si="25"/>
        <v>#REF!</v>
      </c>
      <c r="DS24" s="10" t="e">
        <f t="shared" si="26"/>
        <v>#REF!</v>
      </c>
    </row>
    <row r="25" spans="1:123" ht="12.75" customHeight="1" x14ac:dyDescent="0.3">
      <c r="A25" s="8">
        <v>11</v>
      </c>
      <c r="B25" s="14" t="s">
        <v>52</v>
      </c>
      <c r="C25" s="18" t="s">
        <v>59</v>
      </c>
      <c r="D25" s="18" t="s">
        <v>31</v>
      </c>
      <c r="E25" s="18" t="s">
        <v>31</v>
      </c>
      <c r="F25" s="18" t="s">
        <v>31</v>
      </c>
      <c r="G25" s="18" t="s">
        <v>31</v>
      </c>
      <c r="H25" s="18" t="s">
        <v>68</v>
      </c>
      <c r="I25" s="18" t="s">
        <v>31</v>
      </c>
      <c r="J25" s="18" t="s">
        <v>31</v>
      </c>
      <c r="K25" s="18" t="s">
        <v>30</v>
      </c>
      <c r="L25" s="18" t="s">
        <v>31</v>
      </c>
      <c r="M25" s="18" t="s">
        <v>31</v>
      </c>
      <c r="N25" s="18" t="s">
        <v>81</v>
      </c>
      <c r="O25" s="18" t="s">
        <v>59</v>
      </c>
      <c r="P25" s="18" t="s">
        <v>25</v>
      </c>
      <c r="Q25" s="18" t="s">
        <v>19</v>
      </c>
      <c r="R25" s="18" t="s">
        <v>12</v>
      </c>
      <c r="S25" s="18" t="s">
        <v>19</v>
      </c>
      <c r="T25" s="18" t="s">
        <v>16</v>
      </c>
      <c r="U25" s="18" t="s">
        <v>15</v>
      </c>
      <c r="V25" s="18" t="s">
        <v>18</v>
      </c>
      <c r="W25" s="18" t="s">
        <v>14</v>
      </c>
      <c r="X25" s="18" t="s">
        <v>22</v>
      </c>
      <c r="Y25" s="18" t="s">
        <v>24</v>
      </c>
      <c r="Z25" s="18" t="s">
        <v>31</v>
      </c>
      <c r="AB25" s="7" t="s">
        <v>20</v>
      </c>
      <c r="AC25" s="19" t="str">
        <f>+W5</f>
        <v>13</v>
      </c>
      <c r="AD25" s="15">
        <f>+W6</f>
        <v>1</v>
      </c>
      <c r="AE25" s="19" t="str">
        <f>+W7</f>
        <v>12</v>
      </c>
      <c r="AF25" s="15">
        <f>+W8</f>
        <v>2</v>
      </c>
      <c r="AG25" s="19" t="str">
        <f>+W9</f>
        <v>08</v>
      </c>
      <c r="AH25" s="15">
        <f>+W10</f>
        <v>4</v>
      </c>
      <c r="AI25" s="19" t="str">
        <f>+W11</f>
        <v>10</v>
      </c>
      <c r="AJ25" s="15">
        <f>+W12</f>
        <v>2</v>
      </c>
      <c r="AK25" s="19" t="str">
        <f>+W13</f>
        <v>33</v>
      </c>
      <c r="AL25" s="15">
        <f>+W14</f>
        <v>3</v>
      </c>
      <c r="AM25" s="19" t="str">
        <f>+W15</f>
        <v>16</v>
      </c>
      <c r="AN25" s="15">
        <f>+W16</f>
        <v>2</v>
      </c>
      <c r="AO25" s="19" t="str">
        <f>+W17</f>
        <v>05</v>
      </c>
      <c r="AP25" s="15">
        <f>+W18</f>
        <v>3</v>
      </c>
      <c r="AQ25" s="19" t="str">
        <f>+W19</f>
        <v>33</v>
      </c>
      <c r="AR25" s="15">
        <f>+W20</f>
        <v>2</v>
      </c>
      <c r="AS25" s="19" t="str">
        <f>+W21</f>
        <v>17</v>
      </c>
      <c r="AT25" s="15">
        <f>+W22</f>
        <v>1</v>
      </c>
      <c r="AU25" s="19" t="str">
        <f>+W23</f>
        <v>23</v>
      </c>
      <c r="AV25" s="15">
        <f>+W24</f>
        <v>3</v>
      </c>
      <c r="AW25" s="19" t="str">
        <f>+W25</f>
        <v>14</v>
      </c>
      <c r="AX25" s="15">
        <f>+W26</f>
        <v>1</v>
      </c>
      <c r="AY25" s="19" t="str">
        <f>+W27</f>
        <v>33</v>
      </c>
      <c r="AZ25" s="15">
        <f>+W28</f>
        <v>3</v>
      </c>
      <c r="BA25" s="19" t="str">
        <f>+W29</f>
        <v>10</v>
      </c>
      <c r="BB25" s="15">
        <f>+W30</f>
        <v>3</v>
      </c>
      <c r="BC25" s="19" t="str">
        <f>+W31</f>
        <v>15</v>
      </c>
      <c r="BD25" s="15">
        <f>+W32</f>
        <v>3</v>
      </c>
      <c r="BE25" s="19" t="str">
        <f>+W33</f>
        <v>33</v>
      </c>
      <c r="BF25" s="15">
        <f>+W34</f>
        <v>2</v>
      </c>
      <c r="BG25" s="19" t="str">
        <f>+W35</f>
        <v>25</v>
      </c>
      <c r="BH25" s="15">
        <f>+W36</f>
        <v>4</v>
      </c>
      <c r="BI25" s="19" t="str">
        <f>+W37</f>
        <v>26</v>
      </c>
      <c r="BJ25" s="15">
        <f>+W38</f>
        <v>1</v>
      </c>
      <c r="BK25" s="19" t="str">
        <f>+W39</f>
        <v>27</v>
      </c>
      <c r="BL25" s="15">
        <f>+W40</f>
        <v>2</v>
      </c>
      <c r="BM25" s="19" t="str">
        <f>+W41</f>
        <v>31</v>
      </c>
      <c r="BN25" s="15">
        <f>+W42</f>
        <v>8</v>
      </c>
      <c r="BO25" s="19" t="str">
        <f>+W43</f>
        <v>33</v>
      </c>
      <c r="BP25" s="15">
        <f>+W44</f>
        <v>14</v>
      </c>
      <c r="BQ25" s="19" t="str">
        <f>+W45</f>
        <v>19</v>
      </c>
      <c r="BR25" s="15">
        <f>+W46</f>
        <v>6</v>
      </c>
      <c r="BS25" s="19" t="str">
        <f>+W47</f>
        <v>23</v>
      </c>
      <c r="BT25" s="15">
        <f>+W48</f>
        <v>6</v>
      </c>
      <c r="BU25" s="19" t="str">
        <f>+W49</f>
        <v>09</v>
      </c>
      <c r="BV25" s="15">
        <f>+W50</f>
        <v>1</v>
      </c>
      <c r="BW25" s="19" t="str">
        <f>+W51</f>
        <v>17</v>
      </c>
      <c r="BX25" s="15">
        <f>+W52</f>
        <v>2</v>
      </c>
      <c r="BY25" s="19" t="str">
        <f>+W53</f>
        <v>00</v>
      </c>
      <c r="BZ25" s="15">
        <f>+W54</f>
        <v>0</v>
      </c>
      <c r="CA25" s="19" t="str">
        <f>+W55</f>
        <v>00</v>
      </c>
      <c r="CB25" s="15">
        <f>+W56</f>
        <v>0</v>
      </c>
      <c r="CC25" s="19" t="str">
        <f>+W57</f>
        <v>13</v>
      </c>
      <c r="CD25" s="15">
        <f>+W58</f>
        <v>1</v>
      </c>
      <c r="CE25" s="19" t="str">
        <f>+W59</f>
        <v>18</v>
      </c>
      <c r="CF25" s="15">
        <f>+W60</f>
        <v>1</v>
      </c>
      <c r="CG25" s="19" t="str">
        <f>+W61</f>
        <v>21</v>
      </c>
      <c r="CH25" s="15">
        <f>+W62</f>
        <v>3</v>
      </c>
      <c r="CI25" s="19" t="str">
        <f>+W63</f>
        <v>00</v>
      </c>
      <c r="CJ25" s="15">
        <f>+W64</f>
        <v>0</v>
      </c>
      <c r="CK25" s="19" t="str">
        <f>+W65</f>
        <v>00</v>
      </c>
      <c r="CL25" s="15">
        <f>+W66</f>
        <v>0</v>
      </c>
      <c r="CM25" s="16"/>
      <c r="CN25" s="15">
        <v>22</v>
      </c>
      <c r="CO25" s="10" t="str">
        <f t="shared" si="0"/>
        <v>12002</v>
      </c>
      <c r="CP25" s="10" t="str">
        <f t="shared" si="1"/>
        <v>11003</v>
      </c>
      <c r="CQ25" s="17" t="s">
        <v>124</v>
      </c>
      <c r="CR25" s="10" t="str">
        <f t="shared" si="2"/>
        <v>10004</v>
      </c>
      <c r="CS25" s="17" t="s">
        <v>125</v>
      </c>
      <c r="CT25" s="10" t="str">
        <f t="shared" si="3"/>
        <v>32004</v>
      </c>
      <c r="CU25" s="10" t="str">
        <f t="shared" si="4"/>
        <v>12002</v>
      </c>
      <c r="CV25" s="17" t="s">
        <v>113</v>
      </c>
      <c r="CW25" s="10" t="str">
        <f t="shared" si="5"/>
        <v>27004</v>
      </c>
      <c r="CX25" s="10" t="str">
        <f t="shared" si="6"/>
        <v>00000</v>
      </c>
      <c r="CY25" s="17" t="s">
        <v>126</v>
      </c>
      <c r="CZ25" s="10" t="str">
        <f t="shared" si="7"/>
        <v>32002</v>
      </c>
      <c r="DA25" s="10" t="str">
        <f t="shared" si="8"/>
        <v>12003</v>
      </c>
      <c r="DB25" s="10" t="str">
        <f t="shared" si="9"/>
        <v>00000</v>
      </c>
      <c r="DC25" s="10" t="str">
        <f t="shared" si="10"/>
        <v>27002</v>
      </c>
      <c r="DD25" s="10" t="str">
        <f t="shared" si="11"/>
        <v>27004</v>
      </c>
      <c r="DE25" s="10" t="str">
        <f t="shared" si="12"/>
        <v>10010</v>
      </c>
      <c r="DF25" s="10" t="str">
        <f t="shared" si="13"/>
        <v>19001</v>
      </c>
      <c r="DG25" s="10" t="str">
        <f t="shared" si="14"/>
        <v>29004</v>
      </c>
      <c r="DH25" s="10" t="str">
        <f t="shared" si="15"/>
        <v>30016</v>
      </c>
      <c r="DI25" s="10" t="str">
        <f t="shared" si="16"/>
        <v>27003</v>
      </c>
      <c r="DJ25" s="10" t="str">
        <f t="shared" si="17"/>
        <v>09008</v>
      </c>
      <c r="DK25" s="10" t="str">
        <f t="shared" si="18"/>
        <v>11001</v>
      </c>
      <c r="DL25" s="10" t="str">
        <f t="shared" si="19"/>
        <v>11002</v>
      </c>
      <c r="DM25" s="10" t="str">
        <f t="shared" si="20"/>
        <v>00000</v>
      </c>
      <c r="DN25" s="10" t="str">
        <f t="shared" si="21"/>
        <v>00000</v>
      </c>
      <c r="DO25" s="10" t="str">
        <f t="shared" si="22"/>
        <v>13002</v>
      </c>
      <c r="DP25" s="10" t="str">
        <f t="shared" si="23"/>
        <v>18001</v>
      </c>
      <c r="DQ25" s="2" t="e">
        <f t="shared" si="24"/>
        <v>#REF!</v>
      </c>
      <c r="DR25" s="10" t="e">
        <f t="shared" si="25"/>
        <v>#REF!</v>
      </c>
      <c r="DS25" s="10" t="e">
        <f t="shared" si="26"/>
        <v>#REF!</v>
      </c>
    </row>
    <row r="26" spans="1:123" ht="12.75" customHeight="1" x14ac:dyDescent="0.3">
      <c r="A26" s="8"/>
      <c r="B26" s="15" t="s">
        <v>53</v>
      </c>
      <c r="C26" s="20">
        <v>4</v>
      </c>
      <c r="D26" s="20">
        <v>4</v>
      </c>
      <c r="E26" s="20">
        <v>7</v>
      </c>
      <c r="F26" s="20">
        <v>7</v>
      </c>
      <c r="G26" s="20">
        <v>9</v>
      </c>
      <c r="H26" s="20">
        <v>9</v>
      </c>
      <c r="I26" s="20">
        <v>10</v>
      </c>
      <c r="J26" s="20">
        <v>10</v>
      </c>
      <c r="K26" s="20">
        <v>8</v>
      </c>
      <c r="L26" s="20">
        <v>8</v>
      </c>
      <c r="M26" s="20">
        <v>5</v>
      </c>
      <c r="N26" s="20">
        <v>2</v>
      </c>
      <c r="O26" s="20">
        <v>2</v>
      </c>
      <c r="P26" s="20">
        <v>3</v>
      </c>
      <c r="Q26" s="20">
        <v>1</v>
      </c>
      <c r="R26" s="20">
        <v>1</v>
      </c>
      <c r="S26" s="20">
        <v>1</v>
      </c>
      <c r="T26" s="20">
        <v>1</v>
      </c>
      <c r="U26" s="20">
        <v>1</v>
      </c>
      <c r="V26" s="20">
        <v>3</v>
      </c>
      <c r="W26" s="20">
        <v>1</v>
      </c>
      <c r="X26" s="20">
        <v>3</v>
      </c>
      <c r="Y26" s="20">
        <v>5</v>
      </c>
      <c r="Z26" s="20">
        <v>7</v>
      </c>
      <c r="AB26" s="7" t="s">
        <v>21</v>
      </c>
      <c r="AC26" s="19" t="str">
        <f>+X5</f>
        <v>14</v>
      </c>
      <c r="AD26" s="15">
        <f>+X6</f>
        <v>3</v>
      </c>
      <c r="AE26" s="19" t="str">
        <f>+X7</f>
        <v>00</v>
      </c>
      <c r="AF26" s="15">
        <f>+X8</f>
        <v>0</v>
      </c>
      <c r="AG26" s="19" t="str">
        <f>+X9</f>
        <v>09</v>
      </c>
      <c r="AH26" s="15">
        <f>+X10</f>
        <v>5</v>
      </c>
      <c r="AI26" s="19" t="str">
        <f>+X11</f>
        <v>07</v>
      </c>
      <c r="AJ26" s="15">
        <f>+X12</f>
        <v>5</v>
      </c>
      <c r="AK26" s="19" t="str">
        <f>+X13</f>
        <v>29</v>
      </c>
      <c r="AL26" s="15">
        <f>+X14</f>
        <v>2</v>
      </c>
      <c r="AM26" s="19" t="str">
        <f>+X15</f>
        <v>23</v>
      </c>
      <c r="AN26" s="15">
        <f>+X16</f>
        <v>3</v>
      </c>
      <c r="AO26" s="19" t="str">
        <f>+X17</f>
        <v>13</v>
      </c>
      <c r="AP26" s="15">
        <f>+X18</f>
        <v>2</v>
      </c>
      <c r="AQ26" s="19" t="str">
        <f>+X19</f>
        <v>34</v>
      </c>
      <c r="AR26" s="15">
        <f>+X20</f>
        <v>2</v>
      </c>
      <c r="AS26" s="19" t="str">
        <f>+X21</f>
        <v>23</v>
      </c>
      <c r="AT26" s="15">
        <f>+X22</f>
        <v>2</v>
      </c>
      <c r="AU26" s="19" t="str">
        <f>+X23</f>
        <v>22</v>
      </c>
      <c r="AV26" s="15">
        <f>+X24</f>
        <v>2</v>
      </c>
      <c r="AW26" s="19" t="str">
        <f>+X25</f>
        <v>22</v>
      </c>
      <c r="AX26" s="15">
        <f>+X26</f>
        <v>3</v>
      </c>
      <c r="AY26" s="19" t="str">
        <f>+X27</f>
        <v>33</v>
      </c>
      <c r="AZ26" s="15">
        <f>+X28</f>
        <v>3</v>
      </c>
      <c r="BA26" s="19" t="str">
        <f>+X29</f>
        <v>02</v>
      </c>
      <c r="BB26" s="15">
        <f>+X30</f>
        <v>4</v>
      </c>
      <c r="BC26" s="19" t="str">
        <f>+X31</f>
        <v>18</v>
      </c>
      <c r="BD26" s="15">
        <f>+X32</f>
        <v>2</v>
      </c>
      <c r="BE26" s="19" t="str">
        <f>+X33</f>
        <v>31</v>
      </c>
      <c r="BF26" s="15">
        <f>+X34</f>
        <v>3</v>
      </c>
      <c r="BG26" s="19" t="str">
        <f>+X35</f>
        <v>24</v>
      </c>
      <c r="BH26" s="15">
        <f>+X36</f>
        <v>6</v>
      </c>
      <c r="BI26" s="19" t="str">
        <f>+X37</f>
        <v>10</v>
      </c>
      <c r="BJ26" s="15">
        <f>+X38</f>
        <v>7</v>
      </c>
      <c r="BK26" s="19" t="str">
        <f>+X39</f>
        <v>27</v>
      </c>
      <c r="BL26" s="15">
        <f>+X40</f>
        <v>3</v>
      </c>
      <c r="BM26" s="19" t="str">
        <f>+X41</f>
        <v>31</v>
      </c>
      <c r="BN26" s="15">
        <f>+X42</f>
        <v>5</v>
      </c>
      <c r="BO26" s="19" t="str">
        <f>+X43</f>
        <v>31</v>
      </c>
      <c r="BP26" s="15">
        <f>+X44</f>
        <v>16</v>
      </c>
      <c r="BQ26" s="19" t="str">
        <f>+X45</f>
        <v>27</v>
      </c>
      <c r="BR26" s="15">
        <f>+X46</f>
        <v>4</v>
      </c>
      <c r="BS26" s="19" t="str">
        <f>+X47</f>
        <v>22</v>
      </c>
      <c r="BT26" s="15">
        <f>+X48</f>
        <v>11</v>
      </c>
      <c r="BU26" s="19" t="str">
        <f>+X49</f>
        <v>21</v>
      </c>
      <c r="BV26" s="15">
        <f>+X50</f>
        <v>1</v>
      </c>
      <c r="BW26" s="19" t="str">
        <f>+X51</f>
        <v>18</v>
      </c>
      <c r="BX26" s="15">
        <f>+X52</f>
        <v>2</v>
      </c>
      <c r="BY26" s="19" t="str">
        <f>+X53</f>
        <v>00</v>
      </c>
      <c r="BZ26" s="15">
        <f>+X54</f>
        <v>0</v>
      </c>
      <c r="CA26" s="19" t="str">
        <f>+X55</f>
        <v>00</v>
      </c>
      <c r="CB26" s="15">
        <f>+X56</f>
        <v>0</v>
      </c>
      <c r="CC26" s="19" t="str">
        <f>+X57</f>
        <v>17</v>
      </c>
      <c r="CD26" s="15">
        <f>+X58</f>
        <v>1</v>
      </c>
      <c r="CE26" s="19" t="str">
        <f>+X59</f>
        <v>17</v>
      </c>
      <c r="CF26" s="15">
        <f>+X60</f>
        <v>1</v>
      </c>
      <c r="CG26" s="19" t="str">
        <f>+X61</f>
        <v>11</v>
      </c>
      <c r="CH26" s="15">
        <f>+X62</f>
        <v>3</v>
      </c>
      <c r="CI26" s="19" t="str">
        <f>+X63</f>
        <v>09</v>
      </c>
      <c r="CJ26" s="15">
        <f>+X64</f>
        <v>3</v>
      </c>
      <c r="CK26" s="19" t="str">
        <f>+X65</f>
        <v>00</v>
      </c>
      <c r="CL26" s="15">
        <f>+X66</f>
        <v>0</v>
      </c>
      <c r="CM26" s="16"/>
      <c r="CN26" s="15">
        <v>23</v>
      </c>
      <c r="CO26" s="10" t="str">
        <f t="shared" si="0"/>
        <v>13003</v>
      </c>
      <c r="CP26" s="10" t="str">
        <f t="shared" si="1"/>
        <v>06003</v>
      </c>
      <c r="CQ26" s="17" t="s">
        <v>124</v>
      </c>
      <c r="CR26" s="10" t="str">
        <f t="shared" si="2"/>
        <v>09005</v>
      </c>
      <c r="CS26" s="17" t="s">
        <v>127</v>
      </c>
      <c r="CT26" s="10" t="str">
        <f t="shared" si="3"/>
        <v>11003</v>
      </c>
      <c r="CU26" s="10" t="str">
        <f t="shared" si="4"/>
        <v>17003</v>
      </c>
      <c r="CV26" s="17" t="s">
        <v>128</v>
      </c>
      <c r="CW26" s="10" t="str">
        <f t="shared" si="5"/>
        <v>36005</v>
      </c>
      <c r="CX26" s="10" t="str">
        <f t="shared" si="6"/>
        <v>00000</v>
      </c>
      <c r="CY26" s="17" t="s">
        <v>63</v>
      </c>
      <c r="CZ26" s="10" t="str">
        <f t="shared" si="7"/>
        <v>32004</v>
      </c>
      <c r="DA26" s="10" t="str">
        <f t="shared" si="8"/>
        <v>12005</v>
      </c>
      <c r="DB26" s="10" t="str">
        <f t="shared" si="9"/>
        <v>29002</v>
      </c>
      <c r="DC26" s="10" t="str">
        <f t="shared" si="10"/>
        <v>20001</v>
      </c>
      <c r="DD26" s="10" t="str">
        <f t="shared" si="11"/>
        <v>28004</v>
      </c>
      <c r="DE26" s="10" t="str">
        <f t="shared" si="12"/>
        <v>07007</v>
      </c>
      <c r="DF26" s="10" t="str">
        <f t="shared" si="13"/>
        <v>29002</v>
      </c>
      <c r="DG26" s="10" t="str">
        <f t="shared" si="14"/>
        <v>30004</v>
      </c>
      <c r="DH26" s="10" t="str">
        <f t="shared" si="15"/>
        <v>29016</v>
      </c>
      <c r="DI26" s="10" t="str">
        <f t="shared" si="16"/>
        <v>29004</v>
      </c>
      <c r="DJ26" s="10" t="str">
        <f t="shared" si="17"/>
        <v>11002</v>
      </c>
      <c r="DK26" s="10" t="str">
        <f t="shared" si="18"/>
        <v>23007</v>
      </c>
      <c r="DL26" s="10" t="str">
        <f t="shared" si="19"/>
        <v>12002</v>
      </c>
      <c r="DM26" s="10" t="str">
        <f t="shared" si="20"/>
        <v>00000</v>
      </c>
      <c r="DN26" s="10" t="str">
        <f t="shared" si="21"/>
        <v>00000</v>
      </c>
      <c r="DO26" s="10" t="str">
        <f t="shared" si="22"/>
        <v>10002</v>
      </c>
      <c r="DP26" s="10" t="str">
        <f t="shared" si="23"/>
        <v>15001</v>
      </c>
      <c r="DQ26" s="2" t="e">
        <f t="shared" si="24"/>
        <v>#REF!</v>
      </c>
      <c r="DR26" s="10" t="e">
        <f t="shared" si="25"/>
        <v>#REF!</v>
      </c>
      <c r="DS26" s="10" t="e">
        <f t="shared" si="26"/>
        <v>#REF!</v>
      </c>
    </row>
    <row r="27" spans="1:123" ht="12.75" customHeight="1" x14ac:dyDescent="0.25">
      <c r="A27" s="8">
        <v>12</v>
      </c>
      <c r="B27" s="14" t="s">
        <v>52</v>
      </c>
      <c r="C27" s="18" t="s">
        <v>81</v>
      </c>
      <c r="D27" s="18" t="s">
        <v>68</v>
      </c>
      <c r="E27" s="18" t="s">
        <v>88</v>
      </c>
      <c r="F27" s="18" t="s">
        <v>30</v>
      </c>
      <c r="G27" s="18" t="s">
        <v>31</v>
      </c>
      <c r="H27" s="18" t="s">
        <v>29</v>
      </c>
      <c r="I27" s="18" t="s">
        <v>31</v>
      </c>
      <c r="J27" s="18" t="s">
        <v>68</v>
      </c>
      <c r="K27" s="18" t="s">
        <v>30</v>
      </c>
      <c r="L27" s="18" t="s">
        <v>31</v>
      </c>
      <c r="M27" s="18" t="s">
        <v>28</v>
      </c>
      <c r="N27" s="18" t="s">
        <v>31</v>
      </c>
      <c r="O27" s="18" t="s">
        <v>10</v>
      </c>
      <c r="P27" s="18" t="s">
        <v>9</v>
      </c>
      <c r="Q27" s="18" t="s">
        <v>8</v>
      </c>
      <c r="R27" s="18" t="s">
        <v>68</v>
      </c>
      <c r="S27" s="18" t="s">
        <v>59</v>
      </c>
      <c r="T27" s="18" t="s">
        <v>88</v>
      </c>
      <c r="U27" s="18" t="s">
        <v>46</v>
      </c>
      <c r="V27" s="18" t="s">
        <v>68</v>
      </c>
      <c r="W27" s="18" t="s">
        <v>59</v>
      </c>
      <c r="X27" s="18" t="s">
        <v>59</v>
      </c>
      <c r="Y27" s="18" t="s">
        <v>68</v>
      </c>
      <c r="Z27" s="18" t="s">
        <v>68</v>
      </c>
      <c r="AB27" s="7" t="s">
        <v>22</v>
      </c>
      <c r="AC27" s="19" t="str">
        <f>+Y5</f>
        <v>12</v>
      </c>
      <c r="AD27" s="15">
        <f>+Y6</f>
        <v>2</v>
      </c>
      <c r="AE27" s="19" t="str">
        <f>+Y7</f>
        <v>11</v>
      </c>
      <c r="AF27" s="15">
        <f>+Y8</f>
        <v>3</v>
      </c>
      <c r="AG27" s="19" t="str">
        <f>+Y9</f>
        <v>07</v>
      </c>
      <c r="AH27" s="15">
        <f>+Y10</f>
        <v>4</v>
      </c>
      <c r="AI27" s="19" t="str">
        <f>+Y11</f>
        <v>10</v>
      </c>
      <c r="AJ27" s="15">
        <f>+Y12</f>
        <v>4</v>
      </c>
      <c r="AK27" s="19" t="str">
        <f>+Y13</f>
        <v>13</v>
      </c>
      <c r="AL27" s="15">
        <f>+Y14</f>
        <v>2</v>
      </c>
      <c r="AM27" s="19" t="str">
        <f>+Y15</f>
        <v>32</v>
      </c>
      <c r="AN27" s="15">
        <f>+Y16</f>
        <v>4</v>
      </c>
      <c r="AO27" s="19" t="str">
        <f>+Y17</f>
        <v>12</v>
      </c>
      <c r="AP27" s="15">
        <f>+Y18</f>
        <v>2</v>
      </c>
      <c r="AQ27" s="19" t="str">
        <f>+Y19</f>
        <v>32</v>
      </c>
      <c r="AR27" s="21">
        <f>+Y20</f>
        <v>3</v>
      </c>
      <c r="AS27" s="19" t="str">
        <f>+Y21</f>
        <v>27</v>
      </c>
      <c r="AT27" s="15">
        <f>+Y22</f>
        <v>4</v>
      </c>
      <c r="AU27" s="19" t="str">
        <f>+Y23</f>
        <v>00</v>
      </c>
      <c r="AV27" s="15">
        <f>+Y24</f>
        <v>0</v>
      </c>
      <c r="AW27" s="19" t="str">
        <f>+Y25</f>
        <v>24</v>
      </c>
      <c r="AX27" s="15">
        <f>+Y26</f>
        <v>5</v>
      </c>
      <c r="AY27" s="19" t="str">
        <f>+Y27</f>
        <v>32</v>
      </c>
      <c r="AZ27" s="15">
        <f>+Y28</f>
        <v>2</v>
      </c>
      <c r="BA27" s="19" t="str">
        <f>+Y29</f>
        <v>12</v>
      </c>
      <c r="BB27" s="15">
        <f>+Y30</f>
        <v>3</v>
      </c>
      <c r="BC27" s="19" t="str">
        <f>+Y31</f>
        <v>00</v>
      </c>
      <c r="BD27" s="15">
        <f>+Y32</f>
        <v>0</v>
      </c>
      <c r="BE27" s="19" t="str">
        <f>+Y33</f>
        <v>27</v>
      </c>
      <c r="BF27" s="15">
        <f>+Y34</f>
        <v>2</v>
      </c>
      <c r="BG27" s="19" t="str">
        <f>+Y35</f>
        <v>27</v>
      </c>
      <c r="BH27" s="15">
        <f>+Y36</f>
        <v>4</v>
      </c>
      <c r="BI27" s="19" t="str">
        <f>+Y37</f>
        <v>10</v>
      </c>
      <c r="BJ27" s="15">
        <f>+Y38</f>
        <v>10</v>
      </c>
      <c r="BK27" s="19" t="str">
        <f>+Y39</f>
        <v>19</v>
      </c>
      <c r="BL27" s="15">
        <f>+Y40</f>
        <v>1</v>
      </c>
      <c r="BM27" s="19" t="str">
        <f>+Y41</f>
        <v>29</v>
      </c>
      <c r="BN27" s="15">
        <f>+Y42</f>
        <v>4</v>
      </c>
      <c r="BO27" s="19" t="str">
        <f>+Y43</f>
        <v>30</v>
      </c>
      <c r="BP27" s="15">
        <f>+Y44</f>
        <v>16</v>
      </c>
      <c r="BQ27" s="19" t="str">
        <f>+Y45</f>
        <v>27</v>
      </c>
      <c r="BR27" s="15">
        <f>+Y46</f>
        <v>3</v>
      </c>
      <c r="BS27" s="19" t="str">
        <f>+Y47</f>
        <v>09</v>
      </c>
      <c r="BT27" s="15">
        <f>+Y48</f>
        <v>8</v>
      </c>
      <c r="BU27" s="19" t="str">
        <f>+Y49</f>
        <v>11</v>
      </c>
      <c r="BV27" s="15">
        <f>+Y50</f>
        <v>1</v>
      </c>
      <c r="BW27" s="19" t="str">
        <f>+Y51</f>
        <v>11</v>
      </c>
      <c r="BX27" s="15">
        <f>+Y52</f>
        <v>2</v>
      </c>
      <c r="BY27" s="19" t="str">
        <f>+Y53</f>
        <v>00</v>
      </c>
      <c r="BZ27" s="15">
        <f>+Y54</f>
        <v>0</v>
      </c>
      <c r="CA27" s="19" t="str">
        <f>+Y55</f>
        <v>00</v>
      </c>
      <c r="CB27" s="15">
        <f>+Y56</f>
        <v>0</v>
      </c>
      <c r="CC27" s="19" t="str">
        <f>+Y57</f>
        <v>13</v>
      </c>
      <c r="CD27" s="15">
        <f>+Y58</f>
        <v>2</v>
      </c>
      <c r="CE27" s="19" t="str">
        <f>+Y59</f>
        <v>18</v>
      </c>
      <c r="CF27" s="15">
        <f>+Y60</f>
        <v>1</v>
      </c>
      <c r="CG27" s="19" t="str">
        <f>+Y61</f>
        <v>07</v>
      </c>
      <c r="CH27" s="15">
        <f>+Y62</f>
        <v>2</v>
      </c>
      <c r="CI27" s="19" t="str">
        <f>+Y63</f>
        <v>06</v>
      </c>
      <c r="CJ27" s="15">
        <f>+Y64</f>
        <v>2</v>
      </c>
      <c r="CK27" s="19" t="str">
        <f>+Y65</f>
        <v>00</v>
      </c>
      <c r="CL27" s="15">
        <f>+Y66</f>
        <v>0</v>
      </c>
      <c r="CM27" s="16"/>
    </row>
    <row r="28" spans="1:123" ht="12.75" customHeight="1" x14ac:dyDescent="0.25">
      <c r="A28" s="8"/>
      <c r="B28" s="15" t="s">
        <v>53</v>
      </c>
      <c r="C28" s="20">
        <v>5</v>
      </c>
      <c r="D28" s="20">
        <v>8</v>
      </c>
      <c r="E28" s="20">
        <v>8</v>
      </c>
      <c r="F28" s="20">
        <v>10</v>
      </c>
      <c r="G28" s="20">
        <v>11</v>
      </c>
      <c r="H28" s="20">
        <v>13</v>
      </c>
      <c r="I28" s="20">
        <v>13</v>
      </c>
      <c r="J28" s="20">
        <v>14</v>
      </c>
      <c r="K28" s="20">
        <v>11</v>
      </c>
      <c r="L28" s="20">
        <v>13</v>
      </c>
      <c r="M28" s="20">
        <v>6</v>
      </c>
      <c r="N28" s="20">
        <v>5</v>
      </c>
      <c r="O28" s="20">
        <v>4</v>
      </c>
      <c r="P28" s="20">
        <v>3</v>
      </c>
      <c r="Q28" s="20">
        <v>2</v>
      </c>
      <c r="R28" s="20">
        <v>2</v>
      </c>
      <c r="S28" s="20">
        <v>2</v>
      </c>
      <c r="T28" s="20">
        <v>4</v>
      </c>
      <c r="U28" s="20">
        <v>0</v>
      </c>
      <c r="V28" s="20">
        <v>2</v>
      </c>
      <c r="W28" s="20">
        <v>3</v>
      </c>
      <c r="X28" s="20">
        <v>3</v>
      </c>
      <c r="Y28" s="20">
        <v>2</v>
      </c>
      <c r="Z28" s="20">
        <v>4</v>
      </c>
      <c r="AB28" s="7" t="s">
        <v>23</v>
      </c>
      <c r="AC28" s="19" t="str">
        <f>+Z5</f>
        <v>13</v>
      </c>
      <c r="AD28" s="15">
        <f>+Z6</f>
        <v>3</v>
      </c>
      <c r="AE28" s="19" t="str">
        <f>+Z7</f>
        <v>06</v>
      </c>
      <c r="AF28" s="15">
        <f>+Z8</f>
        <v>3</v>
      </c>
      <c r="AG28" s="19" t="str">
        <f>+Z9</f>
        <v>07</v>
      </c>
      <c r="AH28" s="15">
        <f>+Z10</f>
        <v>4</v>
      </c>
      <c r="AI28" s="19" t="str">
        <f>+Z11</f>
        <v>09</v>
      </c>
      <c r="AJ28" s="15">
        <f>+Z12</f>
        <v>5</v>
      </c>
      <c r="AK28" s="19" t="str">
        <f>+Z13</f>
        <v>03</v>
      </c>
      <c r="AL28" s="15">
        <f>+Z14</f>
        <v>2</v>
      </c>
      <c r="AM28" s="19" t="str">
        <f>+Z15</f>
        <v>11</v>
      </c>
      <c r="AN28" s="15">
        <f>+Z16</f>
        <v>3</v>
      </c>
      <c r="AO28" s="19" t="str">
        <f>+Z17</f>
        <v>17</v>
      </c>
      <c r="AP28" s="15">
        <f>+Z18</f>
        <v>3</v>
      </c>
      <c r="AQ28" s="19" t="str">
        <f>+Z19</f>
        <v>34</v>
      </c>
      <c r="AR28" s="15">
        <f>+Z20</f>
        <v>6</v>
      </c>
      <c r="AS28" s="19" t="str">
        <f>+Z21</f>
        <v>36</v>
      </c>
      <c r="AT28" s="15">
        <f>+Z22</f>
        <v>5</v>
      </c>
      <c r="AU28" s="19" t="str">
        <f>+Z23</f>
        <v>00</v>
      </c>
      <c r="AV28" s="15">
        <f>+Z24</f>
        <v>0</v>
      </c>
      <c r="AW28" s="19" t="str">
        <f>+Z25</f>
        <v>31</v>
      </c>
      <c r="AX28" s="15">
        <f>+Z26</f>
        <v>7</v>
      </c>
      <c r="AY28" s="19" t="str">
        <f>+Z27</f>
        <v>32</v>
      </c>
      <c r="AZ28" s="15">
        <f>+Z28</f>
        <v>4</v>
      </c>
      <c r="BA28" s="19" t="str">
        <f>+Z29</f>
        <v>12</v>
      </c>
      <c r="BB28" s="15">
        <f>+Z30</f>
        <v>5</v>
      </c>
      <c r="BC28" s="19" t="str">
        <f>+Z31</f>
        <v>29</v>
      </c>
      <c r="BD28" s="15">
        <f>+Z32</f>
        <v>2</v>
      </c>
      <c r="BE28" s="19" t="str">
        <f>+Z33</f>
        <v>20</v>
      </c>
      <c r="BF28" s="15">
        <f>+Z34</f>
        <v>1</v>
      </c>
      <c r="BG28" s="19" t="str">
        <f>+Z35</f>
        <v>28</v>
      </c>
      <c r="BH28" s="15">
        <f>+Z36</f>
        <v>4</v>
      </c>
      <c r="BI28" s="19" t="str">
        <f>+Z37</f>
        <v>07</v>
      </c>
      <c r="BJ28" s="15">
        <f>+Z38</f>
        <v>7</v>
      </c>
      <c r="BK28" s="19" t="str">
        <f>+Z39</f>
        <v>29</v>
      </c>
      <c r="BL28" s="15">
        <f>+Z40</f>
        <v>2</v>
      </c>
      <c r="BM28" s="19" t="str">
        <f>+Z41</f>
        <v>30</v>
      </c>
      <c r="BN28" s="15">
        <f>+Z42</f>
        <v>4</v>
      </c>
      <c r="BO28" s="19" t="str">
        <f>+Z43</f>
        <v>29</v>
      </c>
      <c r="BP28" s="15">
        <f>+Z44</f>
        <v>16</v>
      </c>
      <c r="BQ28" s="19" t="str">
        <f>+Z45</f>
        <v>29</v>
      </c>
      <c r="BR28" s="15">
        <f>+Z46</f>
        <v>4</v>
      </c>
      <c r="BS28" s="19" t="str">
        <f>+Z47</f>
        <v>11</v>
      </c>
      <c r="BT28" s="15">
        <f>+Z48</f>
        <v>2</v>
      </c>
      <c r="BU28" s="19" t="str">
        <f>+Z49</f>
        <v>23</v>
      </c>
      <c r="BV28" s="15">
        <f>+Z50</f>
        <v>7</v>
      </c>
      <c r="BW28" s="19" t="str">
        <f>+Z51</f>
        <v>12</v>
      </c>
      <c r="BX28" s="15">
        <f>+Z52</f>
        <v>2</v>
      </c>
      <c r="BY28" s="19" t="str">
        <f>+Z53</f>
        <v>00</v>
      </c>
      <c r="BZ28" s="15">
        <f>+Z54</f>
        <v>0</v>
      </c>
      <c r="CA28" s="19" t="str">
        <f>+Z55</f>
        <v>00</v>
      </c>
      <c r="CB28" s="15">
        <f>+Z56</f>
        <v>0</v>
      </c>
      <c r="CC28" s="19" t="str">
        <f>+Z57</f>
        <v>10</v>
      </c>
      <c r="CD28" s="15">
        <f>+Z58</f>
        <v>2</v>
      </c>
      <c r="CE28" s="19" t="str">
        <f>+Z59</f>
        <v>15</v>
      </c>
      <c r="CF28" s="15">
        <f>+Z60</f>
        <v>1</v>
      </c>
      <c r="CG28" s="19" t="str">
        <f>+Z61</f>
        <v>16</v>
      </c>
      <c r="CH28" s="15">
        <f>+Z62</f>
        <v>4</v>
      </c>
      <c r="CI28" s="19" t="str">
        <f>+Z63</f>
        <v>05</v>
      </c>
      <c r="CJ28" s="15">
        <f>+Z64</f>
        <v>2</v>
      </c>
      <c r="CK28" s="19" t="str">
        <f>+Z65</f>
        <v>00</v>
      </c>
      <c r="CL28" s="15">
        <f>+Z66</f>
        <v>0</v>
      </c>
      <c r="CM28" s="16"/>
    </row>
    <row r="29" spans="1:123" ht="12.75" customHeight="1" x14ac:dyDescent="0.25">
      <c r="A29" s="8">
        <v>13</v>
      </c>
      <c r="B29" s="14" t="s">
        <v>52</v>
      </c>
      <c r="C29" s="18" t="s">
        <v>59</v>
      </c>
      <c r="D29" s="18" t="s">
        <v>68</v>
      </c>
      <c r="E29" s="18" t="s">
        <v>68</v>
      </c>
      <c r="F29" s="18" t="s">
        <v>68</v>
      </c>
      <c r="G29" s="18" t="s">
        <v>28</v>
      </c>
      <c r="H29" s="18" t="s">
        <v>30</v>
      </c>
      <c r="I29" s="18" t="s">
        <v>27</v>
      </c>
      <c r="J29" s="18" t="s">
        <v>30</v>
      </c>
      <c r="K29" s="18" t="s">
        <v>30</v>
      </c>
      <c r="L29" s="18" t="s">
        <v>30</v>
      </c>
      <c r="M29" s="18" t="s">
        <v>29</v>
      </c>
      <c r="N29" s="18" t="s">
        <v>30</v>
      </c>
      <c r="O29" s="18" t="s">
        <v>27</v>
      </c>
      <c r="P29" s="18" t="s">
        <v>11</v>
      </c>
      <c r="Q29" s="18" t="s">
        <v>25</v>
      </c>
      <c r="R29" s="18" t="s">
        <v>26</v>
      </c>
      <c r="S29" s="18" t="s">
        <v>17</v>
      </c>
      <c r="T29" s="18" t="s">
        <v>19</v>
      </c>
      <c r="U29" s="18" t="s">
        <v>13</v>
      </c>
      <c r="V29" s="18" t="s">
        <v>11</v>
      </c>
      <c r="W29" s="18" t="s">
        <v>10</v>
      </c>
      <c r="X29" s="18" t="s">
        <v>2</v>
      </c>
      <c r="Y29" s="18" t="s">
        <v>12</v>
      </c>
      <c r="Z29" s="18" t="s">
        <v>12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</row>
    <row r="30" spans="1:123" ht="12.75" customHeight="1" x14ac:dyDescent="0.25">
      <c r="A30" s="8"/>
      <c r="B30" s="15" t="s">
        <v>53</v>
      </c>
      <c r="C30" s="20">
        <v>4</v>
      </c>
      <c r="D30" s="20">
        <v>3</v>
      </c>
      <c r="E30" s="20">
        <v>4</v>
      </c>
      <c r="F30" s="20">
        <v>9</v>
      </c>
      <c r="G30" s="20">
        <v>7</v>
      </c>
      <c r="H30" s="20">
        <v>10</v>
      </c>
      <c r="I30" s="20">
        <v>7</v>
      </c>
      <c r="J30" s="20">
        <v>4</v>
      </c>
      <c r="K30" s="20">
        <v>7</v>
      </c>
      <c r="L30" s="20">
        <v>4</v>
      </c>
      <c r="M30" s="20">
        <v>3</v>
      </c>
      <c r="N30" s="20">
        <v>2</v>
      </c>
      <c r="O30" s="20">
        <v>3</v>
      </c>
      <c r="P30" s="20">
        <v>2</v>
      </c>
      <c r="Q30" s="20">
        <v>4</v>
      </c>
      <c r="R30" s="20">
        <v>2</v>
      </c>
      <c r="S30" s="20">
        <v>4</v>
      </c>
      <c r="T30" s="20">
        <v>4</v>
      </c>
      <c r="U30" s="20">
        <v>2</v>
      </c>
      <c r="V30" s="20">
        <v>2</v>
      </c>
      <c r="W30" s="20">
        <v>3</v>
      </c>
      <c r="X30" s="20">
        <v>4</v>
      </c>
      <c r="Y30" s="20">
        <v>3</v>
      </c>
      <c r="Z30" s="20">
        <v>5</v>
      </c>
      <c r="CM30" s="23"/>
    </row>
    <row r="31" spans="1:123" ht="12.75" customHeight="1" x14ac:dyDescent="0.25">
      <c r="A31" s="8">
        <v>14</v>
      </c>
      <c r="B31" s="14" t="s">
        <v>52</v>
      </c>
      <c r="C31" s="18" t="s">
        <v>9</v>
      </c>
      <c r="D31" s="18" t="s">
        <v>58</v>
      </c>
      <c r="E31" s="18" t="s">
        <v>5</v>
      </c>
      <c r="F31" s="18" t="s">
        <v>31</v>
      </c>
      <c r="G31" s="18" t="s">
        <v>30</v>
      </c>
      <c r="H31" s="18" t="s">
        <v>30</v>
      </c>
      <c r="I31" s="18" t="s">
        <v>28</v>
      </c>
      <c r="J31" s="18" t="s">
        <v>31</v>
      </c>
      <c r="K31" s="18" t="s">
        <v>68</v>
      </c>
      <c r="L31" s="18" t="s">
        <v>14</v>
      </c>
      <c r="M31" s="18" t="s">
        <v>11</v>
      </c>
      <c r="N31" s="18" t="s">
        <v>11</v>
      </c>
      <c r="O31" s="18" t="s">
        <v>29</v>
      </c>
      <c r="P31" s="18" t="s">
        <v>9</v>
      </c>
      <c r="Q31" s="18" t="s">
        <v>13</v>
      </c>
      <c r="R31" s="18" t="s">
        <v>13</v>
      </c>
      <c r="S31" s="18" t="s">
        <v>8</v>
      </c>
      <c r="T31" s="18" t="s">
        <v>8</v>
      </c>
      <c r="U31" s="18" t="s">
        <v>12</v>
      </c>
      <c r="V31" s="18" t="s">
        <v>10</v>
      </c>
      <c r="W31" s="18" t="s">
        <v>15</v>
      </c>
      <c r="X31" s="18" t="s">
        <v>18</v>
      </c>
      <c r="Y31" s="18" t="s">
        <v>46</v>
      </c>
      <c r="Z31" s="18" t="s">
        <v>29</v>
      </c>
      <c r="AB31" s="6" t="s">
        <v>46</v>
      </c>
      <c r="AC31" s="1" t="str">
        <f t="shared" ref="AC31:AC54" si="27">IF(AC5&lt;10,IF(AC5=0,CONCATENATE("00",AC5),CONCATENATE("0",AC5,"0")),CONCATENATE(AC5,"0"))</f>
        <v>120</v>
      </c>
      <c r="AD31" s="9" t="str">
        <f t="shared" ref="AD31:AD54" si="28">IF(AD5&lt;10,CONCATENATE("0",AD5),AD5)</f>
        <v>02</v>
      </c>
      <c r="AE31" s="1" t="str">
        <f t="shared" ref="AE31:AE54" si="29">IF(AE5&lt;10,IF(AE5=0,CONCATENATE("00",AE5),CONCATENATE("0",AE5,"0")),CONCATENATE(AE5,"0"))</f>
        <v>080</v>
      </c>
      <c r="AF31" s="9" t="str">
        <f t="shared" ref="AF31:AF54" si="30">IF(AF5&lt;10,CONCATENATE("0",AF5),AF5)</f>
        <v>03</v>
      </c>
      <c r="AG31" s="1" t="str">
        <f t="shared" ref="AG31:AG54" si="31">IF(AG5&lt;10,IF(AG5=0,CONCATENATE("00",AG5),CONCATENATE("0",AG5,"0")),CONCATENATE(AG5,"0"))</f>
        <v>060</v>
      </c>
      <c r="AH31" s="9" t="str">
        <f t="shared" ref="AH31:AH54" si="32">IF(AH5&lt;10,CONCATENATE("0",AH5),AH5)</f>
        <v>03</v>
      </c>
      <c r="AI31" s="1" t="str">
        <f t="shared" ref="AI31:AI54" si="33">IF(AI5&lt;10,IF(AI5=0,CONCATENATE("00",AI5),CONCATENATE("0",AI5,"0")),CONCATENATE(AI5,"0"))</f>
        <v>220</v>
      </c>
      <c r="AJ31" s="9" t="str">
        <f t="shared" ref="AJ31:AJ54" si="34">IF(AJ5&lt;10,CONCATENATE("0",AJ5),AJ5)</f>
        <v>02</v>
      </c>
      <c r="AK31" s="1" t="str">
        <f t="shared" ref="AK31:AK54" si="35">IF(AK5&lt;10,IF(AK5=0,CONCATENATE("00",AK5),CONCATENATE("0",AK5,"0")),CONCATENATE(AK5,"0"))</f>
        <v>080</v>
      </c>
      <c r="AL31" s="9" t="str">
        <f t="shared" ref="AL31:AL54" si="36">IF(AL5&lt;10,CONCATENATE("0",AL5),AL5)</f>
        <v>07</v>
      </c>
      <c r="AM31" s="1" t="str">
        <f t="shared" ref="AM31:AM54" si="37">IF(AM5&lt;10,IF(AM5=0,CONCATENATE("00",AM5),CONCATENATE("0",AM5,"0")),CONCATENATE(AM5,"0"))</f>
        <v>040</v>
      </c>
      <c r="AN31" s="9" t="str">
        <f t="shared" ref="AN31:AN54" si="38">IF(AN5&lt;10,CONCATENATE("0",AN5),AN5)</f>
        <v>04</v>
      </c>
      <c r="AO31" s="1" t="str">
        <f t="shared" ref="AO31:AO54" si="39">IF(AO5&lt;10,IF(AO5=0,CONCATENATE("00",AO5),CONCATENATE("0",AO5,"0")),CONCATENATE(AO5,"0"))</f>
        <v>170</v>
      </c>
      <c r="AP31" s="9" t="str">
        <f t="shared" ref="AP31:AP54" si="40">IF(AP5&lt;10,CONCATENATE("0",AP5),AP5)</f>
        <v>02</v>
      </c>
      <c r="AQ31" s="1" t="str">
        <f t="shared" ref="AQ31:AQ54" si="41">IF(AQ5&lt;10,IF(AQ5=0,CONCATENATE("00",AQ5),CONCATENATE("0",AQ5,"0")),CONCATENATE(AQ5,"0"))</f>
        <v>170</v>
      </c>
      <c r="AR31" s="9" t="str">
        <f t="shared" ref="AR31:AR54" si="42">IF(AR5&lt;10,CONCATENATE("0",AR5),AR5)</f>
        <v>03</v>
      </c>
      <c r="AS31" s="1" t="str">
        <f t="shared" ref="AS31:AS54" si="43">IF(AS5&lt;10,IF(AS5=0,CONCATENATE("00",AS5),CONCATENATE("0",AS5,"0")),CONCATENATE(AS5,"0"))</f>
        <v>330</v>
      </c>
      <c r="AT31" s="9" t="str">
        <f t="shared" ref="AT31:AT54" si="44">IF(AT5&lt;10,CONCATENATE("0",AT5),AT5)</f>
        <v>06</v>
      </c>
      <c r="AU31" s="1" t="str">
        <f t="shared" ref="AU31:AU54" si="45">IF(AU5&lt;10,IF(AU5=0,CONCATENATE("00",AU5),CONCATENATE("0",AU5,"0")),CONCATENATE(AU5,"0"))</f>
        <v>330</v>
      </c>
      <c r="AV31" s="9" t="str">
        <f t="shared" ref="AV31:AV54" si="46">IF(AV5&lt;10,CONCATENATE("0",AV5),AV5)</f>
        <v>06</v>
      </c>
      <c r="AW31" s="1" t="str">
        <f t="shared" ref="AW31:AW54" si="47">IF(AW5&lt;10,IF(AW5=0,CONCATENATE("00",AW5),CONCATENATE("0",AW5,"0")),CONCATENATE(AW5,"0"))</f>
        <v>330</v>
      </c>
      <c r="AX31" s="9" t="str">
        <f t="shared" ref="AX31:AX54" si="48">IF(AX5&lt;10,CONCATENATE("0",AX5),AX5)</f>
        <v>04</v>
      </c>
      <c r="AY31" s="1" t="str">
        <f t="shared" ref="AY31:AY54" si="49">IF(AY5&lt;10,IF(AY5=0,CONCATENATE("00",AY5),CONCATENATE("0",AY5,"0")),CONCATENATE(AY5,"0"))</f>
        <v>350</v>
      </c>
      <c r="AZ31" s="9" t="str">
        <f t="shared" ref="AZ31:AZ54" si="50">IF(AZ5&lt;10,CONCATENATE("0",AZ5),AZ5)</f>
        <v>05</v>
      </c>
      <c r="BA31" s="1" t="str">
        <f t="shared" ref="BA31:BA54" si="51">IF(BA5&lt;10,IF(BA5=0,CONCATENATE("00",BA5),CONCATENATE("0",BA5,"0")),CONCATENATE(BA5,"0"))</f>
        <v>330</v>
      </c>
      <c r="BB31" s="9" t="str">
        <f t="shared" ref="BB31:BB54" si="52">IF(BB5&lt;10,CONCATENATE("0",BB5),BB5)</f>
        <v>04</v>
      </c>
      <c r="BC31" s="1" t="str">
        <f t="shared" ref="BC31:BC54" si="53">IF(BC5&lt;10,IF(BC5=0,CONCATENATE("00",BC5),CONCATENATE("0",BC5,"0")),CONCATENATE(BC5,"0"))</f>
        <v>090</v>
      </c>
      <c r="BD31" s="9" t="str">
        <f t="shared" ref="BD31:BD54" si="54">IF(BD5&lt;10,CONCATENATE("0",BD5),BD5)</f>
        <v>04</v>
      </c>
      <c r="BE31" s="1" t="str">
        <f t="shared" ref="BE31:BE54" si="55">IF(BE5&lt;10,IF(BE5=0,CONCATENATE("00",BE5),CONCATENATE("0",BE5,"0")),CONCATENATE(BE5,"0"))</f>
        <v>320</v>
      </c>
      <c r="BF31" s="9" t="str">
        <f t="shared" ref="BF31:BF54" si="56">IF(BF5&lt;10,CONCATENATE("0",BF5),BF5)</f>
        <v>06</v>
      </c>
      <c r="BG31" s="1" t="str">
        <f t="shared" ref="BG31:BG54" si="57">IF(BG5&lt;10,IF(BG5=0,CONCATENATE("00",BG5),CONCATENATE("0",BG5,"0")),CONCATENATE(BG5,"0"))</f>
        <v>270</v>
      </c>
      <c r="BH31" s="9" t="str">
        <f t="shared" ref="BH31:BH54" si="58">IF(BH5&lt;10,CONCATENATE("0",BH5),BH5)</f>
        <v>06</v>
      </c>
      <c r="BI31" s="1" t="str">
        <f t="shared" ref="BI31:BI54" si="59">IF(BI5&lt;10,IF(BI5=0,CONCATENATE("00",BI5),CONCATENATE("0",BI5,"0")),CONCATENATE(BI5,"0"))</f>
        <v>280</v>
      </c>
      <c r="BJ31" s="9" t="str">
        <f t="shared" ref="BJ31:BJ54" si="60">IF(BJ5&lt;10,CONCATENATE("0",BJ5),BJ5)</f>
        <v>05</v>
      </c>
      <c r="BK31" s="1" t="str">
        <f t="shared" ref="BK31:BK54" si="61">IF(BK5&lt;10,IF(BK5=0,CONCATENATE("00",BK5),CONCATENATE("0",BK5,"0")),CONCATENATE(BK5,"0"))</f>
        <v>050</v>
      </c>
      <c r="BL31" s="9" t="str">
        <f t="shared" ref="BL31:BL54" si="62">IF(BL5&lt;10,CONCATENATE("0",BL5),BL5)</f>
        <v>04</v>
      </c>
      <c r="BM31" s="1" t="str">
        <f t="shared" ref="BM31:BM54" si="63">IF(BM5&lt;10,IF(BM5=0,CONCATENATE("00",BM5),CONCATENATE("0",BM5,"0")),CONCATENATE(BM5,"0"))</f>
        <v>250</v>
      </c>
      <c r="BN31" s="9">
        <f t="shared" ref="BN31:BN54" si="64">IF(BN5&lt;10,CONCATENATE("0",BN5),BN5)</f>
        <v>14</v>
      </c>
      <c r="BO31" s="1" t="str">
        <f t="shared" ref="BO31:BO54" si="65">IF(BO5&lt;10,IF(BO5=0,CONCATENATE("00",BO5),CONCATENATE("0",BO5,"0")),CONCATENATE(BO5,"0"))</f>
        <v>310</v>
      </c>
      <c r="BP31" s="9" t="str">
        <f t="shared" ref="BP31:BP54" si="66">IF(BP5&lt;10,CONCATENATE("0",BP5),BP5)</f>
        <v>06</v>
      </c>
      <c r="BQ31" s="1" t="str">
        <f t="shared" ref="BQ31:BQ54" si="67">IF(BQ5&lt;10,IF(BQ5=0,CONCATENATE("00",BQ5),CONCATENATE("0",BQ5,"0")),CONCATENATE(BQ5,"0"))</f>
        <v>290</v>
      </c>
      <c r="BR31" s="9">
        <f t="shared" ref="BR31:BR54" si="68">IF(BR5&lt;10,CONCATENATE("0",BR5),BR5)</f>
        <v>11</v>
      </c>
      <c r="BS31" s="1" t="str">
        <f t="shared" ref="BS31:BS54" si="69">IF(BS5&lt;10,IF(BS5=0,CONCATENATE("00",BS5),CONCATENATE("0",BS5,"0")),CONCATENATE(BS5,"0"))</f>
        <v>300</v>
      </c>
      <c r="BT31" s="9" t="str">
        <f t="shared" ref="BT31:BT54" si="70">IF(BT5&lt;10,CONCATENATE("0",BT5),BT5)</f>
        <v>08</v>
      </c>
      <c r="BU31" s="1" t="str">
        <f t="shared" ref="BU31:BU54" si="71">IF(BU5&lt;10,IF(BU5=0,CONCATENATE("00",BU5),CONCATENATE("0",BU5,"0")),CONCATENATE(BU5,"0"))</f>
        <v>070</v>
      </c>
      <c r="BV31" s="9" t="str">
        <f t="shared" ref="BV31:BV54" si="72">IF(BV5&lt;10,CONCATENATE("0",BV5),BV5)</f>
        <v>03</v>
      </c>
      <c r="BW31" s="1" t="str">
        <f t="shared" ref="BW31:BW54" si="73">IF(BW5&lt;10,IF(BW5=0,CONCATENATE("00",BW5),CONCATENATE("0",BW5,"0")),CONCATENATE(BW5,"0"))</f>
        <v>260</v>
      </c>
      <c r="BX31" s="9">
        <f t="shared" ref="BX31:BX54" si="74">IF(BX5&lt;10,CONCATENATE("0",BX5),BX5)</f>
        <v>11</v>
      </c>
      <c r="BY31" s="1" t="str">
        <f t="shared" ref="BY31:BY54" si="75">IF(BY5&lt;10,IF(BY5=0,CONCATENATE("00",BY5),CONCATENATE("0",BY5,"0")),CONCATENATE(BY5,"0"))</f>
        <v>100</v>
      </c>
      <c r="BZ31" s="9" t="str">
        <f t="shared" ref="BZ31:BZ54" si="76">IF(BZ5&lt;10,CONCATENATE("0",BZ5),BZ5)</f>
        <v>02</v>
      </c>
      <c r="CA31" s="1" t="str">
        <f t="shared" ref="CA31:CA54" si="77">IF(CA5&lt;10,IF(CA5=0,CONCATENATE("00",CA5),CONCATENATE("0",CA5,"0")),CONCATENATE(CA5,"0"))</f>
        <v>020</v>
      </c>
      <c r="CB31" s="9" t="str">
        <f t="shared" ref="CB31:CB54" si="78">IF(CB5&lt;10,CONCATENATE("0",CB5),CB5)</f>
        <v>03</v>
      </c>
      <c r="CC31" s="1" t="str">
        <f t="shared" ref="CC31:CC54" si="79">IF(CC5&lt;10,IF(CC5=0,CONCATENATE("00",CC5),CONCATENATE("0",CC5,"0")),CONCATENATE(CC5,"0"))</f>
        <v>240</v>
      </c>
      <c r="CD31" s="9" t="str">
        <f t="shared" ref="CD31:CD54" si="80">IF(CD5&lt;10,CONCATENATE("0",CD5),CD5)</f>
        <v>01</v>
      </c>
      <c r="CE31" s="1" t="str">
        <f t="shared" ref="CE31:CE54" si="81">IF(CE5&lt;10,IF(CE5=0,CONCATENATE("00",CE5),CONCATENATE("0",CE5,"0")),CONCATENATE(CE5,"0"))</f>
        <v>000</v>
      </c>
      <c r="CF31" s="9" t="str">
        <f t="shared" ref="CF31:CF54" si="82">IF(CF5&lt;10,CONCATENATE("0",CF5),CF5)</f>
        <v>00</v>
      </c>
      <c r="CG31" s="1" t="str">
        <f t="shared" ref="CG31:CG54" si="83">IF(CG5&lt;10,IF(CG5=0,CONCATENATE("00",CG5),CONCATENATE("0",CG5,"0")),CONCATENATE(CG5,"0"))</f>
        <v>210</v>
      </c>
      <c r="CH31" s="9" t="str">
        <f t="shared" ref="CH31:CH54" si="84">IF(CH5&lt;10,CONCATENATE("0",CH5),CH5)</f>
        <v>03</v>
      </c>
      <c r="CI31" s="1" t="str">
        <f t="shared" ref="CI31:CI54" si="85">IF(CI5&lt;10,IF(CI5=0,CONCATENATE("00",CI5),CONCATENATE("0",CI5,"0")),CONCATENATE(CI5,"0"))</f>
        <v>360</v>
      </c>
      <c r="CJ31" s="9" t="str">
        <f t="shared" ref="CJ31:CJ54" si="86">IF(CJ5&lt;10,CONCATENATE("0",CJ5),CJ5)</f>
        <v>02</v>
      </c>
      <c r="CK31" s="1" t="str">
        <f t="shared" ref="CK31:CK54" si="87">IF(CK5&lt;10,IF(CK5=0,CONCATENATE("00",CK5),CONCATENATE("0",CK5,"0")),CONCATENATE(CK5,"0"))</f>
        <v>220</v>
      </c>
      <c r="CL31" s="9" t="str">
        <f t="shared" ref="CL31:CL54" si="88">IF(CL5&lt;10,CONCATENATE("0",CL5),CL5)</f>
        <v>01</v>
      </c>
      <c r="CM31" s="9"/>
    </row>
    <row r="32" spans="1:123" ht="12.75" customHeight="1" x14ac:dyDescent="0.25">
      <c r="A32" s="8"/>
      <c r="B32" s="15" t="s">
        <v>53</v>
      </c>
      <c r="C32" s="20">
        <v>4</v>
      </c>
      <c r="D32" s="20">
        <v>3</v>
      </c>
      <c r="E32" s="20">
        <v>1</v>
      </c>
      <c r="F32" s="20">
        <v>7</v>
      </c>
      <c r="G32" s="20">
        <v>6</v>
      </c>
      <c r="H32" s="20">
        <v>3</v>
      </c>
      <c r="I32" s="20">
        <v>5</v>
      </c>
      <c r="J32" s="20">
        <v>3</v>
      </c>
      <c r="K32" s="20">
        <v>4</v>
      </c>
      <c r="L32" s="20">
        <v>5</v>
      </c>
      <c r="M32" s="20">
        <v>1</v>
      </c>
      <c r="N32" s="20">
        <v>1</v>
      </c>
      <c r="O32" s="20">
        <v>2</v>
      </c>
      <c r="P32" s="20">
        <v>3</v>
      </c>
      <c r="Q32" s="20">
        <v>3</v>
      </c>
      <c r="R32" s="20">
        <v>2</v>
      </c>
      <c r="S32" s="20">
        <v>2</v>
      </c>
      <c r="T32" s="20">
        <v>3</v>
      </c>
      <c r="U32" s="20">
        <v>2</v>
      </c>
      <c r="V32" s="20">
        <v>2</v>
      </c>
      <c r="W32" s="20">
        <v>3</v>
      </c>
      <c r="X32" s="20">
        <v>2</v>
      </c>
      <c r="Y32" s="20">
        <v>0</v>
      </c>
      <c r="Z32" s="20">
        <v>2</v>
      </c>
      <c r="AB32" s="7" t="s">
        <v>1</v>
      </c>
      <c r="AC32" s="1" t="str">
        <f t="shared" si="27"/>
        <v>360</v>
      </c>
      <c r="AD32" s="9" t="str">
        <f t="shared" si="28"/>
        <v>02</v>
      </c>
      <c r="AE32" s="1" t="str">
        <f t="shared" si="29"/>
        <v>320</v>
      </c>
      <c r="AF32" s="9" t="str">
        <f t="shared" si="30"/>
        <v>05</v>
      </c>
      <c r="AG32" s="1" t="str">
        <f t="shared" si="31"/>
        <v>080</v>
      </c>
      <c r="AH32" s="9" t="str">
        <f t="shared" si="32"/>
        <v>04</v>
      </c>
      <c r="AI32" s="1" t="str">
        <f t="shared" si="33"/>
        <v>070</v>
      </c>
      <c r="AJ32" s="9" t="str">
        <f t="shared" si="34"/>
        <v>02</v>
      </c>
      <c r="AK32" s="1" t="str">
        <f t="shared" si="35"/>
        <v>060</v>
      </c>
      <c r="AL32" s="9" t="str">
        <f t="shared" si="36"/>
        <v>06</v>
      </c>
      <c r="AM32" s="1" t="str">
        <f t="shared" si="37"/>
        <v>010</v>
      </c>
      <c r="AN32" s="9" t="str">
        <f t="shared" si="38"/>
        <v>03</v>
      </c>
      <c r="AO32" s="1" t="str">
        <f t="shared" si="39"/>
        <v>110</v>
      </c>
      <c r="AP32" s="9" t="str">
        <f t="shared" si="40"/>
        <v>03</v>
      </c>
      <c r="AQ32" s="1" t="str">
        <f t="shared" si="41"/>
        <v>260</v>
      </c>
      <c r="AR32" s="9" t="str">
        <f t="shared" si="42"/>
        <v>04</v>
      </c>
      <c r="AS32" s="1" t="str">
        <f t="shared" si="43"/>
        <v>340</v>
      </c>
      <c r="AT32" s="9" t="str">
        <f t="shared" si="44"/>
        <v>04</v>
      </c>
      <c r="AU32" s="1" t="str">
        <f t="shared" si="45"/>
        <v>340</v>
      </c>
      <c r="AV32" s="9" t="str">
        <f t="shared" si="46"/>
        <v>08</v>
      </c>
      <c r="AW32" s="1" t="str">
        <f t="shared" si="47"/>
        <v>310</v>
      </c>
      <c r="AX32" s="9" t="str">
        <f t="shared" si="48"/>
        <v>04</v>
      </c>
      <c r="AY32" s="1" t="str">
        <f t="shared" si="49"/>
        <v>320</v>
      </c>
      <c r="AZ32" s="9" t="str">
        <f t="shared" si="50"/>
        <v>08</v>
      </c>
      <c r="BA32" s="1" t="str">
        <f t="shared" si="51"/>
        <v>320</v>
      </c>
      <c r="BB32" s="9" t="str">
        <f t="shared" si="52"/>
        <v>03</v>
      </c>
      <c r="BC32" s="1" t="str">
        <f t="shared" si="53"/>
        <v>360</v>
      </c>
      <c r="BD32" s="9" t="str">
        <f t="shared" si="54"/>
        <v>03</v>
      </c>
      <c r="BE32" s="1" t="str">
        <f t="shared" si="55"/>
        <v>240</v>
      </c>
      <c r="BF32" s="9" t="str">
        <f t="shared" si="56"/>
        <v>07</v>
      </c>
      <c r="BG32" s="1" t="str">
        <f t="shared" si="57"/>
        <v>270</v>
      </c>
      <c r="BH32" s="9" t="str">
        <f t="shared" si="58"/>
        <v>07</v>
      </c>
      <c r="BI32" s="1" t="str">
        <f t="shared" si="59"/>
        <v>270</v>
      </c>
      <c r="BJ32" s="9" t="str">
        <f t="shared" si="60"/>
        <v>06</v>
      </c>
      <c r="BK32" s="1" t="str">
        <f t="shared" si="61"/>
        <v>060</v>
      </c>
      <c r="BL32" s="9" t="str">
        <f t="shared" si="62"/>
        <v>09</v>
      </c>
      <c r="BM32" s="1" t="str">
        <f t="shared" si="63"/>
        <v>270</v>
      </c>
      <c r="BN32" s="1">
        <f t="shared" si="64"/>
        <v>16</v>
      </c>
      <c r="BO32" s="1" t="str">
        <f t="shared" si="65"/>
        <v>300</v>
      </c>
      <c r="BP32" s="9" t="str">
        <f t="shared" si="66"/>
        <v>08</v>
      </c>
      <c r="BQ32" s="1" t="str">
        <f t="shared" si="67"/>
        <v>300</v>
      </c>
      <c r="BR32" s="1">
        <f t="shared" si="68"/>
        <v>12</v>
      </c>
      <c r="BS32" s="1" t="str">
        <f t="shared" si="69"/>
        <v>310</v>
      </c>
      <c r="BT32" s="9" t="str">
        <f t="shared" si="70"/>
        <v>06</v>
      </c>
      <c r="BU32" s="1" t="str">
        <f t="shared" si="71"/>
        <v>330</v>
      </c>
      <c r="BV32" s="9" t="str">
        <f t="shared" si="72"/>
        <v>02</v>
      </c>
      <c r="BW32" s="1" t="str">
        <f t="shared" si="73"/>
        <v>210</v>
      </c>
      <c r="BX32" s="9" t="str">
        <f t="shared" si="74"/>
        <v>07</v>
      </c>
      <c r="BY32" s="1" t="str">
        <f t="shared" si="75"/>
        <v>210</v>
      </c>
      <c r="BZ32" s="9" t="str">
        <f t="shared" si="76"/>
        <v>02</v>
      </c>
      <c r="CA32" s="1" t="str">
        <f t="shared" si="77"/>
        <v>350</v>
      </c>
      <c r="CB32" s="9" t="str">
        <f t="shared" si="78"/>
        <v>05</v>
      </c>
      <c r="CC32" s="1" t="str">
        <f t="shared" si="79"/>
        <v>330</v>
      </c>
      <c r="CD32" s="9" t="str">
        <f t="shared" si="80"/>
        <v>04</v>
      </c>
      <c r="CE32" s="1" t="str">
        <f t="shared" si="81"/>
        <v>270</v>
      </c>
      <c r="CF32" s="9" t="str">
        <f t="shared" si="82"/>
        <v>04</v>
      </c>
      <c r="CG32" s="1" t="str">
        <f t="shared" si="83"/>
        <v>250</v>
      </c>
      <c r="CH32" s="9" t="str">
        <f t="shared" si="84"/>
        <v>04</v>
      </c>
      <c r="CI32" s="1" t="str">
        <f t="shared" si="85"/>
        <v>320</v>
      </c>
      <c r="CJ32" s="9" t="str">
        <f t="shared" si="86"/>
        <v>05</v>
      </c>
      <c r="CK32" s="1" t="str">
        <f t="shared" si="87"/>
        <v>250</v>
      </c>
      <c r="CL32" s="9" t="str">
        <f t="shared" si="88"/>
        <v>05</v>
      </c>
      <c r="CM32" s="9"/>
    </row>
    <row r="33" spans="1:91" ht="12.75" customHeight="1" x14ac:dyDescent="0.25">
      <c r="A33" s="8">
        <v>15</v>
      </c>
      <c r="B33" s="14" t="s">
        <v>52</v>
      </c>
      <c r="C33" s="18" t="s">
        <v>68</v>
      </c>
      <c r="D33" s="18" t="s">
        <v>24</v>
      </c>
      <c r="E33" s="18" t="s">
        <v>25</v>
      </c>
      <c r="F33" s="18" t="s">
        <v>30</v>
      </c>
      <c r="G33" s="18" t="s">
        <v>68</v>
      </c>
      <c r="H33" s="18" t="s">
        <v>30</v>
      </c>
      <c r="I33" s="18" t="s">
        <v>31</v>
      </c>
      <c r="J33" s="18" t="s">
        <v>30</v>
      </c>
      <c r="K33" s="18" t="s">
        <v>31</v>
      </c>
      <c r="L33" s="18" t="s">
        <v>30</v>
      </c>
      <c r="M33" s="18" t="s">
        <v>30</v>
      </c>
      <c r="N33" s="18" t="s">
        <v>31</v>
      </c>
      <c r="O33" s="18" t="s">
        <v>18</v>
      </c>
      <c r="P33" s="18" t="s">
        <v>26</v>
      </c>
      <c r="Q33" s="18" t="s">
        <v>23</v>
      </c>
      <c r="R33" s="18" t="s">
        <v>25</v>
      </c>
      <c r="S33" s="18" t="s">
        <v>26</v>
      </c>
      <c r="T33" s="18" t="s">
        <v>26</v>
      </c>
      <c r="U33" s="18" t="s">
        <v>22</v>
      </c>
      <c r="V33" s="18" t="s">
        <v>28</v>
      </c>
      <c r="W33" s="18" t="s">
        <v>59</v>
      </c>
      <c r="X33" s="18" t="s">
        <v>31</v>
      </c>
      <c r="Y33" s="18" t="s">
        <v>27</v>
      </c>
      <c r="Z33" s="18" t="s">
        <v>20</v>
      </c>
      <c r="AB33" s="7" t="s">
        <v>2</v>
      </c>
      <c r="AC33" s="1" t="str">
        <f t="shared" si="27"/>
        <v>310</v>
      </c>
      <c r="AD33" s="9">
        <f t="shared" si="28"/>
        <v>10</v>
      </c>
      <c r="AE33" s="1" t="str">
        <f t="shared" si="29"/>
        <v>280</v>
      </c>
      <c r="AF33" s="9" t="str">
        <f t="shared" si="30"/>
        <v>08</v>
      </c>
      <c r="AG33" s="1" t="str">
        <f t="shared" si="31"/>
        <v>070</v>
      </c>
      <c r="AH33" s="9" t="str">
        <f t="shared" si="32"/>
        <v>05</v>
      </c>
      <c r="AI33" s="1" t="str">
        <f t="shared" si="33"/>
        <v>080</v>
      </c>
      <c r="AJ33" s="9" t="str">
        <f t="shared" si="34"/>
        <v>04</v>
      </c>
      <c r="AK33" s="1" t="str">
        <f t="shared" si="35"/>
        <v>060</v>
      </c>
      <c r="AL33" s="9" t="str">
        <f t="shared" si="36"/>
        <v>04</v>
      </c>
      <c r="AM33" s="1" t="str">
        <f t="shared" si="37"/>
        <v>360</v>
      </c>
      <c r="AN33" s="9" t="str">
        <f t="shared" si="38"/>
        <v>03</v>
      </c>
      <c r="AO33" s="1" t="str">
        <f t="shared" si="39"/>
        <v>340</v>
      </c>
      <c r="AP33" s="9" t="str">
        <f t="shared" si="40"/>
        <v>06</v>
      </c>
      <c r="AQ33" s="1" t="str">
        <f t="shared" si="41"/>
        <v>280</v>
      </c>
      <c r="AR33" s="9" t="str">
        <f t="shared" si="42"/>
        <v>07</v>
      </c>
      <c r="AS33" s="1" t="str">
        <f t="shared" si="43"/>
        <v>360</v>
      </c>
      <c r="AT33" s="9" t="str">
        <f t="shared" si="44"/>
        <v>05</v>
      </c>
      <c r="AU33" s="1" t="str">
        <f t="shared" si="45"/>
        <v>320</v>
      </c>
      <c r="AV33" s="9">
        <f t="shared" si="46"/>
        <v>12</v>
      </c>
      <c r="AW33" s="1" t="str">
        <f t="shared" si="47"/>
        <v>310</v>
      </c>
      <c r="AX33" s="9" t="str">
        <f t="shared" si="48"/>
        <v>07</v>
      </c>
      <c r="AY33" s="1" t="str">
        <f t="shared" si="49"/>
        <v>340</v>
      </c>
      <c r="AZ33" s="9" t="str">
        <f t="shared" si="50"/>
        <v>08</v>
      </c>
      <c r="BA33" s="1" t="str">
        <f t="shared" si="51"/>
        <v>320</v>
      </c>
      <c r="BB33" s="9" t="str">
        <f t="shared" si="52"/>
        <v>04</v>
      </c>
      <c r="BC33" s="1" t="str">
        <f t="shared" si="53"/>
        <v>050</v>
      </c>
      <c r="BD33" s="9" t="str">
        <f t="shared" si="54"/>
        <v>01</v>
      </c>
      <c r="BE33" s="1" t="str">
        <f t="shared" si="55"/>
        <v>250</v>
      </c>
      <c r="BF33" s="9" t="str">
        <f t="shared" si="56"/>
        <v>06</v>
      </c>
      <c r="BG33" s="1" t="str">
        <f t="shared" si="57"/>
        <v>240</v>
      </c>
      <c r="BH33" s="9" t="str">
        <f t="shared" si="58"/>
        <v>05</v>
      </c>
      <c r="BI33" s="1" t="str">
        <f t="shared" si="59"/>
        <v>290</v>
      </c>
      <c r="BJ33" s="9" t="str">
        <f t="shared" si="60"/>
        <v>07</v>
      </c>
      <c r="BK33" s="1" t="str">
        <f t="shared" si="61"/>
        <v>080</v>
      </c>
      <c r="BL33" s="9" t="str">
        <f t="shared" si="62"/>
        <v>05</v>
      </c>
      <c r="BM33" s="1" t="str">
        <f t="shared" si="63"/>
        <v>280</v>
      </c>
      <c r="BN33" s="9">
        <f t="shared" si="64"/>
        <v>12</v>
      </c>
      <c r="BO33" s="1" t="str">
        <f t="shared" si="65"/>
        <v>310</v>
      </c>
      <c r="BP33" s="9" t="str">
        <f t="shared" si="66"/>
        <v>07</v>
      </c>
      <c r="BQ33" s="1" t="str">
        <f t="shared" si="67"/>
        <v>300</v>
      </c>
      <c r="BR33" s="9">
        <f t="shared" si="68"/>
        <v>13</v>
      </c>
      <c r="BS33" s="1" t="str">
        <f t="shared" si="69"/>
        <v>240</v>
      </c>
      <c r="BT33" s="9" t="str">
        <f t="shared" si="70"/>
        <v>05</v>
      </c>
      <c r="BU33" s="1" t="str">
        <f t="shared" si="71"/>
        <v>070</v>
      </c>
      <c r="BV33" s="9" t="str">
        <f t="shared" si="72"/>
        <v>02</v>
      </c>
      <c r="BW33" s="1" t="str">
        <f t="shared" si="73"/>
        <v>280</v>
      </c>
      <c r="BX33" s="9" t="str">
        <f t="shared" si="74"/>
        <v>06</v>
      </c>
      <c r="BY33" s="1" t="str">
        <f t="shared" si="75"/>
        <v>320</v>
      </c>
      <c r="BZ33" s="9" t="str">
        <f t="shared" si="76"/>
        <v>04</v>
      </c>
      <c r="CA33" s="1" t="str">
        <f t="shared" si="77"/>
        <v>330</v>
      </c>
      <c r="CB33" s="9" t="str">
        <f t="shared" si="78"/>
        <v>08</v>
      </c>
      <c r="CC33" s="1" t="str">
        <f t="shared" si="79"/>
        <v>320</v>
      </c>
      <c r="CD33" s="9" t="str">
        <f t="shared" si="80"/>
        <v>06</v>
      </c>
      <c r="CE33" s="1" t="str">
        <f t="shared" si="81"/>
        <v>290</v>
      </c>
      <c r="CF33" s="9" t="str">
        <f t="shared" si="82"/>
        <v>08</v>
      </c>
      <c r="CG33" s="1" t="str">
        <f t="shared" si="83"/>
        <v>310</v>
      </c>
      <c r="CH33" s="9" t="str">
        <f t="shared" si="84"/>
        <v>07</v>
      </c>
      <c r="CI33" s="1" t="str">
        <f t="shared" si="85"/>
        <v>300</v>
      </c>
      <c r="CJ33" s="9" t="str">
        <f t="shared" si="86"/>
        <v>07</v>
      </c>
      <c r="CK33" s="1" t="str">
        <f t="shared" si="87"/>
        <v>340</v>
      </c>
      <c r="CL33" s="9" t="str">
        <f t="shared" si="88"/>
        <v>08</v>
      </c>
      <c r="CM33" s="9"/>
    </row>
    <row r="34" spans="1:91" ht="12.75" customHeight="1" x14ac:dyDescent="0.25">
      <c r="A34" s="8"/>
      <c r="B34" s="15" t="s">
        <v>53</v>
      </c>
      <c r="C34" s="20">
        <v>6</v>
      </c>
      <c r="D34" s="20">
        <v>7</v>
      </c>
      <c r="E34" s="20">
        <v>6</v>
      </c>
      <c r="F34" s="20">
        <v>6</v>
      </c>
      <c r="G34" s="20">
        <v>7</v>
      </c>
      <c r="H34" s="20">
        <v>6</v>
      </c>
      <c r="I34" s="20">
        <v>8</v>
      </c>
      <c r="J34" s="20">
        <v>7</v>
      </c>
      <c r="K34" s="20">
        <v>7</v>
      </c>
      <c r="L34" s="20">
        <v>7</v>
      </c>
      <c r="M34" s="20">
        <v>4</v>
      </c>
      <c r="N34" s="20">
        <v>9</v>
      </c>
      <c r="O34" s="20">
        <v>3</v>
      </c>
      <c r="P34" s="20">
        <v>4</v>
      </c>
      <c r="Q34" s="20">
        <v>4</v>
      </c>
      <c r="R34" s="20">
        <v>2</v>
      </c>
      <c r="S34" s="20">
        <v>2</v>
      </c>
      <c r="T34" s="20">
        <v>3</v>
      </c>
      <c r="U34" s="20">
        <v>2</v>
      </c>
      <c r="V34" s="20">
        <v>2</v>
      </c>
      <c r="W34" s="20">
        <v>2</v>
      </c>
      <c r="X34" s="20">
        <v>3</v>
      </c>
      <c r="Y34" s="20">
        <v>2</v>
      </c>
      <c r="Z34" s="20">
        <v>1</v>
      </c>
      <c r="AB34" s="7" t="s">
        <v>3</v>
      </c>
      <c r="AC34" s="1" t="str">
        <f t="shared" si="27"/>
        <v>270</v>
      </c>
      <c r="AD34" s="9" t="str">
        <f t="shared" si="28"/>
        <v>06</v>
      </c>
      <c r="AE34" s="1" t="str">
        <f t="shared" si="29"/>
        <v>270</v>
      </c>
      <c r="AF34" s="9" t="str">
        <f t="shared" si="30"/>
        <v>09</v>
      </c>
      <c r="AG34" s="1" t="str">
        <f t="shared" si="31"/>
        <v>330</v>
      </c>
      <c r="AH34" s="9" t="str">
        <f t="shared" si="32"/>
        <v>06</v>
      </c>
      <c r="AI34" s="1" t="str">
        <f t="shared" si="33"/>
        <v>350</v>
      </c>
      <c r="AJ34" s="9" t="str">
        <f t="shared" si="34"/>
        <v>04</v>
      </c>
      <c r="AK34" s="1" t="str">
        <f t="shared" si="35"/>
        <v>330</v>
      </c>
      <c r="AL34" s="9" t="str">
        <f t="shared" si="36"/>
        <v>09</v>
      </c>
      <c r="AM34" s="1" t="str">
        <f t="shared" si="37"/>
        <v>290</v>
      </c>
      <c r="AN34" s="9" t="str">
        <f t="shared" si="38"/>
        <v>03</v>
      </c>
      <c r="AO34" s="1" t="str">
        <f t="shared" si="39"/>
        <v>310</v>
      </c>
      <c r="AP34" s="9" t="str">
        <f t="shared" si="40"/>
        <v>06</v>
      </c>
      <c r="AQ34" s="1" t="str">
        <f t="shared" si="41"/>
        <v>330</v>
      </c>
      <c r="AR34" s="9">
        <f t="shared" si="42"/>
        <v>13</v>
      </c>
      <c r="AS34" s="1" t="str">
        <f t="shared" si="43"/>
        <v>330</v>
      </c>
      <c r="AT34" s="9" t="str">
        <f t="shared" si="44"/>
        <v>08</v>
      </c>
      <c r="AU34" s="1" t="str">
        <f t="shared" si="45"/>
        <v>340</v>
      </c>
      <c r="AV34" s="9">
        <f t="shared" si="46"/>
        <v>11</v>
      </c>
      <c r="AW34" s="1" t="str">
        <f t="shared" si="47"/>
        <v>310</v>
      </c>
      <c r="AX34" s="9" t="str">
        <f t="shared" si="48"/>
        <v>09</v>
      </c>
      <c r="AY34" s="1" t="str">
        <f t="shared" si="49"/>
        <v>310</v>
      </c>
      <c r="AZ34" s="9">
        <f t="shared" si="50"/>
        <v>11</v>
      </c>
      <c r="BA34" s="1" t="str">
        <f t="shared" si="51"/>
        <v>280</v>
      </c>
      <c r="BB34" s="9" t="str">
        <f t="shared" si="52"/>
        <v>07</v>
      </c>
      <c r="BC34" s="1" t="str">
        <f t="shared" si="53"/>
        <v>300</v>
      </c>
      <c r="BD34" s="9" t="str">
        <f t="shared" si="54"/>
        <v>06</v>
      </c>
      <c r="BE34" s="1" t="str">
        <f t="shared" si="55"/>
        <v>320</v>
      </c>
      <c r="BF34" s="9" t="str">
        <f t="shared" si="56"/>
        <v>07</v>
      </c>
      <c r="BG34" s="1" t="str">
        <f t="shared" si="57"/>
        <v>300</v>
      </c>
      <c r="BH34" s="9" t="str">
        <f t="shared" si="58"/>
        <v>09</v>
      </c>
      <c r="BI34" s="1" t="str">
        <f t="shared" si="59"/>
        <v>290</v>
      </c>
      <c r="BJ34" s="9" t="str">
        <f t="shared" si="60"/>
        <v>08</v>
      </c>
      <c r="BK34" s="1" t="str">
        <f t="shared" si="61"/>
        <v>070</v>
      </c>
      <c r="BL34" s="9" t="str">
        <f t="shared" si="62"/>
        <v>06</v>
      </c>
      <c r="BM34" s="1" t="str">
        <f t="shared" si="63"/>
        <v>300</v>
      </c>
      <c r="BN34" s="9">
        <f t="shared" si="64"/>
        <v>17</v>
      </c>
      <c r="BO34" s="1" t="str">
        <f t="shared" si="65"/>
        <v>310</v>
      </c>
      <c r="BP34" s="9">
        <f t="shared" si="66"/>
        <v>10</v>
      </c>
      <c r="BQ34" s="1" t="str">
        <f t="shared" si="67"/>
        <v>280</v>
      </c>
      <c r="BR34" s="9">
        <f t="shared" si="68"/>
        <v>15</v>
      </c>
      <c r="BS34" s="1" t="str">
        <f t="shared" si="69"/>
        <v>270</v>
      </c>
      <c r="BT34" s="9" t="str">
        <f t="shared" si="70"/>
        <v>06</v>
      </c>
      <c r="BU34" s="1" t="str">
        <f t="shared" si="71"/>
        <v>330</v>
      </c>
      <c r="BV34" s="9" t="str">
        <f t="shared" si="72"/>
        <v>04</v>
      </c>
      <c r="BW34" s="1" t="str">
        <f t="shared" si="73"/>
        <v>350</v>
      </c>
      <c r="BX34" s="9" t="str">
        <f t="shared" si="74"/>
        <v>03</v>
      </c>
      <c r="BY34" s="1" t="str">
        <f t="shared" si="75"/>
        <v>300</v>
      </c>
      <c r="BZ34" s="9" t="str">
        <f t="shared" si="76"/>
        <v>04</v>
      </c>
      <c r="CA34" s="1" t="str">
        <f t="shared" si="77"/>
        <v>320</v>
      </c>
      <c r="CB34" s="9" t="str">
        <f t="shared" si="78"/>
        <v>08</v>
      </c>
      <c r="CC34" s="1" t="str">
        <f t="shared" si="79"/>
        <v>320</v>
      </c>
      <c r="CD34" s="9" t="str">
        <f t="shared" si="80"/>
        <v>09</v>
      </c>
      <c r="CE34" s="1" t="str">
        <f t="shared" si="81"/>
        <v>310</v>
      </c>
      <c r="CF34" s="9" t="str">
        <f t="shared" si="82"/>
        <v>08</v>
      </c>
      <c r="CG34" s="1" t="str">
        <f t="shared" si="83"/>
        <v>320</v>
      </c>
      <c r="CH34" s="9" t="str">
        <f t="shared" si="84"/>
        <v>08</v>
      </c>
      <c r="CI34" s="1" t="str">
        <f t="shared" si="85"/>
        <v>310</v>
      </c>
      <c r="CJ34" s="9" t="str">
        <f t="shared" si="86"/>
        <v>07</v>
      </c>
      <c r="CK34" s="1" t="str">
        <f t="shared" si="87"/>
        <v>310</v>
      </c>
      <c r="CL34" s="9" t="str">
        <f t="shared" si="88"/>
        <v>07</v>
      </c>
      <c r="CM34" s="9"/>
    </row>
    <row r="35" spans="1:91" ht="12.75" customHeight="1" x14ac:dyDescent="0.25">
      <c r="A35" s="8">
        <v>16</v>
      </c>
      <c r="B35" s="14" t="s">
        <v>52</v>
      </c>
      <c r="C35" s="18" t="s">
        <v>27</v>
      </c>
      <c r="D35" s="18" t="s">
        <v>27</v>
      </c>
      <c r="E35" s="18" t="s">
        <v>24</v>
      </c>
      <c r="F35" s="18" t="s">
        <v>30</v>
      </c>
      <c r="G35" s="18" t="s">
        <v>27</v>
      </c>
      <c r="H35" s="18" t="s">
        <v>30</v>
      </c>
      <c r="I35" s="18" t="s">
        <v>30</v>
      </c>
      <c r="J35" s="18" t="s">
        <v>27</v>
      </c>
      <c r="K35" s="18" t="s">
        <v>29</v>
      </c>
      <c r="L35" s="18" t="s">
        <v>25</v>
      </c>
      <c r="M35" s="18" t="s">
        <v>27</v>
      </c>
      <c r="N35" s="18" t="s">
        <v>24</v>
      </c>
      <c r="O35" s="18" t="s">
        <v>46</v>
      </c>
      <c r="P35" s="18" t="s">
        <v>46</v>
      </c>
      <c r="Q35" s="18" t="s">
        <v>46</v>
      </c>
      <c r="R35" s="18" t="s">
        <v>46</v>
      </c>
      <c r="S35" s="18" t="s">
        <v>8</v>
      </c>
      <c r="T35" s="18" t="s">
        <v>46</v>
      </c>
      <c r="U35" s="18" t="s">
        <v>46</v>
      </c>
      <c r="V35" s="18" t="s">
        <v>27</v>
      </c>
      <c r="W35" s="18" t="s">
        <v>25</v>
      </c>
      <c r="X35" s="18" t="s">
        <v>24</v>
      </c>
      <c r="Y35" s="18" t="s">
        <v>27</v>
      </c>
      <c r="Z35" s="18" t="s">
        <v>28</v>
      </c>
      <c r="AB35" s="7" t="s">
        <v>4</v>
      </c>
      <c r="AC35" s="1" t="str">
        <f t="shared" si="27"/>
        <v>200</v>
      </c>
      <c r="AD35" s="9" t="str">
        <f t="shared" si="28"/>
        <v>03</v>
      </c>
      <c r="AE35" s="1" t="str">
        <f t="shared" si="29"/>
        <v>300</v>
      </c>
      <c r="AF35" s="9">
        <f t="shared" si="30"/>
        <v>15</v>
      </c>
      <c r="AG35" s="1" t="str">
        <f t="shared" si="31"/>
        <v>290</v>
      </c>
      <c r="AH35" s="9">
        <f t="shared" si="32"/>
        <v>10</v>
      </c>
      <c r="AI35" s="1" t="str">
        <f t="shared" si="33"/>
        <v>310</v>
      </c>
      <c r="AJ35" s="9" t="str">
        <f t="shared" si="34"/>
        <v>06</v>
      </c>
      <c r="AK35" s="1" t="str">
        <f t="shared" si="35"/>
        <v>330</v>
      </c>
      <c r="AL35" s="9" t="str">
        <f t="shared" si="36"/>
        <v>08</v>
      </c>
      <c r="AM35" s="1" t="str">
        <f t="shared" si="37"/>
        <v>280</v>
      </c>
      <c r="AN35" s="9" t="str">
        <f t="shared" si="38"/>
        <v>04</v>
      </c>
      <c r="AO35" s="1" t="str">
        <f t="shared" si="39"/>
        <v>310</v>
      </c>
      <c r="AP35" s="9" t="str">
        <f t="shared" si="40"/>
        <v>06</v>
      </c>
      <c r="AQ35" s="1" t="str">
        <f t="shared" si="41"/>
        <v>330</v>
      </c>
      <c r="AR35" s="1">
        <f t="shared" si="42"/>
        <v>13</v>
      </c>
      <c r="AS35" s="1" t="str">
        <f t="shared" si="43"/>
        <v>330</v>
      </c>
      <c r="AT35" s="9" t="str">
        <f t="shared" si="44"/>
        <v>08</v>
      </c>
      <c r="AU35" s="1" t="str">
        <f t="shared" si="45"/>
        <v>340</v>
      </c>
      <c r="AV35" s="1">
        <f t="shared" si="46"/>
        <v>11</v>
      </c>
      <c r="AW35" s="1" t="str">
        <f t="shared" si="47"/>
        <v>310</v>
      </c>
      <c r="AX35" s="9" t="str">
        <f t="shared" si="48"/>
        <v>09</v>
      </c>
      <c r="AY35" s="1" t="str">
        <f t="shared" si="49"/>
        <v>310</v>
      </c>
      <c r="AZ35" s="1">
        <f t="shared" si="50"/>
        <v>11</v>
      </c>
      <c r="BA35" s="1" t="str">
        <f t="shared" si="51"/>
        <v>280</v>
      </c>
      <c r="BB35" s="9" t="str">
        <f t="shared" si="52"/>
        <v>07</v>
      </c>
      <c r="BC35" s="1" t="str">
        <f t="shared" si="53"/>
        <v>300</v>
      </c>
      <c r="BD35" s="9" t="str">
        <f t="shared" si="54"/>
        <v>06</v>
      </c>
      <c r="BE35" s="1" t="str">
        <f t="shared" si="55"/>
        <v>320</v>
      </c>
      <c r="BF35" s="9" t="str">
        <f t="shared" si="56"/>
        <v>07</v>
      </c>
      <c r="BG35" s="1" t="str">
        <f t="shared" si="57"/>
        <v>270</v>
      </c>
      <c r="BH35" s="9">
        <f t="shared" si="58"/>
        <v>16</v>
      </c>
      <c r="BI35" s="1" t="str">
        <f t="shared" si="59"/>
        <v>290</v>
      </c>
      <c r="BJ35" s="9" t="str">
        <f t="shared" si="60"/>
        <v>06</v>
      </c>
      <c r="BK35" s="1" t="str">
        <f t="shared" si="61"/>
        <v>070</v>
      </c>
      <c r="BL35" s="9" t="str">
        <f t="shared" si="62"/>
        <v>03</v>
      </c>
      <c r="BM35" s="1" t="str">
        <f t="shared" si="63"/>
        <v>300</v>
      </c>
      <c r="BN35" s="9">
        <f t="shared" si="64"/>
        <v>14</v>
      </c>
      <c r="BO35" s="1" t="str">
        <f t="shared" si="65"/>
        <v>310</v>
      </c>
      <c r="BP35" s="9" t="str">
        <f t="shared" si="66"/>
        <v>09</v>
      </c>
      <c r="BQ35" s="1" t="str">
        <f t="shared" si="67"/>
        <v>280</v>
      </c>
      <c r="BR35" s="9">
        <f t="shared" si="68"/>
        <v>14</v>
      </c>
      <c r="BS35" s="1" t="str">
        <f t="shared" si="69"/>
        <v>270</v>
      </c>
      <c r="BT35" s="9" t="str">
        <f t="shared" si="70"/>
        <v>08</v>
      </c>
      <c r="BU35" s="1" t="str">
        <f t="shared" si="71"/>
        <v>330</v>
      </c>
      <c r="BV35" s="9" t="str">
        <f t="shared" si="72"/>
        <v>04</v>
      </c>
      <c r="BW35" s="1" t="str">
        <f t="shared" si="73"/>
        <v>300</v>
      </c>
      <c r="BX35" s="9" t="str">
        <f t="shared" si="74"/>
        <v>06</v>
      </c>
      <c r="BY35" s="1" t="str">
        <f t="shared" si="75"/>
        <v>310</v>
      </c>
      <c r="BZ35" s="9" t="str">
        <f t="shared" si="76"/>
        <v>05</v>
      </c>
      <c r="CA35" s="1" t="str">
        <f t="shared" si="77"/>
        <v>320</v>
      </c>
      <c r="CB35" s="9" t="str">
        <f t="shared" si="78"/>
        <v>08</v>
      </c>
      <c r="CC35" s="1" t="str">
        <f t="shared" si="79"/>
        <v>320</v>
      </c>
      <c r="CD35" s="9" t="str">
        <f t="shared" si="80"/>
        <v>09</v>
      </c>
      <c r="CE35" s="1" t="str">
        <f t="shared" si="81"/>
        <v>300</v>
      </c>
      <c r="CF35" s="9" t="str">
        <f t="shared" si="82"/>
        <v>09</v>
      </c>
      <c r="CG35" s="1" t="str">
        <f t="shared" si="83"/>
        <v>320</v>
      </c>
      <c r="CH35" s="9" t="str">
        <f t="shared" si="84"/>
        <v>06</v>
      </c>
      <c r="CI35" s="1" t="str">
        <f t="shared" si="85"/>
        <v>300</v>
      </c>
      <c r="CJ35" s="9" t="str">
        <f t="shared" si="86"/>
        <v>05</v>
      </c>
      <c r="CK35" s="1" t="str">
        <f t="shared" si="87"/>
        <v>320</v>
      </c>
      <c r="CL35" s="9" t="str">
        <f t="shared" si="88"/>
        <v>08</v>
      </c>
      <c r="CM35" s="9"/>
    </row>
    <row r="36" spans="1:91" ht="12.75" customHeight="1" x14ac:dyDescent="0.25">
      <c r="A36" s="8"/>
      <c r="B36" s="15" t="s">
        <v>53</v>
      </c>
      <c r="C36" s="20">
        <v>6</v>
      </c>
      <c r="D36" s="20">
        <v>7</v>
      </c>
      <c r="E36" s="20">
        <v>5</v>
      </c>
      <c r="F36" s="20">
        <v>9</v>
      </c>
      <c r="G36" s="20">
        <v>16</v>
      </c>
      <c r="H36" s="20">
        <v>11</v>
      </c>
      <c r="I36" s="20">
        <v>13</v>
      </c>
      <c r="J36" s="20">
        <v>8</v>
      </c>
      <c r="K36" s="20">
        <v>7</v>
      </c>
      <c r="L36" s="20">
        <v>8</v>
      </c>
      <c r="M36" s="20">
        <v>6</v>
      </c>
      <c r="N36" s="20">
        <v>5</v>
      </c>
      <c r="O36" s="20">
        <v>0</v>
      </c>
      <c r="P36" s="20">
        <v>0</v>
      </c>
      <c r="Q36" s="20">
        <v>0</v>
      </c>
      <c r="R36" s="20">
        <v>0</v>
      </c>
      <c r="S36" s="20">
        <v>2</v>
      </c>
      <c r="T36" s="20">
        <v>0</v>
      </c>
      <c r="U36" s="20">
        <v>0</v>
      </c>
      <c r="V36" s="20">
        <v>3</v>
      </c>
      <c r="W36" s="20">
        <v>4</v>
      </c>
      <c r="X36" s="20">
        <v>6</v>
      </c>
      <c r="Y36" s="20">
        <v>4</v>
      </c>
      <c r="Z36" s="20">
        <v>4</v>
      </c>
      <c r="AB36" s="7" t="s">
        <v>5</v>
      </c>
      <c r="AC36" s="1" t="str">
        <f t="shared" si="27"/>
        <v>330</v>
      </c>
      <c r="AD36" s="9" t="str">
        <f t="shared" si="28"/>
        <v>07</v>
      </c>
      <c r="AE36" s="1" t="str">
        <f t="shared" si="29"/>
        <v>310</v>
      </c>
      <c r="AF36" s="9">
        <f t="shared" si="30"/>
        <v>10</v>
      </c>
      <c r="AG36" s="1" t="str">
        <f t="shared" si="31"/>
        <v>320</v>
      </c>
      <c r="AH36" s="9" t="str">
        <f t="shared" si="32"/>
        <v>06</v>
      </c>
      <c r="AI36" s="1" t="str">
        <f t="shared" si="33"/>
        <v>290</v>
      </c>
      <c r="AJ36" s="9" t="str">
        <f t="shared" si="34"/>
        <v>06</v>
      </c>
      <c r="AK36" s="1" t="str">
        <f t="shared" si="35"/>
        <v>330</v>
      </c>
      <c r="AL36" s="9" t="str">
        <f t="shared" si="36"/>
        <v>08</v>
      </c>
      <c r="AM36" s="1" t="str">
        <f t="shared" si="37"/>
        <v>300</v>
      </c>
      <c r="AN36" s="9" t="str">
        <f t="shared" si="38"/>
        <v>06</v>
      </c>
      <c r="AO36" s="1" t="str">
        <f t="shared" si="39"/>
        <v>310</v>
      </c>
      <c r="AP36" s="9" t="str">
        <f t="shared" si="40"/>
        <v>06</v>
      </c>
      <c r="AQ36" s="1" t="str">
        <f t="shared" si="41"/>
        <v>320</v>
      </c>
      <c r="AR36" s="9">
        <f t="shared" si="42"/>
        <v>15</v>
      </c>
      <c r="AS36" s="1" t="str">
        <f t="shared" si="43"/>
        <v>320</v>
      </c>
      <c r="AT36" s="9">
        <f t="shared" si="44"/>
        <v>10</v>
      </c>
      <c r="AU36" s="1" t="str">
        <f t="shared" si="45"/>
        <v>330</v>
      </c>
      <c r="AV36" s="9">
        <f t="shared" si="46"/>
        <v>11</v>
      </c>
      <c r="AW36" s="1" t="str">
        <f t="shared" si="47"/>
        <v>320</v>
      </c>
      <c r="AX36" s="9" t="str">
        <f t="shared" si="48"/>
        <v>09</v>
      </c>
      <c r="AY36" s="1" t="str">
        <f t="shared" si="49"/>
        <v>290</v>
      </c>
      <c r="AZ36" s="9">
        <f t="shared" si="50"/>
        <v>13</v>
      </c>
      <c r="BA36" s="1" t="str">
        <f t="shared" si="51"/>
        <v>300</v>
      </c>
      <c r="BB36" s="9">
        <f t="shared" si="52"/>
        <v>10</v>
      </c>
      <c r="BC36" s="1" t="str">
        <f t="shared" si="53"/>
        <v>300</v>
      </c>
      <c r="BD36" s="9" t="str">
        <f t="shared" si="54"/>
        <v>03</v>
      </c>
      <c r="BE36" s="1" t="str">
        <f t="shared" si="55"/>
        <v>300</v>
      </c>
      <c r="BF36" s="9" t="str">
        <f t="shared" si="56"/>
        <v>06</v>
      </c>
      <c r="BG36" s="1" t="str">
        <f t="shared" si="57"/>
        <v>300</v>
      </c>
      <c r="BH36" s="9">
        <f t="shared" si="58"/>
        <v>11</v>
      </c>
      <c r="BI36" s="1" t="str">
        <f t="shared" si="59"/>
        <v>260</v>
      </c>
      <c r="BJ36" s="9" t="str">
        <f t="shared" si="60"/>
        <v>06</v>
      </c>
      <c r="BK36" s="1" t="str">
        <f t="shared" si="61"/>
        <v>300</v>
      </c>
      <c r="BL36" s="9" t="str">
        <f t="shared" si="62"/>
        <v>07</v>
      </c>
      <c r="BM36" s="1" t="str">
        <f t="shared" si="63"/>
        <v>290</v>
      </c>
      <c r="BN36" s="9">
        <f t="shared" si="64"/>
        <v>18</v>
      </c>
      <c r="BO36" s="1" t="str">
        <f t="shared" si="65"/>
        <v>310</v>
      </c>
      <c r="BP36" s="9">
        <f t="shared" si="66"/>
        <v>10</v>
      </c>
      <c r="BQ36" s="1" t="str">
        <f t="shared" si="67"/>
        <v>300</v>
      </c>
      <c r="BR36" s="9">
        <f t="shared" si="68"/>
        <v>14</v>
      </c>
      <c r="BS36" s="1" t="str">
        <f t="shared" si="69"/>
        <v>290</v>
      </c>
      <c r="BT36" s="9" t="str">
        <f t="shared" si="70"/>
        <v>05</v>
      </c>
      <c r="BU36" s="1" t="str">
        <f t="shared" si="71"/>
        <v>300</v>
      </c>
      <c r="BV36" s="9" t="str">
        <f t="shared" si="72"/>
        <v>04</v>
      </c>
      <c r="BW36" s="1" t="str">
        <f t="shared" si="73"/>
        <v>320</v>
      </c>
      <c r="BX36" s="9" t="str">
        <f t="shared" si="74"/>
        <v>05</v>
      </c>
      <c r="BY36" s="1" t="str">
        <f t="shared" si="75"/>
        <v>310</v>
      </c>
      <c r="BZ36" s="9" t="str">
        <f t="shared" si="76"/>
        <v>05</v>
      </c>
      <c r="CA36" s="1" t="str">
        <f t="shared" si="77"/>
        <v>300</v>
      </c>
      <c r="CB36" s="9">
        <f t="shared" si="78"/>
        <v>13</v>
      </c>
      <c r="CC36" s="1" t="str">
        <f t="shared" si="79"/>
        <v>320</v>
      </c>
      <c r="CD36" s="9" t="str">
        <f t="shared" si="80"/>
        <v>09</v>
      </c>
      <c r="CE36" s="1" t="str">
        <f t="shared" si="81"/>
        <v>330</v>
      </c>
      <c r="CF36" s="9" t="str">
        <f t="shared" si="82"/>
        <v>07</v>
      </c>
      <c r="CG36" s="1" t="str">
        <f t="shared" si="83"/>
        <v>260</v>
      </c>
      <c r="CH36" s="9" t="str">
        <f t="shared" si="84"/>
        <v>07</v>
      </c>
      <c r="CI36" s="1" t="str">
        <f t="shared" si="85"/>
        <v>270</v>
      </c>
      <c r="CJ36" s="9" t="str">
        <f t="shared" si="86"/>
        <v>02</v>
      </c>
      <c r="CK36" s="1" t="str">
        <f t="shared" si="87"/>
        <v>290</v>
      </c>
      <c r="CL36" s="9" t="str">
        <f t="shared" si="88"/>
        <v>09</v>
      </c>
      <c r="CM36" s="9"/>
    </row>
    <row r="37" spans="1:91" ht="12.75" customHeight="1" x14ac:dyDescent="0.25">
      <c r="A37" s="8">
        <v>17</v>
      </c>
      <c r="B37" s="14" t="s">
        <v>52</v>
      </c>
      <c r="C37" s="18" t="s">
        <v>28</v>
      </c>
      <c r="D37" s="18" t="s">
        <v>27</v>
      </c>
      <c r="E37" s="18" t="s">
        <v>29</v>
      </c>
      <c r="F37" s="18" t="s">
        <v>29</v>
      </c>
      <c r="G37" s="18" t="s">
        <v>29</v>
      </c>
      <c r="H37" s="18" t="s">
        <v>26</v>
      </c>
      <c r="I37" s="18" t="s">
        <v>26</v>
      </c>
      <c r="J37" s="18" t="s">
        <v>25</v>
      </c>
      <c r="K37" s="18" t="s">
        <v>23</v>
      </c>
      <c r="L37" s="18" t="s">
        <v>27</v>
      </c>
      <c r="M37" s="18" t="s">
        <v>28</v>
      </c>
      <c r="N37" s="18" t="s">
        <v>19</v>
      </c>
      <c r="O37" s="18" t="s">
        <v>30</v>
      </c>
      <c r="P37" s="18" t="s">
        <v>12</v>
      </c>
      <c r="Q37" s="18" t="s">
        <v>13</v>
      </c>
      <c r="R37" s="18" t="s">
        <v>4</v>
      </c>
      <c r="S37" s="18" t="s">
        <v>14</v>
      </c>
      <c r="T37" s="18" t="s">
        <v>26</v>
      </c>
      <c r="U37" s="18" t="s">
        <v>26</v>
      </c>
      <c r="V37" s="18" t="s">
        <v>17</v>
      </c>
      <c r="W37" s="18" t="s">
        <v>26</v>
      </c>
      <c r="X37" s="18" t="s">
        <v>10</v>
      </c>
      <c r="Y37" s="18" t="s">
        <v>10</v>
      </c>
      <c r="Z37" s="18" t="s">
        <v>7</v>
      </c>
      <c r="AB37" s="7" t="s">
        <v>6</v>
      </c>
      <c r="AC37" s="1" t="str">
        <f t="shared" si="27"/>
        <v>300</v>
      </c>
      <c r="AD37" s="9" t="str">
        <f t="shared" si="28"/>
        <v>07</v>
      </c>
      <c r="AE37" s="1" t="str">
        <f t="shared" si="29"/>
        <v>110</v>
      </c>
      <c r="AF37" s="9">
        <f t="shared" si="30"/>
        <v>10</v>
      </c>
      <c r="AG37" s="1" t="str">
        <f t="shared" si="31"/>
        <v>000</v>
      </c>
      <c r="AH37" s="9" t="str">
        <f t="shared" si="32"/>
        <v>00</v>
      </c>
      <c r="AI37" s="1" t="str">
        <f t="shared" si="33"/>
        <v>320</v>
      </c>
      <c r="AJ37" s="9" t="str">
        <f t="shared" si="34"/>
        <v>08</v>
      </c>
      <c r="AK37" s="1" t="str">
        <f t="shared" si="35"/>
        <v>210</v>
      </c>
      <c r="AL37" s="9" t="str">
        <f t="shared" si="36"/>
        <v>08</v>
      </c>
      <c r="AM37" s="1" t="str">
        <f t="shared" si="37"/>
        <v>280</v>
      </c>
      <c r="AN37" s="9" t="str">
        <f t="shared" si="38"/>
        <v>07</v>
      </c>
      <c r="AO37" s="1" t="str">
        <f t="shared" si="39"/>
        <v>300</v>
      </c>
      <c r="AP37" s="9" t="str">
        <f t="shared" si="40"/>
        <v>09</v>
      </c>
      <c r="AQ37" s="1" t="str">
        <f t="shared" si="41"/>
        <v>330</v>
      </c>
      <c r="AR37" s="9">
        <f t="shared" si="42"/>
        <v>11</v>
      </c>
      <c r="AS37" s="1" t="str">
        <f t="shared" si="43"/>
        <v>320</v>
      </c>
      <c r="AT37" s="9" t="str">
        <f t="shared" si="44"/>
        <v>09</v>
      </c>
      <c r="AU37" s="1" t="str">
        <f t="shared" si="45"/>
        <v>320</v>
      </c>
      <c r="AV37" s="9">
        <f t="shared" si="46"/>
        <v>12</v>
      </c>
      <c r="AW37" s="1" t="str">
        <f t="shared" si="47"/>
        <v>310</v>
      </c>
      <c r="AX37" s="9">
        <f t="shared" si="48"/>
        <v>10</v>
      </c>
      <c r="AY37" s="1" t="str">
        <f t="shared" si="49"/>
        <v>310</v>
      </c>
      <c r="AZ37" s="9">
        <f t="shared" si="50"/>
        <v>13</v>
      </c>
      <c r="BA37" s="1" t="str">
        <f t="shared" si="51"/>
        <v>270</v>
      </c>
      <c r="BB37" s="9" t="str">
        <f t="shared" si="52"/>
        <v>07</v>
      </c>
      <c r="BC37" s="1" t="str">
        <f t="shared" si="53"/>
        <v>280</v>
      </c>
      <c r="BD37" s="9" t="str">
        <f t="shared" si="54"/>
        <v>05</v>
      </c>
      <c r="BE37" s="1" t="str">
        <f t="shared" si="55"/>
        <v>310</v>
      </c>
      <c r="BF37" s="9" t="str">
        <f t="shared" si="56"/>
        <v>08</v>
      </c>
      <c r="BG37" s="1" t="str">
        <f t="shared" si="57"/>
        <v>300</v>
      </c>
      <c r="BH37" s="9">
        <f t="shared" si="58"/>
        <v>13</v>
      </c>
      <c r="BI37" s="1" t="str">
        <f t="shared" si="59"/>
        <v>260</v>
      </c>
      <c r="BJ37" s="9" t="str">
        <f t="shared" si="60"/>
        <v>06</v>
      </c>
      <c r="BK37" s="1" t="str">
        <f t="shared" si="61"/>
        <v>240</v>
      </c>
      <c r="BL37" s="9" t="str">
        <f t="shared" si="62"/>
        <v>07</v>
      </c>
      <c r="BM37" s="1" t="str">
        <f t="shared" si="63"/>
        <v>300</v>
      </c>
      <c r="BN37" s="9">
        <f t="shared" si="64"/>
        <v>13</v>
      </c>
      <c r="BO37" s="1" t="str">
        <f t="shared" si="65"/>
        <v>320</v>
      </c>
      <c r="BP37" s="9" t="str">
        <f t="shared" si="66"/>
        <v>06</v>
      </c>
      <c r="BQ37" s="1" t="str">
        <f t="shared" si="67"/>
        <v>300</v>
      </c>
      <c r="BR37" s="9">
        <f t="shared" si="68"/>
        <v>18</v>
      </c>
      <c r="BS37" s="1" t="str">
        <f t="shared" si="69"/>
        <v>290</v>
      </c>
      <c r="BT37" s="9" t="str">
        <f t="shared" si="70"/>
        <v>05</v>
      </c>
      <c r="BU37" s="1" t="str">
        <f t="shared" si="71"/>
        <v>300</v>
      </c>
      <c r="BV37" s="9" t="str">
        <f t="shared" si="72"/>
        <v>04</v>
      </c>
      <c r="BW37" s="1" t="str">
        <f t="shared" si="73"/>
        <v>300</v>
      </c>
      <c r="BX37" s="9" t="str">
        <f t="shared" si="74"/>
        <v>02</v>
      </c>
      <c r="BY37" s="1" t="str">
        <f t="shared" si="75"/>
        <v>310</v>
      </c>
      <c r="BZ37" s="9" t="str">
        <f t="shared" si="76"/>
        <v>08</v>
      </c>
      <c r="CA37" s="1" t="str">
        <f t="shared" si="77"/>
        <v>290</v>
      </c>
      <c r="CB37" s="9">
        <f t="shared" si="78"/>
        <v>10</v>
      </c>
      <c r="CC37" s="1" t="str">
        <f t="shared" si="79"/>
        <v>310</v>
      </c>
      <c r="CD37" s="9">
        <f t="shared" si="80"/>
        <v>10</v>
      </c>
      <c r="CE37" s="1" t="str">
        <f t="shared" si="81"/>
        <v>280</v>
      </c>
      <c r="CF37" s="9">
        <f t="shared" si="82"/>
        <v>10</v>
      </c>
      <c r="CG37" s="1" t="str">
        <f t="shared" si="83"/>
        <v>290</v>
      </c>
      <c r="CH37" s="9" t="str">
        <f t="shared" si="84"/>
        <v>08</v>
      </c>
      <c r="CI37" s="1" t="str">
        <f t="shared" si="85"/>
        <v>240</v>
      </c>
      <c r="CJ37" s="9" t="str">
        <f t="shared" si="86"/>
        <v>05</v>
      </c>
      <c r="CK37" s="1" t="str">
        <f t="shared" si="87"/>
        <v>290</v>
      </c>
      <c r="CL37" s="9" t="str">
        <f t="shared" si="88"/>
        <v>09</v>
      </c>
      <c r="CM37" s="9"/>
    </row>
    <row r="38" spans="1:91" ht="12.75" customHeight="1" x14ac:dyDescent="0.25">
      <c r="A38" s="8"/>
      <c r="B38" s="15" t="s">
        <v>53</v>
      </c>
      <c r="C38" s="20">
        <v>5</v>
      </c>
      <c r="D38" s="20">
        <v>6</v>
      </c>
      <c r="E38" s="20">
        <v>7</v>
      </c>
      <c r="F38" s="20">
        <v>8</v>
      </c>
      <c r="G38" s="20">
        <v>6</v>
      </c>
      <c r="H38" s="20">
        <v>6</v>
      </c>
      <c r="I38" s="20">
        <v>6</v>
      </c>
      <c r="J38" s="20">
        <v>6</v>
      </c>
      <c r="K38" s="20">
        <v>8</v>
      </c>
      <c r="L38" s="20">
        <v>7</v>
      </c>
      <c r="M38" s="20">
        <v>8</v>
      </c>
      <c r="N38" s="20">
        <v>4</v>
      </c>
      <c r="O38" s="20">
        <v>4</v>
      </c>
      <c r="P38" s="20">
        <v>2</v>
      </c>
      <c r="Q38" s="20">
        <v>1</v>
      </c>
      <c r="R38" s="20">
        <v>2</v>
      </c>
      <c r="S38" s="20">
        <v>2</v>
      </c>
      <c r="T38" s="20">
        <v>1</v>
      </c>
      <c r="U38" s="20">
        <v>1</v>
      </c>
      <c r="V38" s="20">
        <v>3</v>
      </c>
      <c r="W38" s="20">
        <v>1</v>
      </c>
      <c r="X38" s="20">
        <v>7</v>
      </c>
      <c r="Y38" s="20">
        <v>10</v>
      </c>
      <c r="Z38" s="20">
        <v>7</v>
      </c>
      <c r="AB38" s="7" t="s">
        <v>7</v>
      </c>
      <c r="AC38" s="1" t="str">
        <f t="shared" si="27"/>
        <v>280</v>
      </c>
      <c r="AD38" s="9" t="str">
        <f t="shared" si="28"/>
        <v>05</v>
      </c>
      <c r="AE38" s="1" t="str">
        <f t="shared" si="29"/>
        <v>160</v>
      </c>
      <c r="AF38" s="9" t="str">
        <f t="shared" si="30"/>
        <v>04</v>
      </c>
      <c r="AG38" s="1" t="str">
        <f t="shared" si="31"/>
        <v>100</v>
      </c>
      <c r="AH38" s="9" t="str">
        <f t="shared" si="32"/>
        <v>04</v>
      </c>
      <c r="AI38" s="1" t="str">
        <f t="shared" si="33"/>
        <v>260</v>
      </c>
      <c r="AJ38" s="9" t="str">
        <f t="shared" si="34"/>
        <v>04</v>
      </c>
      <c r="AK38" s="1" t="str">
        <f t="shared" si="35"/>
        <v>140</v>
      </c>
      <c r="AL38" s="9" t="str">
        <f t="shared" si="36"/>
        <v>07</v>
      </c>
      <c r="AM38" s="1" t="str">
        <f t="shared" si="37"/>
        <v>310</v>
      </c>
      <c r="AN38" s="9" t="str">
        <f t="shared" si="38"/>
        <v>08</v>
      </c>
      <c r="AO38" s="1" t="str">
        <f t="shared" si="39"/>
        <v>310</v>
      </c>
      <c r="AP38" s="9" t="str">
        <f t="shared" si="40"/>
        <v>06</v>
      </c>
      <c r="AQ38" s="1" t="str">
        <f t="shared" si="41"/>
        <v>330</v>
      </c>
      <c r="AR38" s="1">
        <f t="shared" si="42"/>
        <v>17</v>
      </c>
      <c r="AS38" s="1" t="str">
        <f t="shared" si="43"/>
        <v>320</v>
      </c>
      <c r="AT38" s="9" t="str">
        <f t="shared" si="44"/>
        <v>04</v>
      </c>
      <c r="AU38" s="1" t="str">
        <f t="shared" si="45"/>
        <v>310</v>
      </c>
      <c r="AV38" s="1">
        <f t="shared" si="46"/>
        <v>12</v>
      </c>
      <c r="AW38" s="1" t="str">
        <f t="shared" si="47"/>
        <v>310</v>
      </c>
      <c r="AX38" s="9">
        <f t="shared" si="48"/>
        <v>10</v>
      </c>
      <c r="AY38" s="1" t="str">
        <f t="shared" si="49"/>
        <v>320</v>
      </c>
      <c r="AZ38" s="9">
        <f t="shared" si="50"/>
        <v>14</v>
      </c>
      <c r="BA38" s="1" t="str">
        <f t="shared" si="51"/>
        <v>300</v>
      </c>
      <c r="BB38" s="9" t="str">
        <f t="shared" si="52"/>
        <v>04</v>
      </c>
      <c r="BC38" s="1" t="str">
        <f t="shared" si="53"/>
        <v>310</v>
      </c>
      <c r="BD38" s="9" t="str">
        <f t="shared" si="54"/>
        <v>03</v>
      </c>
      <c r="BE38" s="1" t="str">
        <f t="shared" si="55"/>
        <v>300</v>
      </c>
      <c r="BF38" s="9" t="str">
        <f t="shared" si="56"/>
        <v>07</v>
      </c>
      <c r="BG38" s="1" t="str">
        <f t="shared" si="57"/>
        <v>270</v>
      </c>
      <c r="BH38" s="9" t="str">
        <f t="shared" si="58"/>
        <v>08</v>
      </c>
      <c r="BI38" s="1" t="str">
        <f t="shared" si="59"/>
        <v>250</v>
      </c>
      <c r="BJ38" s="9" t="str">
        <f t="shared" si="60"/>
        <v>06</v>
      </c>
      <c r="BK38" s="1" t="str">
        <f t="shared" si="61"/>
        <v>260</v>
      </c>
      <c r="BL38" s="9" t="str">
        <f t="shared" si="62"/>
        <v>05</v>
      </c>
      <c r="BM38" s="1" t="str">
        <f t="shared" si="63"/>
        <v>290</v>
      </c>
      <c r="BN38" s="9">
        <f t="shared" si="64"/>
        <v>15</v>
      </c>
      <c r="BO38" s="1" t="str">
        <f t="shared" si="65"/>
        <v>310</v>
      </c>
      <c r="BP38" s="9" t="str">
        <f t="shared" si="66"/>
        <v>07</v>
      </c>
      <c r="BQ38" s="1" t="str">
        <f t="shared" si="67"/>
        <v>290</v>
      </c>
      <c r="BR38" s="9">
        <f t="shared" si="68"/>
        <v>14</v>
      </c>
      <c r="BS38" s="1" t="str">
        <f t="shared" si="69"/>
        <v>270</v>
      </c>
      <c r="BT38" s="9" t="str">
        <f t="shared" si="70"/>
        <v>08</v>
      </c>
      <c r="BU38" s="1" t="str">
        <f t="shared" si="71"/>
        <v>310</v>
      </c>
      <c r="BV38" s="9" t="str">
        <f t="shared" si="72"/>
        <v>05</v>
      </c>
      <c r="BW38" s="1" t="str">
        <f t="shared" si="73"/>
        <v>300</v>
      </c>
      <c r="BX38" s="9" t="str">
        <f t="shared" si="74"/>
        <v>03</v>
      </c>
      <c r="BY38" s="1" t="str">
        <f t="shared" si="75"/>
        <v>310</v>
      </c>
      <c r="BZ38" s="9" t="str">
        <f t="shared" si="76"/>
        <v>07</v>
      </c>
      <c r="CA38" s="1" t="str">
        <f t="shared" si="77"/>
        <v>280</v>
      </c>
      <c r="CB38" s="9" t="str">
        <f t="shared" si="78"/>
        <v>09</v>
      </c>
      <c r="CC38" s="1" t="str">
        <f t="shared" si="79"/>
        <v>300</v>
      </c>
      <c r="CD38" s="9" t="str">
        <f t="shared" si="80"/>
        <v>07</v>
      </c>
      <c r="CE38" s="1" t="str">
        <f t="shared" si="81"/>
        <v>310</v>
      </c>
      <c r="CF38" s="9" t="str">
        <f t="shared" si="82"/>
        <v>08</v>
      </c>
      <c r="CG38" s="1" t="str">
        <f t="shared" si="83"/>
        <v>310</v>
      </c>
      <c r="CH38" s="9">
        <f t="shared" si="84"/>
        <v>10</v>
      </c>
      <c r="CI38" s="1" t="str">
        <f t="shared" si="85"/>
        <v>310</v>
      </c>
      <c r="CJ38" s="9" t="str">
        <f t="shared" si="86"/>
        <v>04</v>
      </c>
      <c r="CK38" s="1" t="str">
        <f t="shared" si="87"/>
        <v>290</v>
      </c>
      <c r="CL38" s="9">
        <f t="shared" si="88"/>
        <v>10</v>
      </c>
      <c r="CM38" s="9"/>
    </row>
    <row r="39" spans="1:91" ht="12.75" customHeight="1" x14ac:dyDescent="0.25">
      <c r="A39" s="8">
        <v>18</v>
      </c>
      <c r="B39" s="14" t="s">
        <v>52</v>
      </c>
      <c r="C39" s="18" t="s">
        <v>5</v>
      </c>
      <c r="D39" s="18" t="s">
        <v>6</v>
      </c>
      <c r="E39" s="18" t="s">
        <v>8</v>
      </c>
      <c r="F39" s="18" t="s">
        <v>7</v>
      </c>
      <c r="G39" s="18" t="s">
        <v>7</v>
      </c>
      <c r="H39" s="18" t="s">
        <v>30</v>
      </c>
      <c r="I39" s="18" t="s">
        <v>24</v>
      </c>
      <c r="J39" s="18" t="s">
        <v>26</v>
      </c>
      <c r="K39" s="18" t="s">
        <v>24</v>
      </c>
      <c r="L39" s="18" t="s">
        <v>30</v>
      </c>
      <c r="M39" s="18" t="s">
        <v>29</v>
      </c>
      <c r="N39" s="18" t="s">
        <v>27</v>
      </c>
      <c r="O39" s="18" t="s">
        <v>28</v>
      </c>
      <c r="P39" s="18" t="s">
        <v>28</v>
      </c>
      <c r="Q39" s="18" t="s">
        <v>27</v>
      </c>
      <c r="R39" s="18" t="s">
        <v>28</v>
      </c>
      <c r="S39" s="18" t="s">
        <v>26</v>
      </c>
      <c r="T39" s="18" t="s">
        <v>27</v>
      </c>
      <c r="U39" s="18" t="s">
        <v>27</v>
      </c>
      <c r="V39" s="18" t="s">
        <v>29</v>
      </c>
      <c r="W39" s="18" t="s">
        <v>27</v>
      </c>
      <c r="X39" s="18" t="s">
        <v>27</v>
      </c>
      <c r="Y39" s="18" t="s">
        <v>19</v>
      </c>
      <c r="Z39" s="18" t="s">
        <v>29</v>
      </c>
      <c r="AB39" s="7" t="s">
        <v>8</v>
      </c>
      <c r="AC39" s="1" t="str">
        <f t="shared" si="27"/>
        <v>310</v>
      </c>
      <c r="AD39" s="9" t="str">
        <f t="shared" si="28"/>
        <v>05</v>
      </c>
      <c r="AE39" s="1" t="str">
        <f t="shared" si="29"/>
        <v>030</v>
      </c>
      <c r="AF39" s="9" t="str">
        <f t="shared" si="30"/>
        <v>04</v>
      </c>
      <c r="AG39" s="1" t="str">
        <f t="shared" si="31"/>
        <v>100</v>
      </c>
      <c r="AH39" s="9" t="str">
        <f t="shared" si="32"/>
        <v>04</v>
      </c>
      <c r="AI39" s="1" t="str">
        <f t="shared" si="33"/>
        <v>300</v>
      </c>
      <c r="AJ39" s="9" t="str">
        <f t="shared" si="34"/>
        <v>02</v>
      </c>
      <c r="AK39" s="1" t="str">
        <f t="shared" si="35"/>
        <v>010</v>
      </c>
      <c r="AL39" s="9" t="str">
        <f t="shared" si="36"/>
        <v>05</v>
      </c>
      <c r="AM39" s="1" t="str">
        <f t="shared" si="37"/>
        <v>110</v>
      </c>
      <c r="AN39" s="9" t="str">
        <f t="shared" si="38"/>
        <v>04</v>
      </c>
      <c r="AO39" s="1" t="str">
        <f t="shared" si="39"/>
        <v>310</v>
      </c>
      <c r="AP39" s="9" t="str">
        <f t="shared" si="40"/>
        <v>07</v>
      </c>
      <c r="AQ39" s="1" t="str">
        <f t="shared" si="41"/>
        <v>340</v>
      </c>
      <c r="AR39" s="9">
        <f t="shared" si="42"/>
        <v>13</v>
      </c>
      <c r="AS39" s="1" t="str">
        <f t="shared" si="43"/>
        <v>300</v>
      </c>
      <c r="AT39" s="9" t="str">
        <f t="shared" si="44"/>
        <v>05</v>
      </c>
      <c r="AU39" s="1" t="str">
        <f t="shared" si="45"/>
        <v>320</v>
      </c>
      <c r="AV39" s="9" t="str">
        <f t="shared" si="46"/>
        <v>09</v>
      </c>
      <c r="AW39" s="1" t="str">
        <f t="shared" si="47"/>
        <v>300</v>
      </c>
      <c r="AX39" s="9" t="str">
        <f t="shared" si="48"/>
        <v>08</v>
      </c>
      <c r="AY39" s="1" t="str">
        <f t="shared" si="49"/>
        <v>300</v>
      </c>
      <c r="AZ39" s="9">
        <f t="shared" si="50"/>
        <v>11</v>
      </c>
      <c r="BA39" s="1" t="str">
        <f t="shared" si="51"/>
        <v>300</v>
      </c>
      <c r="BB39" s="9" t="str">
        <f t="shared" si="52"/>
        <v>07</v>
      </c>
      <c r="BC39" s="1" t="str">
        <f t="shared" si="53"/>
        <v>320</v>
      </c>
      <c r="BD39" s="9" t="str">
        <f t="shared" si="54"/>
        <v>04</v>
      </c>
      <c r="BE39" s="1" t="str">
        <f t="shared" si="55"/>
        <v>310</v>
      </c>
      <c r="BF39" s="9" t="str">
        <f t="shared" si="56"/>
        <v>07</v>
      </c>
      <c r="BG39" s="1" t="str">
        <f t="shared" si="57"/>
        <v>290</v>
      </c>
      <c r="BH39" s="9" t="str">
        <f t="shared" si="58"/>
        <v>07</v>
      </c>
      <c r="BI39" s="1" t="str">
        <f t="shared" si="59"/>
        <v>230</v>
      </c>
      <c r="BJ39" s="9" t="str">
        <f t="shared" si="60"/>
        <v>08</v>
      </c>
      <c r="BK39" s="1" t="str">
        <f t="shared" si="61"/>
        <v>240</v>
      </c>
      <c r="BL39" s="9" t="str">
        <f t="shared" si="62"/>
        <v>05</v>
      </c>
      <c r="BM39" s="1" t="str">
        <f t="shared" si="63"/>
        <v>260</v>
      </c>
      <c r="BN39" s="9">
        <f t="shared" si="64"/>
        <v>10</v>
      </c>
      <c r="BO39" s="1" t="str">
        <f t="shared" si="65"/>
        <v>320</v>
      </c>
      <c r="BP39" s="9" t="str">
        <f t="shared" si="66"/>
        <v>03</v>
      </c>
      <c r="BQ39" s="1" t="str">
        <f t="shared" si="67"/>
        <v>280</v>
      </c>
      <c r="BR39" s="9">
        <f t="shared" si="68"/>
        <v>11</v>
      </c>
      <c r="BS39" s="1" t="str">
        <f t="shared" si="69"/>
        <v>270</v>
      </c>
      <c r="BT39" s="9" t="str">
        <f t="shared" si="70"/>
        <v>04</v>
      </c>
      <c r="BU39" s="1" t="str">
        <f t="shared" si="71"/>
        <v>220</v>
      </c>
      <c r="BV39" s="9">
        <f t="shared" si="72"/>
        <v>10</v>
      </c>
      <c r="BW39" s="1" t="str">
        <f t="shared" si="73"/>
        <v>290</v>
      </c>
      <c r="BX39" s="9" t="str">
        <f t="shared" si="74"/>
        <v>02</v>
      </c>
      <c r="BY39" s="1" t="str">
        <f t="shared" si="75"/>
        <v>290</v>
      </c>
      <c r="BZ39" s="9" t="str">
        <f t="shared" si="76"/>
        <v>06</v>
      </c>
      <c r="CA39" s="1" t="str">
        <f t="shared" si="77"/>
        <v>270</v>
      </c>
      <c r="CB39" s="9" t="str">
        <f t="shared" si="78"/>
        <v>08</v>
      </c>
      <c r="CC39" s="1" t="str">
        <f t="shared" si="79"/>
        <v>310</v>
      </c>
      <c r="CD39" s="9" t="str">
        <f t="shared" si="80"/>
        <v>08</v>
      </c>
      <c r="CE39" s="1" t="str">
        <f t="shared" si="81"/>
        <v>300</v>
      </c>
      <c r="CF39" s="9" t="str">
        <f t="shared" si="82"/>
        <v>07</v>
      </c>
      <c r="CG39" s="1" t="str">
        <f t="shared" si="83"/>
        <v>300</v>
      </c>
      <c r="CH39" s="9" t="str">
        <f t="shared" si="84"/>
        <v>08</v>
      </c>
      <c r="CI39" s="1" t="str">
        <f t="shared" si="85"/>
        <v>300</v>
      </c>
      <c r="CJ39" s="9" t="str">
        <f t="shared" si="86"/>
        <v>04</v>
      </c>
      <c r="CK39" s="1" t="str">
        <f t="shared" si="87"/>
        <v>310</v>
      </c>
      <c r="CL39" s="9" t="str">
        <f t="shared" si="88"/>
        <v>07</v>
      </c>
      <c r="CM39" s="9"/>
    </row>
    <row r="40" spans="1:91" ht="12.75" customHeight="1" x14ac:dyDescent="0.25">
      <c r="A40" s="8"/>
      <c r="B40" s="15" t="s">
        <v>53</v>
      </c>
      <c r="C40" s="20">
        <v>4</v>
      </c>
      <c r="D40" s="20">
        <v>9</v>
      </c>
      <c r="E40" s="20">
        <v>5</v>
      </c>
      <c r="F40" s="20">
        <v>6</v>
      </c>
      <c r="G40" s="20">
        <v>3</v>
      </c>
      <c r="H40" s="20">
        <v>7</v>
      </c>
      <c r="I40" s="20">
        <v>7</v>
      </c>
      <c r="J40" s="20">
        <v>5</v>
      </c>
      <c r="K40" s="20">
        <v>5</v>
      </c>
      <c r="L40" s="20">
        <v>9</v>
      </c>
      <c r="M40" s="20">
        <v>6</v>
      </c>
      <c r="N40" s="20">
        <v>5</v>
      </c>
      <c r="O40" s="20">
        <v>2</v>
      </c>
      <c r="P40" s="20">
        <v>4</v>
      </c>
      <c r="Q40" s="20">
        <v>4</v>
      </c>
      <c r="R40" s="20">
        <v>5</v>
      </c>
      <c r="S40" s="20">
        <v>4</v>
      </c>
      <c r="T40" s="20">
        <v>2</v>
      </c>
      <c r="U40" s="20">
        <v>7</v>
      </c>
      <c r="V40" s="20">
        <v>5</v>
      </c>
      <c r="W40" s="20">
        <v>2</v>
      </c>
      <c r="X40" s="20">
        <v>3</v>
      </c>
      <c r="Y40" s="20">
        <v>1</v>
      </c>
      <c r="Z40" s="20">
        <v>2</v>
      </c>
      <c r="AB40" s="7" t="s">
        <v>9</v>
      </c>
      <c r="AC40" s="1" t="str">
        <f t="shared" si="27"/>
        <v>090</v>
      </c>
      <c r="AD40" s="9" t="str">
        <f t="shared" si="28"/>
        <v>05</v>
      </c>
      <c r="AE40" s="1" t="str">
        <f t="shared" si="29"/>
        <v>070</v>
      </c>
      <c r="AF40" s="9" t="str">
        <f t="shared" si="30"/>
        <v>07</v>
      </c>
      <c r="AG40" s="1" t="str">
        <f t="shared" si="31"/>
        <v>100</v>
      </c>
      <c r="AH40" s="9" t="str">
        <f t="shared" si="32"/>
        <v>03</v>
      </c>
      <c r="AI40" s="1" t="str">
        <f t="shared" si="33"/>
        <v>270</v>
      </c>
      <c r="AJ40" s="9" t="str">
        <f t="shared" si="34"/>
        <v>03</v>
      </c>
      <c r="AK40" s="1" t="str">
        <f t="shared" si="35"/>
        <v>140</v>
      </c>
      <c r="AL40" s="9" t="str">
        <f t="shared" si="36"/>
        <v>03</v>
      </c>
      <c r="AM40" s="1" t="str">
        <f t="shared" si="37"/>
        <v>080</v>
      </c>
      <c r="AN40" s="9" t="str">
        <f t="shared" si="38"/>
        <v>09</v>
      </c>
      <c r="AO40" s="1" t="str">
        <f t="shared" si="39"/>
        <v>340</v>
      </c>
      <c r="AP40" s="9" t="str">
        <f t="shared" si="40"/>
        <v>06</v>
      </c>
      <c r="AQ40" s="1" t="str">
        <f t="shared" si="41"/>
        <v>310</v>
      </c>
      <c r="AR40" s="9" t="str">
        <f t="shared" si="42"/>
        <v>07</v>
      </c>
      <c r="AS40" s="1" t="str">
        <f t="shared" si="43"/>
        <v>320</v>
      </c>
      <c r="AT40" s="9" t="str">
        <f t="shared" si="44"/>
        <v>03</v>
      </c>
      <c r="AU40" s="1" t="str">
        <f t="shared" si="45"/>
        <v>330</v>
      </c>
      <c r="AV40" s="9" t="str">
        <f t="shared" si="46"/>
        <v>07</v>
      </c>
      <c r="AW40" s="1" t="str">
        <f t="shared" si="47"/>
        <v>310</v>
      </c>
      <c r="AX40" s="9" t="str">
        <f t="shared" si="48"/>
        <v>08</v>
      </c>
      <c r="AY40" s="1" t="str">
        <f t="shared" si="49"/>
        <v>310</v>
      </c>
      <c r="AZ40" s="9">
        <f t="shared" si="50"/>
        <v>13</v>
      </c>
      <c r="BA40" s="1" t="str">
        <f t="shared" si="51"/>
        <v>300</v>
      </c>
      <c r="BB40" s="9" t="str">
        <f t="shared" si="52"/>
        <v>04</v>
      </c>
      <c r="BC40" s="1" t="str">
        <f t="shared" si="53"/>
        <v>140</v>
      </c>
      <c r="BD40" s="9" t="str">
        <f t="shared" si="54"/>
        <v>05</v>
      </c>
      <c r="BE40" s="1" t="str">
        <f t="shared" si="55"/>
        <v>300</v>
      </c>
      <c r="BF40" s="9" t="str">
        <f t="shared" si="56"/>
        <v>07</v>
      </c>
      <c r="BG40" s="1" t="str">
        <f t="shared" si="57"/>
        <v>250</v>
      </c>
      <c r="BH40" s="9" t="str">
        <f t="shared" si="58"/>
        <v>08</v>
      </c>
      <c r="BI40" s="1" t="str">
        <f t="shared" si="59"/>
        <v>270</v>
      </c>
      <c r="BJ40" s="9" t="str">
        <f t="shared" si="60"/>
        <v>07</v>
      </c>
      <c r="BK40" s="1" t="str">
        <f t="shared" si="61"/>
        <v>300</v>
      </c>
      <c r="BL40" s="9" t="str">
        <f t="shared" si="62"/>
        <v>09</v>
      </c>
      <c r="BM40" s="1" t="str">
        <f t="shared" si="63"/>
        <v>280</v>
      </c>
      <c r="BN40" s="9">
        <f t="shared" si="64"/>
        <v>11</v>
      </c>
      <c r="BO40" s="1" t="str">
        <f t="shared" si="65"/>
        <v>320</v>
      </c>
      <c r="BP40" s="9" t="str">
        <f t="shared" si="66"/>
        <v>06</v>
      </c>
      <c r="BQ40" s="1" t="str">
        <f t="shared" si="67"/>
        <v>280</v>
      </c>
      <c r="BR40" s="9">
        <f t="shared" si="68"/>
        <v>10</v>
      </c>
      <c r="BS40" s="1" t="str">
        <f t="shared" si="69"/>
        <v>300</v>
      </c>
      <c r="BT40" s="9" t="str">
        <f t="shared" si="70"/>
        <v>05</v>
      </c>
      <c r="BU40" s="1" t="str">
        <f t="shared" si="71"/>
        <v>000</v>
      </c>
      <c r="BV40" s="9" t="str">
        <f t="shared" si="72"/>
        <v>00</v>
      </c>
      <c r="BW40" s="1" t="str">
        <f t="shared" si="73"/>
        <v>310</v>
      </c>
      <c r="BX40" s="9" t="str">
        <f t="shared" si="74"/>
        <v>04</v>
      </c>
      <c r="BY40" s="1" t="str">
        <f t="shared" si="75"/>
        <v>270</v>
      </c>
      <c r="BZ40" s="9" t="str">
        <f t="shared" si="76"/>
        <v>04</v>
      </c>
      <c r="CA40" s="1" t="str">
        <f t="shared" si="77"/>
        <v>260</v>
      </c>
      <c r="CB40" s="9" t="str">
        <f t="shared" si="78"/>
        <v>07</v>
      </c>
      <c r="CC40" s="1" t="str">
        <f t="shared" si="79"/>
        <v>290</v>
      </c>
      <c r="CD40" s="9" t="str">
        <f t="shared" si="80"/>
        <v>07</v>
      </c>
      <c r="CE40" s="1" t="str">
        <f t="shared" si="81"/>
        <v>310</v>
      </c>
      <c r="CF40" s="9" t="str">
        <f t="shared" si="82"/>
        <v>06</v>
      </c>
      <c r="CG40" s="1" t="str">
        <f t="shared" si="83"/>
        <v>310</v>
      </c>
      <c r="CH40" s="9" t="str">
        <f t="shared" si="84"/>
        <v>07</v>
      </c>
      <c r="CI40" s="1" t="str">
        <f t="shared" si="85"/>
        <v>320</v>
      </c>
      <c r="CJ40" s="9" t="str">
        <f t="shared" si="86"/>
        <v>04</v>
      </c>
      <c r="CK40" s="1" t="str">
        <f t="shared" si="87"/>
        <v>300</v>
      </c>
      <c r="CL40" s="9" t="str">
        <f t="shared" si="88"/>
        <v>06</v>
      </c>
      <c r="CM40" s="9"/>
    </row>
    <row r="41" spans="1:91" ht="12.75" customHeight="1" x14ac:dyDescent="0.25">
      <c r="A41" s="8">
        <v>19</v>
      </c>
      <c r="B41" s="14" t="s">
        <v>52</v>
      </c>
      <c r="C41" s="18" t="s">
        <v>25</v>
      </c>
      <c r="D41" s="18" t="s">
        <v>27</v>
      </c>
      <c r="E41" s="18" t="s">
        <v>28</v>
      </c>
      <c r="F41" s="18" t="s">
        <v>30</v>
      </c>
      <c r="G41" s="18" t="s">
        <v>30</v>
      </c>
      <c r="H41" s="18" t="s">
        <v>29</v>
      </c>
      <c r="I41" s="18" t="s">
        <v>30</v>
      </c>
      <c r="J41" s="18" t="s">
        <v>29</v>
      </c>
      <c r="K41" s="18" t="s">
        <v>26</v>
      </c>
      <c r="L41" s="18" t="s">
        <v>28</v>
      </c>
      <c r="M41" s="18" t="s">
        <v>29</v>
      </c>
      <c r="N41" s="18" t="s">
        <v>28</v>
      </c>
      <c r="O41" s="18" t="s">
        <v>26</v>
      </c>
      <c r="P41" s="18" t="s">
        <v>27</v>
      </c>
      <c r="Q41" s="18" t="s">
        <v>31</v>
      </c>
      <c r="R41" s="18" t="s">
        <v>30</v>
      </c>
      <c r="S41" s="18" t="s">
        <v>29</v>
      </c>
      <c r="T41" s="18" t="s">
        <v>30</v>
      </c>
      <c r="U41" s="18" t="s">
        <v>28</v>
      </c>
      <c r="V41" s="18" t="s">
        <v>30</v>
      </c>
      <c r="W41" s="18" t="s">
        <v>31</v>
      </c>
      <c r="X41" s="18" t="s">
        <v>31</v>
      </c>
      <c r="Y41" s="18" t="s">
        <v>29</v>
      </c>
      <c r="Z41" s="18" t="s">
        <v>30</v>
      </c>
      <c r="AB41" s="7" t="s">
        <v>10</v>
      </c>
      <c r="AC41" s="1" t="str">
        <f t="shared" si="27"/>
        <v>190</v>
      </c>
      <c r="AD41" s="9" t="str">
        <f t="shared" si="28"/>
        <v>05</v>
      </c>
      <c r="AE41" s="1" t="str">
        <f t="shared" si="29"/>
        <v>120</v>
      </c>
      <c r="AF41" s="9" t="str">
        <f t="shared" si="30"/>
        <v>03</v>
      </c>
      <c r="AG41" s="1" t="str">
        <f t="shared" si="31"/>
        <v>110</v>
      </c>
      <c r="AH41" s="9" t="str">
        <f t="shared" si="32"/>
        <v>04</v>
      </c>
      <c r="AI41" s="1" t="str">
        <f t="shared" si="33"/>
        <v>210</v>
      </c>
      <c r="AJ41" s="9" t="str">
        <f t="shared" si="34"/>
        <v>02</v>
      </c>
      <c r="AK41" s="1" t="str">
        <f t="shared" si="35"/>
        <v>120</v>
      </c>
      <c r="AL41" s="9" t="str">
        <f t="shared" si="36"/>
        <v>09</v>
      </c>
      <c r="AM41" s="1" t="str">
        <f t="shared" si="37"/>
        <v>250</v>
      </c>
      <c r="AN41" s="9" t="str">
        <f t="shared" si="38"/>
        <v>09</v>
      </c>
      <c r="AO41" s="1" t="str">
        <f t="shared" si="39"/>
        <v>310</v>
      </c>
      <c r="AP41" s="9" t="str">
        <f t="shared" si="40"/>
        <v>02</v>
      </c>
      <c r="AQ41" s="1" t="str">
        <f t="shared" si="41"/>
        <v>320</v>
      </c>
      <c r="AR41" s="9" t="str">
        <f t="shared" si="42"/>
        <v>09</v>
      </c>
      <c r="AS41" s="1" t="str">
        <f t="shared" si="43"/>
        <v>320</v>
      </c>
      <c r="AT41" s="9" t="str">
        <f t="shared" si="44"/>
        <v>04</v>
      </c>
      <c r="AU41" s="1" t="str">
        <f t="shared" si="45"/>
        <v>310</v>
      </c>
      <c r="AV41" s="9" t="str">
        <f t="shared" si="46"/>
        <v>05</v>
      </c>
      <c r="AW41" s="1" t="str">
        <f t="shared" si="47"/>
        <v>310</v>
      </c>
      <c r="AX41" s="9" t="str">
        <f t="shared" si="48"/>
        <v>05</v>
      </c>
      <c r="AY41" s="1" t="str">
        <f t="shared" si="49"/>
        <v>280</v>
      </c>
      <c r="AZ41" s="9" t="str">
        <f t="shared" si="50"/>
        <v>06</v>
      </c>
      <c r="BA41" s="1" t="str">
        <f t="shared" si="51"/>
        <v>290</v>
      </c>
      <c r="BB41" s="9" t="str">
        <f t="shared" si="52"/>
        <v>03</v>
      </c>
      <c r="BC41" s="1" t="str">
        <f t="shared" si="53"/>
        <v>110</v>
      </c>
      <c r="BD41" s="9" t="str">
        <f t="shared" si="54"/>
        <v>01</v>
      </c>
      <c r="BE41" s="1" t="str">
        <f t="shared" si="55"/>
        <v>300</v>
      </c>
      <c r="BF41" s="9" t="str">
        <f t="shared" si="56"/>
        <v>04</v>
      </c>
      <c r="BG41" s="1" t="str">
        <f t="shared" si="57"/>
        <v>270</v>
      </c>
      <c r="BH41" s="9" t="str">
        <f t="shared" si="58"/>
        <v>06</v>
      </c>
      <c r="BI41" s="1" t="str">
        <f t="shared" si="59"/>
        <v>280</v>
      </c>
      <c r="BJ41" s="9" t="str">
        <f t="shared" si="60"/>
        <v>08</v>
      </c>
      <c r="BK41" s="1" t="str">
        <f t="shared" si="61"/>
        <v>290</v>
      </c>
      <c r="BL41" s="9" t="str">
        <f t="shared" si="62"/>
        <v>06</v>
      </c>
      <c r="BM41" s="1" t="str">
        <f t="shared" si="63"/>
        <v>290</v>
      </c>
      <c r="BN41" s="9">
        <f t="shared" si="64"/>
        <v>11</v>
      </c>
      <c r="BO41" s="1" t="str">
        <f t="shared" si="65"/>
        <v>320</v>
      </c>
      <c r="BP41" s="9" t="str">
        <f t="shared" si="66"/>
        <v>06</v>
      </c>
      <c r="BQ41" s="1" t="str">
        <f t="shared" si="67"/>
        <v>300</v>
      </c>
      <c r="BR41" s="9" t="str">
        <f t="shared" si="68"/>
        <v>09</v>
      </c>
      <c r="BS41" s="1" t="str">
        <f t="shared" si="69"/>
        <v>280</v>
      </c>
      <c r="BT41" s="9" t="str">
        <f t="shared" si="70"/>
        <v>03</v>
      </c>
      <c r="BU41" s="1" t="str">
        <f t="shared" si="71"/>
        <v>220</v>
      </c>
      <c r="BV41" s="9" t="str">
        <f t="shared" si="72"/>
        <v>02</v>
      </c>
      <c r="BW41" s="1" t="str">
        <f t="shared" si="73"/>
        <v>300</v>
      </c>
      <c r="BX41" s="9" t="str">
        <f t="shared" si="74"/>
        <v>03</v>
      </c>
      <c r="BY41" s="1" t="str">
        <f t="shared" si="75"/>
        <v>250</v>
      </c>
      <c r="BZ41" s="9" t="str">
        <f t="shared" si="76"/>
        <v>04</v>
      </c>
      <c r="CA41" s="1" t="str">
        <f t="shared" si="77"/>
        <v>260</v>
      </c>
      <c r="CB41" s="9" t="str">
        <f t="shared" si="78"/>
        <v>05</v>
      </c>
      <c r="CC41" s="1" t="str">
        <f t="shared" si="79"/>
        <v>300</v>
      </c>
      <c r="CD41" s="9" t="str">
        <f t="shared" si="80"/>
        <v>04</v>
      </c>
      <c r="CE41" s="1" t="str">
        <f t="shared" si="81"/>
        <v>280</v>
      </c>
      <c r="CF41" s="9" t="str">
        <f t="shared" si="82"/>
        <v>03</v>
      </c>
      <c r="CG41" s="1" t="str">
        <f t="shared" si="83"/>
        <v>230</v>
      </c>
      <c r="CH41" s="9" t="str">
        <f t="shared" si="84"/>
        <v>06</v>
      </c>
      <c r="CI41" s="1" t="str">
        <f t="shared" si="85"/>
        <v>310</v>
      </c>
      <c r="CJ41" s="9" t="str">
        <f t="shared" si="86"/>
        <v>04</v>
      </c>
      <c r="CK41" s="1" t="str">
        <f t="shared" si="87"/>
        <v>310</v>
      </c>
      <c r="CL41" s="9" t="str">
        <f t="shared" si="88"/>
        <v>05</v>
      </c>
      <c r="CM41" s="9"/>
    </row>
    <row r="42" spans="1:91" ht="12.75" customHeight="1" x14ac:dyDescent="0.25">
      <c r="A42" s="8"/>
      <c r="B42" s="15" t="s">
        <v>53</v>
      </c>
      <c r="C42" s="20">
        <v>14</v>
      </c>
      <c r="D42" s="20">
        <v>16</v>
      </c>
      <c r="E42" s="20">
        <v>12</v>
      </c>
      <c r="F42" s="20">
        <v>17</v>
      </c>
      <c r="G42" s="20">
        <v>14</v>
      </c>
      <c r="H42" s="20">
        <v>18</v>
      </c>
      <c r="I42" s="20">
        <v>13</v>
      </c>
      <c r="J42" s="20">
        <v>15</v>
      </c>
      <c r="K42" s="20">
        <v>10</v>
      </c>
      <c r="L42" s="20">
        <v>11</v>
      </c>
      <c r="M42" s="20">
        <v>11</v>
      </c>
      <c r="N42" s="20">
        <v>8</v>
      </c>
      <c r="O42" s="20">
        <v>4</v>
      </c>
      <c r="P42" s="20">
        <v>2</v>
      </c>
      <c r="Q42" s="20">
        <v>3</v>
      </c>
      <c r="R42" s="20">
        <v>4</v>
      </c>
      <c r="S42" s="20">
        <v>4</v>
      </c>
      <c r="T42" s="20">
        <v>15</v>
      </c>
      <c r="U42" s="20">
        <v>4</v>
      </c>
      <c r="V42" s="20">
        <v>6</v>
      </c>
      <c r="W42" s="20">
        <v>8</v>
      </c>
      <c r="X42" s="20">
        <v>5</v>
      </c>
      <c r="Y42" s="20">
        <v>4</v>
      </c>
      <c r="Z42" s="20">
        <v>4</v>
      </c>
      <c r="AB42" s="7" t="s">
        <v>11</v>
      </c>
      <c r="AC42" s="1" t="str">
        <f t="shared" si="27"/>
        <v>000</v>
      </c>
      <c r="AD42" s="9" t="str">
        <f t="shared" si="28"/>
        <v>00</v>
      </c>
      <c r="AE42" s="1" t="str">
        <f t="shared" si="29"/>
        <v>150</v>
      </c>
      <c r="AF42" s="9" t="str">
        <f t="shared" si="30"/>
        <v>03</v>
      </c>
      <c r="AG42" s="1" t="str">
        <f t="shared" si="31"/>
        <v>130</v>
      </c>
      <c r="AH42" s="9" t="str">
        <f t="shared" si="32"/>
        <v>03</v>
      </c>
      <c r="AI42" s="1" t="str">
        <f t="shared" si="33"/>
        <v>150</v>
      </c>
      <c r="AJ42" s="9" t="str">
        <f t="shared" si="34"/>
        <v>02</v>
      </c>
      <c r="AK42" s="1" t="str">
        <f t="shared" si="35"/>
        <v>120</v>
      </c>
      <c r="AL42" s="9" t="str">
        <f t="shared" si="36"/>
        <v>07</v>
      </c>
      <c r="AM42" s="1" t="str">
        <f t="shared" si="37"/>
        <v>260</v>
      </c>
      <c r="AN42" s="9" t="str">
        <f t="shared" si="38"/>
        <v>06</v>
      </c>
      <c r="AO42" s="1" t="str">
        <f t="shared" si="39"/>
        <v>300</v>
      </c>
      <c r="AP42" s="9" t="str">
        <f t="shared" si="40"/>
        <v>02</v>
      </c>
      <c r="AQ42" s="1" t="str">
        <f t="shared" si="41"/>
        <v>310</v>
      </c>
      <c r="AR42" s="9">
        <f t="shared" si="42"/>
        <v>10</v>
      </c>
      <c r="AS42" s="1" t="str">
        <f t="shared" si="43"/>
        <v>320</v>
      </c>
      <c r="AT42" s="9" t="str">
        <f t="shared" si="44"/>
        <v>04</v>
      </c>
      <c r="AU42" s="1" t="str">
        <f t="shared" si="45"/>
        <v>310</v>
      </c>
      <c r="AV42" s="9" t="str">
        <f t="shared" si="46"/>
        <v>03</v>
      </c>
      <c r="AW42" s="1" t="str">
        <f t="shared" si="47"/>
        <v>350</v>
      </c>
      <c r="AX42" s="9" t="str">
        <f t="shared" si="48"/>
        <v>02</v>
      </c>
      <c r="AY42" s="1" t="str">
        <f t="shared" si="49"/>
        <v>310</v>
      </c>
      <c r="AZ42" s="9" t="str">
        <f t="shared" si="50"/>
        <v>05</v>
      </c>
      <c r="BA42" s="1" t="str">
        <f t="shared" si="51"/>
        <v>300</v>
      </c>
      <c r="BB42" s="9" t="str">
        <f t="shared" si="52"/>
        <v>02</v>
      </c>
      <c r="BC42" s="1" t="str">
        <f t="shared" si="53"/>
        <v>110</v>
      </c>
      <c r="BD42" s="9" t="str">
        <f t="shared" si="54"/>
        <v>01</v>
      </c>
      <c r="BE42" s="1" t="str">
        <f t="shared" si="55"/>
        <v>310</v>
      </c>
      <c r="BF42" s="9" t="str">
        <f t="shared" si="56"/>
        <v>09</v>
      </c>
      <c r="BG42" s="1" t="str">
        <f t="shared" si="57"/>
        <v>240</v>
      </c>
      <c r="BH42" s="9" t="str">
        <f t="shared" si="58"/>
        <v>05</v>
      </c>
      <c r="BI42" s="1" t="str">
        <f t="shared" si="59"/>
        <v>190</v>
      </c>
      <c r="BJ42" s="9" t="str">
        <f t="shared" si="60"/>
        <v>04</v>
      </c>
      <c r="BK42" s="1" t="str">
        <f t="shared" si="61"/>
        <v>270</v>
      </c>
      <c r="BL42" s="9" t="str">
        <f t="shared" si="62"/>
        <v>05</v>
      </c>
      <c r="BM42" s="1" t="str">
        <f t="shared" si="63"/>
        <v>280</v>
      </c>
      <c r="BN42" s="9" t="str">
        <f t="shared" si="64"/>
        <v>08</v>
      </c>
      <c r="BO42" s="1" t="str">
        <f t="shared" si="65"/>
        <v>320</v>
      </c>
      <c r="BP42" s="9" t="str">
        <f t="shared" si="66"/>
        <v>08</v>
      </c>
      <c r="BQ42" s="1" t="str">
        <f t="shared" si="67"/>
        <v>290</v>
      </c>
      <c r="BR42" s="9" t="str">
        <f t="shared" si="68"/>
        <v>06</v>
      </c>
      <c r="BS42" s="1" t="str">
        <f t="shared" si="69"/>
        <v>270</v>
      </c>
      <c r="BT42" s="9" t="str">
        <f t="shared" si="70"/>
        <v>03</v>
      </c>
      <c r="BU42" s="1" t="str">
        <f t="shared" si="71"/>
        <v>000</v>
      </c>
      <c r="BV42" s="9" t="str">
        <f t="shared" si="72"/>
        <v>00</v>
      </c>
      <c r="BW42" s="1" t="str">
        <f t="shared" si="73"/>
        <v>300</v>
      </c>
      <c r="BX42" s="9" t="str">
        <f t="shared" si="74"/>
        <v>04</v>
      </c>
      <c r="BY42" s="1" t="str">
        <f t="shared" si="75"/>
        <v>220</v>
      </c>
      <c r="BZ42" s="9" t="str">
        <f t="shared" si="76"/>
        <v>03</v>
      </c>
      <c r="CA42" s="1" t="str">
        <f t="shared" si="77"/>
        <v>260</v>
      </c>
      <c r="CB42" s="9" t="str">
        <f t="shared" si="78"/>
        <v>04</v>
      </c>
      <c r="CC42" s="1" t="str">
        <f t="shared" si="79"/>
        <v>280</v>
      </c>
      <c r="CD42" s="9" t="str">
        <f t="shared" si="80"/>
        <v>03</v>
      </c>
      <c r="CE42" s="1" t="str">
        <f t="shared" si="81"/>
        <v>270</v>
      </c>
      <c r="CF42" s="9" t="str">
        <f t="shared" si="82"/>
        <v>04</v>
      </c>
      <c r="CG42" s="1" t="str">
        <f t="shared" si="83"/>
        <v>250</v>
      </c>
      <c r="CH42" s="9" t="str">
        <f t="shared" si="84"/>
        <v>05</v>
      </c>
      <c r="CI42" s="1" t="str">
        <f t="shared" si="85"/>
        <v>270</v>
      </c>
      <c r="CJ42" s="9" t="str">
        <f t="shared" si="86"/>
        <v>02</v>
      </c>
      <c r="CK42" s="1" t="str">
        <f t="shared" si="87"/>
        <v>250</v>
      </c>
      <c r="CL42" s="9" t="str">
        <f t="shared" si="88"/>
        <v>04</v>
      </c>
      <c r="CM42" s="9"/>
    </row>
    <row r="43" spans="1:91" ht="12.75" customHeight="1" x14ac:dyDescent="0.25">
      <c r="A43" s="8">
        <v>20</v>
      </c>
      <c r="B43" s="14" t="s">
        <v>52</v>
      </c>
      <c r="C43" s="18" t="s">
        <v>31</v>
      </c>
      <c r="D43" s="18" t="s">
        <v>30</v>
      </c>
      <c r="E43" s="18" t="s">
        <v>31</v>
      </c>
      <c r="F43" s="18" t="s">
        <v>31</v>
      </c>
      <c r="G43" s="18" t="s">
        <v>31</v>
      </c>
      <c r="H43" s="18" t="s">
        <v>31</v>
      </c>
      <c r="I43" s="18" t="s">
        <v>68</v>
      </c>
      <c r="J43" s="18" t="s">
        <v>31</v>
      </c>
      <c r="K43" s="18" t="s">
        <v>68</v>
      </c>
      <c r="L43" s="18" t="s">
        <v>68</v>
      </c>
      <c r="M43" s="18" t="s">
        <v>68</v>
      </c>
      <c r="N43" s="18" t="s">
        <v>68</v>
      </c>
      <c r="O43" s="18" t="s">
        <v>31</v>
      </c>
      <c r="P43" s="18" t="s">
        <v>68</v>
      </c>
      <c r="Q43" s="18" t="s">
        <v>68</v>
      </c>
      <c r="R43" s="18" t="s">
        <v>68</v>
      </c>
      <c r="S43" s="18" t="s">
        <v>27</v>
      </c>
      <c r="T43" s="18" t="s">
        <v>31</v>
      </c>
      <c r="U43" s="18" t="s">
        <v>68</v>
      </c>
      <c r="V43" s="18" t="s">
        <v>68</v>
      </c>
      <c r="W43" s="18" t="s">
        <v>59</v>
      </c>
      <c r="X43" s="18" t="s">
        <v>31</v>
      </c>
      <c r="Y43" s="18" t="s">
        <v>30</v>
      </c>
      <c r="Z43" s="18" t="s">
        <v>29</v>
      </c>
      <c r="AB43" s="7" t="s">
        <v>12</v>
      </c>
      <c r="AC43" s="1" t="str">
        <f t="shared" si="27"/>
        <v>200</v>
      </c>
      <c r="AD43" s="9" t="str">
        <f t="shared" si="28"/>
        <v>02</v>
      </c>
      <c r="AE43" s="1" t="str">
        <f t="shared" si="29"/>
        <v>150</v>
      </c>
      <c r="AF43" s="9" t="str">
        <f t="shared" si="30"/>
        <v>02</v>
      </c>
      <c r="AG43" s="1" t="str">
        <f t="shared" si="31"/>
        <v>110</v>
      </c>
      <c r="AH43" s="9" t="str">
        <f t="shared" si="32"/>
        <v>04</v>
      </c>
      <c r="AI43" s="1" t="str">
        <f t="shared" si="33"/>
        <v>120</v>
      </c>
      <c r="AJ43" s="9" t="str">
        <f t="shared" si="34"/>
        <v>02</v>
      </c>
      <c r="AK43" s="1" t="str">
        <f t="shared" si="35"/>
        <v>140</v>
      </c>
      <c r="AL43" s="9" t="str">
        <f t="shared" si="36"/>
        <v>04</v>
      </c>
      <c r="AM43" s="1" t="str">
        <f t="shared" si="37"/>
        <v>220</v>
      </c>
      <c r="AN43" s="9" t="str">
        <f t="shared" si="38"/>
        <v>04</v>
      </c>
      <c r="AO43" s="1" t="str">
        <f t="shared" si="39"/>
        <v>250</v>
      </c>
      <c r="AP43" s="9" t="str">
        <f t="shared" si="40"/>
        <v>02</v>
      </c>
      <c r="AQ43" s="1" t="str">
        <f t="shared" si="41"/>
        <v>310</v>
      </c>
      <c r="AR43" s="9" t="str">
        <f t="shared" si="42"/>
        <v>04</v>
      </c>
      <c r="AS43" s="1" t="str">
        <f t="shared" si="43"/>
        <v>320</v>
      </c>
      <c r="AT43" s="9" t="str">
        <f t="shared" si="44"/>
        <v>06</v>
      </c>
      <c r="AU43" s="1" t="str">
        <f t="shared" si="45"/>
        <v>000</v>
      </c>
      <c r="AV43" s="9" t="str">
        <f t="shared" si="46"/>
        <v>00</v>
      </c>
      <c r="AW43" s="1" t="str">
        <f t="shared" si="47"/>
        <v>330</v>
      </c>
      <c r="AX43" s="9" t="str">
        <f t="shared" si="48"/>
        <v>02</v>
      </c>
      <c r="AY43" s="1" t="str">
        <f t="shared" si="49"/>
        <v>100</v>
      </c>
      <c r="AZ43" s="9" t="str">
        <f t="shared" si="50"/>
        <v>04</v>
      </c>
      <c r="BA43" s="1" t="str">
        <f t="shared" si="51"/>
        <v>270</v>
      </c>
      <c r="BB43" s="9" t="str">
        <f t="shared" si="52"/>
        <v>03</v>
      </c>
      <c r="BC43" s="1" t="str">
        <f t="shared" si="53"/>
        <v>290</v>
      </c>
      <c r="BD43" s="9" t="str">
        <f t="shared" si="54"/>
        <v>02</v>
      </c>
      <c r="BE43" s="1" t="str">
        <f t="shared" si="55"/>
        <v>180</v>
      </c>
      <c r="BF43" s="9" t="str">
        <f t="shared" si="56"/>
        <v>03</v>
      </c>
      <c r="BG43" s="1" t="str">
        <f t="shared" si="57"/>
        <v>000</v>
      </c>
      <c r="BH43" s="9" t="str">
        <f t="shared" si="58"/>
        <v>00</v>
      </c>
      <c r="BI43" s="1" t="str">
        <f t="shared" si="59"/>
        <v>300</v>
      </c>
      <c r="BJ43" s="9" t="str">
        <f t="shared" si="60"/>
        <v>04</v>
      </c>
      <c r="BK43" s="1" t="str">
        <f t="shared" si="61"/>
        <v>280</v>
      </c>
      <c r="BL43" s="9" t="str">
        <f t="shared" si="62"/>
        <v>02</v>
      </c>
      <c r="BM43" s="1" t="str">
        <f t="shared" si="63"/>
        <v>260</v>
      </c>
      <c r="BN43" s="9" t="str">
        <f t="shared" si="64"/>
        <v>04</v>
      </c>
      <c r="BO43" s="1" t="str">
        <f t="shared" si="65"/>
        <v>310</v>
      </c>
      <c r="BP43" s="9">
        <f t="shared" si="66"/>
        <v>11</v>
      </c>
      <c r="BQ43" s="1" t="str">
        <f t="shared" si="67"/>
        <v>280</v>
      </c>
      <c r="BR43" s="9" t="str">
        <f t="shared" si="68"/>
        <v>06</v>
      </c>
      <c r="BS43" s="1" t="str">
        <f t="shared" si="69"/>
        <v>280</v>
      </c>
      <c r="BT43" s="9" t="str">
        <f t="shared" si="70"/>
        <v>05</v>
      </c>
      <c r="BU43" s="1" t="str">
        <f t="shared" si="71"/>
        <v>250</v>
      </c>
      <c r="BV43" s="9" t="str">
        <f t="shared" si="72"/>
        <v>02</v>
      </c>
      <c r="BW43" s="1" t="str">
        <f t="shared" si="73"/>
        <v>000</v>
      </c>
      <c r="BX43" s="9" t="str">
        <f t="shared" si="74"/>
        <v>00</v>
      </c>
      <c r="BY43" s="1" t="str">
        <f t="shared" si="75"/>
        <v>100</v>
      </c>
      <c r="BZ43" s="9" t="str">
        <f t="shared" si="76"/>
        <v>02</v>
      </c>
      <c r="CA43" s="1" t="str">
        <f t="shared" si="77"/>
        <v>160</v>
      </c>
      <c r="CB43" s="9" t="str">
        <f t="shared" si="78"/>
        <v>02</v>
      </c>
      <c r="CC43" s="1" t="str">
        <f t="shared" si="79"/>
        <v>170</v>
      </c>
      <c r="CD43" s="9" t="str">
        <f t="shared" si="80"/>
        <v>02</v>
      </c>
      <c r="CE43" s="1" t="str">
        <f t="shared" si="81"/>
        <v>230</v>
      </c>
      <c r="CF43" s="9" t="str">
        <f t="shared" si="82"/>
        <v>02</v>
      </c>
      <c r="CG43" s="1" t="str">
        <f t="shared" si="83"/>
        <v>240</v>
      </c>
      <c r="CH43" s="9" t="str">
        <f t="shared" si="84"/>
        <v>02</v>
      </c>
      <c r="CI43" s="1" t="str">
        <f t="shared" si="85"/>
        <v>000</v>
      </c>
      <c r="CJ43" s="9" t="str">
        <f t="shared" si="86"/>
        <v>00</v>
      </c>
      <c r="CK43" s="1" t="str">
        <f t="shared" si="87"/>
        <v>250</v>
      </c>
      <c r="CL43" s="9" t="str">
        <f t="shared" si="88"/>
        <v>02</v>
      </c>
      <c r="CM43" s="9"/>
    </row>
    <row r="44" spans="1:91" ht="12.75" customHeight="1" x14ac:dyDescent="0.25">
      <c r="A44" s="8"/>
      <c r="B44" s="15" t="s">
        <v>53</v>
      </c>
      <c r="C44" s="20">
        <v>6</v>
      </c>
      <c r="D44" s="20">
        <v>8</v>
      </c>
      <c r="E44" s="20">
        <v>7</v>
      </c>
      <c r="F44" s="20">
        <v>10</v>
      </c>
      <c r="G44" s="20">
        <v>9</v>
      </c>
      <c r="H44" s="20">
        <v>10</v>
      </c>
      <c r="I44" s="20">
        <v>6</v>
      </c>
      <c r="J44" s="20">
        <v>7</v>
      </c>
      <c r="K44" s="20">
        <v>3</v>
      </c>
      <c r="L44" s="20">
        <v>6</v>
      </c>
      <c r="M44" s="20">
        <v>6</v>
      </c>
      <c r="N44" s="20">
        <v>8</v>
      </c>
      <c r="O44" s="20">
        <v>11</v>
      </c>
      <c r="P44" s="20">
        <v>10</v>
      </c>
      <c r="Q44" s="20">
        <v>7</v>
      </c>
      <c r="R44" s="20">
        <v>10</v>
      </c>
      <c r="S44" s="20">
        <v>16</v>
      </c>
      <c r="T44" s="20">
        <v>6</v>
      </c>
      <c r="U44" s="20">
        <v>9</v>
      </c>
      <c r="V44" s="20">
        <v>10</v>
      </c>
      <c r="W44" s="20">
        <v>14</v>
      </c>
      <c r="X44" s="20">
        <v>16</v>
      </c>
      <c r="Y44" s="20">
        <v>16</v>
      </c>
      <c r="Z44" s="20">
        <v>16</v>
      </c>
      <c r="AB44" s="7" t="s">
        <v>13</v>
      </c>
      <c r="AC44" s="1" t="str">
        <f t="shared" si="27"/>
        <v>250</v>
      </c>
      <c r="AD44" s="9" t="str">
        <f t="shared" si="28"/>
        <v>01</v>
      </c>
      <c r="AE44" s="1" t="str">
        <f t="shared" si="29"/>
        <v>260</v>
      </c>
      <c r="AF44" s="9" t="str">
        <f t="shared" si="30"/>
        <v>03</v>
      </c>
      <c r="AG44" s="1" t="str">
        <f t="shared" si="31"/>
        <v>070</v>
      </c>
      <c r="AH44" s="9" t="str">
        <f t="shared" si="32"/>
        <v>03</v>
      </c>
      <c r="AI44" s="1" t="str">
        <f t="shared" si="33"/>
        <v>080</v>
      </c>
      <c r="AJ44" s="9" t="str">
        <f t="shared" si="34"/>
        <v>03</v>
      </c>
      <c r="AK44" s="1" t="str">
        <f t="shared" si="35"/>
        <v>120</v>
      </c>
      <c r="AL44" s="9" t="str">
        <f t="shared" si="36"/>
        <v>02</v>
      </c>
      <c r="AM44" s="1" t="str">
        <f t="shared" si="37"/>
        <v>120</v>
      </c>
      <c r="AN44" s="9" t="str">
        <f t="shared" si="38"/>
        <v>04</v>
      </c>
      <c r="AO44" s="1" t="str">
        <f t="shared" si="39"/>
        <v>260</v>
      </c>
      <c r="AP44" s="9" t="str">
        <f t="shared" si="40"/>
        <v>01</v>
      </c>
      <c r="AQ44" s="1" t="str">
        <f t="shared" si="41"/>
        <v>000</v>
      </c>
      <c r="AR44" s="9" t="str">
        <f t="shared" si="42"/>
        <v>00</v>
      </c>
      <c r="AS44" s="1" t="str">
        <f t="shared" si="43"/>
        <v>330</v>
      </c>
      <c r="AT44" s="9" t="str">
        <f t="shared" si="44"/>
        <v>02</v>
      </c>
      <c r="AU44" s="1" t="str">
        <f t="shared" si="45"/>
        <v>000</v>
      </c>
      <c r="AV44" s="9" t="str">
        <f t="shared" si="46"/>
        <v>00</v>
      </c>
      <c r="AW44" s="1" t="str">
        <f t="shared" si="47"/>
        <v>250</v>
      </c>
      <c r="AX44" s="9" t="str">
        <f t="shared" si="48"/>
        <v>03</v>
      </c>
      <c r="AY44" s="1" t="str">
        <f t="shared" si="49"/>
        <v>090</v>
      </c>
      <c r="AZ44" s="9" t="str">
        <f t="shared" si="50"/>
        <v>03</v>
      </c>
      <c r="BA44" s="1" t="str">
        <f t="shared" si="51"/>
        <v>110</v>
      </c>
      <c r="BB44" s="9" t="str">
        <f t="shared" si="52"/>
        <v>02</v>
      </c>
      <c r="BC44" s="1" t="str">
        <f t="shared" si="53"/>
        <v>090</v>
      </c>
      <c r="BD44" s="9" t="str">
        <f t="shared" si="54"/>
        <v>03</v>
      </c>
      <c r="BE44" s="1" t="str">
        <f t="shared" si="55"/>
        <v>260</v>
      </c>
      <c r="BF44" s="9" t="str">
        <f t="shared" si="56"/>
        <v>04</v>
      </c>
      <c r="BG44" s="1" t="str">
        <f t="shared" si="57"/>
        <v>000</v>
      </c>
      <c r="BH44" s="9" t="str">
        <f t="shared" si="58"/>
        <v>00</v>
      </c>
      <c r="BI44" s="1" t="str">
        <f t="shared" si="59"/>
        <v>120</v>
      </c>
      <c r="BJ44" s="9" t="str">
        <f t="shared" si="60"/>
        <v>02</v>
      </c>
      <c r="BK44" s="1" t="str">
        <f t="shared" si="61"/>
        <v>280</v>
      </c>
      <c r="BL44" s="9" t="str">
        <f t="shared" si="62"/>
        <v>04</v>
      </c>
      <c r="BM44" s="1" t="str">
        <f t="shared" si="63"/>
        <v>270</v>
      </c>
      <c r="BN44" s="9" t="str">
        <f t="shared" si="64"/>
        <v>02</v>
      </c>
      <c r="BO44" s="1" t="str">
        <f t="shared" si="65"/>
        <v>320</v>
      </c>
      <c r="BP44" s="9">
        <f t="shared" si="66"/>
        <v>10</v>
      </c>
      <c r="BQ44" s="1" t="str">
        <f t="shared" si="67"/>
        <v>290</v>
      </c>
      <c r="BR44" s="9" t="str">
        <f t="shared" si="68"/>
        <v>05</v>
      </c>
      <c r="BS44" s="1" t="str">
        <f t="shared" si="69"/>
        <v>280</v>
      </c>
      <c r="BT44" s="9" t="str">
        <f t="shared" si="70"/>
        <v>03</v>
      </c>
      <c r="BU44" s="1" t="str">
        <f t="shared" si="71"/>
        <v>240</v>
      </c>
      <c r="BV44" s="9" t="str">
        <f t="shared" si="72"/>
        <v>04</v>
      </c>
      <c r="BW44" s="1" t="str">
        <f t="shared" si="73"/>
        <v>000</v>
      </c>
      <c r="BX44" s="9" t="str">
        <f t="shared" si="74"/>
        <v>00</v>
      </c>
      <c r="BY44" s="1" t="str">
        <f t="shared" si="75"/>
        <v>080</v>
      </c>
      <c r="BZ44" s="9" t="str">
        <f t="shared" si="76"/>
        <v>02</v>
      </c>
      <c r="CA44" s="1" t="str">
        <f t="shared" si="77"/>
        <v>200</v>
      </c>
      <c r="CB44" s="9" t="str">
        <f t="shared" si="78"/>
        <v>02</v>
      </c>
      <c r="CC44" s="1" t="str">
        <f t="shared" si="79"/>
        <v>200</v>
      </c>
      <c r="CD44" s="9" t="str">
        <f t="shared" si="80"/>
        <v>03</v>
      </c>
      <c r="CE44" s="1" t="str">
        <f t="shared" si="81"/>
        <v>150</v>
      </c>
      <c r="CF44" s="9" t="str">
        <f t="shared" si="82"/>
        <v>02</v>
      </c>
      <c r="CG44" s="1" t="str">
        <f t="shared" si="83"/>
        <v>240</v>
      </c>
      <c r="CH44" s="9" t="str">
        <f t="shared" si="84"/>
        <v>02</v>
      </c>
      <c r="CI44" s="1" t="str">
        <f t="shared" si="85"/>
        <v>000</v>
      </c>
      <c r="CJ44" s="9" t="str">
        <f t="shared" si="86"/>
        <v>00</v>
      </c>
      <c r="CK44" s="1" t="str">
        <f t="shared" si="87"/>
        <v>260</v>
      </c>
      <c r="CL44" s="9" t="str">
        <f t="shared" si="88"/>
        <v>02</v>
      </c>
      <c r="CM44" s="9"/>
    </row>
    <row r="45" spans="1:91" ht="12.75" customHeight="1" x14ac:dyDescent="0.25">
      <c r="A45" s="8">
        <v>21</v>
      </c>
      <c r="B45" s="14" t="s">
        <v>52</v>
      </c>
      <c r="C45" s="18" t="s">
        <v>29</v>
      </c>
      <c r="D45" s="18" t="s">
        <v>30</v>
      </c>
      <c r="E45" s="18" t="s">
        <v>30</v>
      </c>
      <c r="F45" s="18" t="s">
        <v>28</v>
      </c>
      <c r="G45" s="18" t="s">
        <v>28</v>
      </c>
      <c r="H45" s="18" t="s">
        <v>30</v>
      </c>
      <c r="I45" s="18" t="s">
        <v>30</v>
      </c>
      <c r="J45" s="18" t="s">
        <v>29</v>
      </c>
      <c r="K45" s="18" t="s">
        <v>28</v>
      </c>
      <c r="L45" s="18" t="s">
        <v>28</v>
      </c>
      <c r="M45" s="18" t="s">
        <v>30</v>
      </c>
      <c r="N45" s="18" t="s">
        <v>29</v>
      </c>
      <c r="O45" s="18" t="s">
        <v>28</v>
      </c>
      <c r="P45" s="18" t="s">
        <v>29</v>
      </c>
      <c r="Q45" s="18" t="s">
        <v>29</v>
      </c>
      <c r="R45" s="18" t="s">
        <v>28</v>
      </c>
      <c r="S45" s="18" t="s">
        <v>28</v>
      </c>
      <c r="T45" s="18" t="s">
        <v>27</v>
      </c>
      <c r="U45" s="18" t="s">
        <v>29</v>
      </c>
      <c r="V45" s="18" t="s">
        <v>28</v>
      </c>
      <c r="W45" s="18" t="s">
        <v>19</v>
      </c>
      <c r="X45" s="18" t="s">
        <v>27</v>
      </c>
      <c r="Y45" s="18" t="s">
        <v>27</v>
      </c>
      <c r="Z45" s="18" t="s">
        <v>29</v>
      </c>
      <c r="AB45" s="7" t="s">
        <v>14</v>
      </c>
      <c r="AC45" s="1" t="str">
        <f t="shared" si="27"/>
        <v>200</v>
      </c>
      <c r="AD45" s="9" t="str">
        <f t="shared" si="28"/>
        <v>03</v>
      </c>
      <c r="AE45" s="1" t="str">
        <f t="shared" si="29"/>
        <v>000</v>
      </c>
      <c r="AF45" s="9" t="str">
        <f t="shared" si="30"/>
        <v>00</v>
      </c>
      <c r="AG45" s="1" t="str">
        <f t="shared" si="31"/>
        <v>050</v>
      </c>
      <c r="AH45" s="9" t="str">
        <f t="shared" si="32"/>
        <v>03</v>
      </c>
      <c r="AI45" s="1" t="str">
        <f t="shared" si="33"/>
        <v>070</v>
      </c>
      <c r="AJ45" s="9" t="str">
        <f t="shared" si="34"/>
        <v>02</v>
      </c>
      <c r="AK45" s="1" t="str">
        <f t="shared" si="35"/>
        <v>180</v>
      </c>
      <c r="AL45" s="9" t="str">
        <f t="shared" si="36"/>
        <v>02</v>
      </c>
      <c r="AM45" s="1" t="str">
        <f t="shared" si="37"/>
        <v>170</v>
      </c>
      <c r="AN45" s="9" t="str">
        <f t="shared" si="38"/>
        <v>02</v>
      </c>
      <c r="AO45" s="1" t="str">
        <f t="shared" si="39"/>
        <v>310</v>
      </c>
      <c r="AP45" s="9" t="str">
        <f t="shared" si="40"/>
        <v>05</v>
      </c>
      <c r="AQ45" s="1" t="str">
        <f t="shared" si="41"/>
        <v>280</v>
      </c>
      <c r="AR45" s="9" t="str">
        <f t="shared" si="42"/>
        <v>02</v>
      </c>
      <c r="AS45" s="1" t="str">
        <f t="shared" si="43"/>
        <v>310</v>
      </c>
      <c r="AT45" s="9" t="str">
        <f t="shared" si="44"/>
        <v>03</v>
      </c>
      <c r="AU45" s="1" t="str">
        <f t="shared" si="45"/>
        <v>000</v>
      </c>
      <c r="AV45" s="9" t="str">
        <f t="shared" si="46"/>
        <v>00</v>
      </c>
      <c r="AW45" s="1" t="str">
        <f t="shared" si="47"/>
        <v>190</v>
      </c>
      <c r="AX45" s="9" t="str">
        <f t="shared" si="48"/>
        <v>01</v>
      </c>
      <c r="AY45" s="1" t="str">
        <f t="shared" si="49"/>
        <v>080</v>
      </c>
      <c r="AZ45" s="9" t="str">
        <f t="shared" si="50"/>
        <v>02</v>
      </c>
      <c r="BA45" s="1" t="str">
        <f t="shared" si="51"/>
        <v>250</v>
      </c>
      <c r="BB45" s="9" t="str">
        <f t="shared" si="52"/>
        <v>04</v>
      </c>
      <c r="BC45" s="1" t="str">
        <f t="shared" si="53"/>
        <v>130</v>
      </c>
      <c r="BD45" s="9" t="str">
        <f t="shared" si="54"/>
        <v>03</v>
      </c>
      <c r="BE45" s="1" t="str">
        <f t="shared" si="55"/>
        <v>230</v>
      </c>
      <c r="BF45" s="9" t="str">
        <f t="shared" si="56"/>
        <v>04</v>
      </c>
      <c r="BG45" s="1" t="str">
        <f t="shared" si="57"/>
        <v>000</v>
      </c>
      <c r="BH45" s="9" t="str">
        <f t="shared" si="58"/>
        <v>00</v>
      </c>
      <c r="BI45" s="1" t="str">
        <f t="shared" si="59"/>
        <v>130</v>
      </c>
      <c r="BJ45" s="9" t="str">
        <f t="shared" si="60"/>
        <v>01</v>
      </c>
      <c r="BK45" s="1" t="str">
        <f t="shared" si="61"/>
        <v>270</v>
      </c>
      <c r="BL45" s="9" t="str">
        <f t="shared" si="62"/>
        <v>04</v>
      </c>
      <c r="BM45" s="1" t="str">
        <f t="shared" si="63"/>
        <v>310</v>
      </c>
      <c r="BN45" s="9" t="str">
        <f t="shared" si="64"/>
        <v>03</v>
      </c>
      <c r="BO45" s="1" t="str">
        <f t="shared" si="65"/>
        <v>320</v>
      </c>
      <c r="BP45" s="9" t="str">
        <f t="shared" si="66"/>
        <v>07</v>
      </c>
      <c r="BQ45" s="1" t="str">
        <f t="shared" si="67"/>
        <v>290</v>
      </c>
      <c r="BR45" s="9" t="str">
        <f t="shared" si="68"/>
        <v>06</v>
      </c>
      <c r="BS45" s="1" t="str">
        <f t="shared" si="69"/>
        <v>270</v>
      </c>
      <c r="BT45" s="9" t="str">
        <f t="shared" si="70"/>
        <v>03</v>
      </c>
      <c r="BU45" s="1" t="str">
        <f t="shared" si="71"/>
        <v>230</v>
      </c>
      <c r="BV45" s="9" t="str">
        <f t="shared" si="72"/>
        <v>03</v>
      </c>
      <c r="BW45" s="1" t="str">
        <f t="shared" si="73"/>
        <v>190</v>
      </c>
      <c r="BX45" s="9" t="str">
        <f t="shared" si="74"/>
        <v>02</v>
      </c>
      <c r="BY45" s="1" t="str">
        <f t="shared" si="75"/>
        <v>110</v>
      </c>
      <c r="BZ45" s="9" t="str">
        <f t="shared" si="76"/>
        <v>02</v>
      </c>
      <c r="CA45" s="1" t="str">
        <f t="shared" si="77"/>
        <v>000</v>
      </c>
      <c r="CB45" s="9" t="str">
        <f t="shared" si="78"/>
        <v>00</v>
      </c>
      <c r="CC45" s="1" t="str">
        <f t="shared" si="79"/>
        <v>170</v>
      </c>
      <c r="CD45" s="9" t="str">
        <f t="shared" si="80"/>
        <v>01</v>
      </c>
      <c r="CE45" s="1" t="str">
        <f t="shared" si="81"/>
        <v>100</v>
      </c>
      <c r="CF45" s="9" t="str">
        <f t="shared" si="82"/>
        <v>02</v>
      </c>
      <c r="CG45" s="1" t="str">
        <f t="shared" si="83"/>
        <v>230</v>
      </c>
      <c r="CH45" s="9" t="str">
        <f t="shared" si="84"/>
        <v>03</v>
      </c>
      <c r="CI45" s="1" t="str">
        <f t="shared" si="85"/>
        <v>000</v>
      </c>
      <c r="CJ45" s="9" t="str">
        <f t="shared" si="86"/>
        <v>00</v>
      </c>
      <c r="CK45" s="1" t="str">
        <f t="shared" si="87"/>
        <v>000</v>
      </c>
      <c r="CL45" s="9" t="str">
        <f t="shared" si="88"/>
        <v>00</v>
      </c>
      <c r="CM45" s="9"/>
    </row>
    <row r="46" spans="1:91" ht="12.75" customHeight="1" x14ac:dyDescent="0.25">
      <c r="A46" s="8"/>
      <c r="B46" s="15" t="s">
        <v>53</v>
      </c>
      <c r="C46" s="20">
        <v>11</v>
      </c>
      <c r="D46" s="20">
        <v>12</v>
      </c>
      <c r="E46" s="20">
        <v>13</v>
      </c>
      <c r="F46" s="20">
        <v>15</v>
      </c>
      <c r="G46" s="20">
        <v>14</v>
      </c>
      <c r="H46" s="20">
        <v>14</v>
      </c>
      <c r="I46" s="20">
        <v>18</v>
      </c>
      <c r="J46" s="20">
        <v>14</v>
      </c>
      <c r="K46" s="20">
        <v>11</v>
      </c>
      <c r="L46" s="20">
        <v>10</v>
      </c>
      <c r="M46" s="20">
        <v>9</v>
      </c>
      <c r="N46" s="20">
        <v>6</v>
      </c>
      <c r="O46" s="20">
        <v>6</v>
      </c>
      <c r="P46" s="20">
        <v>5</v>
      </c>
      <c r="Q46" s="20">
        <v>6</v>
      </c>
      <c r="R46" s="20">
        <v>5</v>
      </c>
      <c r="S46" s="20">
        <v>5</v>
      </c>
      <c r="T46" s="20">
        <v>6</v>
      </c>
      <c r="U46" s="20">
        <v>6</v>
      </c>
      <c r="V46" s="20">
        <v>6</v>
      </c>
      <c r="W46" s="20">
        <v>6</v>
      </c>
      <c r="X46" s="20">
        <v>4</v>
      </c>
      <c r="Y46" s="20">
        <v>3</v>
      </c>
      <c r="Z46" s="20">
        <v>4</v>
      </c>
      <c r="AB46" s="7" t="s">
        <v>15</v>
      </c>
      <c r="AC46" s="1" t="str">
        <f t="shared" si="27"/>
        <v>210</v>
      </c>
      <c r="AD46" s="9" t="str">
        <f t="shared" si="28"/>
        <v>03</v>
      </c>
      <c r="AE46" s="1" t="str">
        <f t="shared" si="29"/>
        <v>170</v>
      </c>
      <c r="AF46" s="9" t="str">
        <f t="shared" si="30"/>
        <v>03</v>
      </c>
      <c r="AG46" s="1" t="str">
        <f t="shared" si="31"/>
        <v>100</v>
      </c>
      <c r="AH46" s="9" t="str">
        <f t="shared" si="32"/>
        <v>03</v>
      </c>
      <c r="AI46" s="1" t="str">
        <f t="shared" si="33"/>
        <v>120</v>
      </c>
      <c r="AJ46" s="9" t="str">
        <f t="shared" si="34"/>
        <v>03</v>
      </c>
      <c r="AK46" s="1" t="str">
        <f t="shared" si="35"/>
        <v>170</v>
      </c>
      <c r="AL46" s="9" t="str">
        <f t="shared" si="36"/>
        <v>02</v>
      </c>
      <c r="AM46" s="1" t="str">
        <f t="shared" si="37"/>
        <v>240</v>
      </c>
      <c r="AN46" s="9" t="str">
        <f t="shared" si="38"/>
        <v>01</v>
      </c>
      <c r="AO46" s="1" t="str">
        <f t="shared" si="39"/>
        <v>340</v>
      </c>
      <c r="AP46" s="9" t="str">
        <f t="shared" si="40"/>
        <v>04</v>
      </c>
      <c r="AQ46" s="1" t="str">
        <f t="shared" si="41"/>
        <v>000</v>
      </c>
      <c r="AR46" s="9" t="str">
        <f t="shared" si="42"/>
        <v>00</v>
      </c>
      <c r="AS46" s="1" t="str">
        <f t="shared" si="43"/>
        <v>090</v>
      </c>
      <c r="AT46" s="9" t="str">
        <f t="shared" si="44"/>
        <v>01</v>
      </c>
      <c r="AU46" s="1" t="str">
        <f t="shared" si="45"/>
        <v>000</v>
      </c>
      <c r="AV46" s="9" t="str">
        <f t="shared" si="46"/>
        <v>00</v>
      </c>
      <c r="AW46" s="1" t="str">
        <f t="shared" si="47"/>
        <v>120</v>
      </c>
      <c r="AX46" s="9" t="str">
        <f t="shared" si="48"/>
        <v>01</v>
      </c>
      <c r="AY46" s="1" t="str">
        <f t="shared" si="49"/>
        <v>320</v>
      </c>
      <c r="AZ46" s="9" t="str">
        <f t="shared" si="50"/>
        <v>02</v>
      </c>
      <c r="BA46" s="1" t="str">
        <f t="shared" si="51"/>
        <v>260</v>
      </c>
      <c r="BB46" s="9" t="str">
        <f t="shared" si="52"/>
        <v>02</v>
      </c>
      <c r="BC46" s="1" t="str">
        <f t="shared" si="53"/>
        <v>130</v>
      </c>
      <c r="BD46" s="9" t="str">
        <f t="shared" si="54"/>
        <v>02</v>
      </c>
      <c r="BE46" s="1" t="str">
        <f t="shared" si="55"/>
        <v>250</v>
      </c>
      <c r="BF46" s="9" t="str">
        <f t="shared" si="56"/>
        <v>02</v>
      </c>
      <c r="BG46" s="1" t="str">
        <f t="shared" si="57"/>
        <v>000</v>
      </c>
      <c r="BH46" s="9" t="str">
        <f t="shared" si="58"/>
        <v>00</v>
      </c>
      <c r="BI46" s="1" t="str">
        <f t="shared" si="59"/>
        <v>040</v>
      </c>
      <c r="BJ46" s="9" t="str">
        <f t="shared" si="60"/>
        <v>02</v>
      </c>
      <c r="BK46" s="1" t="str">
        <f t="shared" si="61"/>
        <v>280</v>
      </c>
      <c r="BL46" s="9" t="str">
        <f t="shared" si="62"/>
        <v>05</v>
      </c>
      <c r="BM46" s="1" t="str">
        <f t="shared" si="63"/>
        <v>300</v>
      </c>
      <c r="BN46" s="9" t="str">
        <f t="shared" si="64"/>
        <v>04</v>
      </c>
      <c r="BO46" s="1" t="str">
        <f t="shared" si="65"/>
        <v>320</v>
      </c>
      <c r="BP46" s="9">
        <f t="shared" si="66"/>
        <v>10</v>
      </c>
      <c r="BQ46" s="1" t="str">
        <f t="shared" si="67"/>
        <v>280</v>
      </c>
      <c r="BR46" s="9" t="str">
        <f t="shared" si="68"/>
        <v>05</v>
      </c>
      <c r="BS46" s="1" t="str">
        <f t="shared" si="69"/>
        <v>280</v>
      </c>
      <c r="BT46" s="9" t="str">
        <f t="shared" si="70"/>
        <v>02</v>
      </c>
      <c r="BU46" s="1" t="str">
        <f t="shared" si="71"/>
        <v>310</v>
      </c>
      <c r="BV46" s="9" t="str">
        <f t="shared" si="72"/>
        <v>02</v>
      </c>
      <c r="BW46" s="1" t="str">
        <f t="shared" si="73"/>
        <v>170</v>
      </c>
      <c r="BX46" s="9" t="str">
        <f t="shared" si="74"/>
        <v>02</v>
      </c>
      <c r="BY46" s="1" t="str">
        <f t="shared" si="75"/>
        <v>160</v>
      </c>
      <c r="BZ46" s="9" t="str">
        <f t="shared" si="76"/>
        <v>02</v>
      </c>
      <c r="CA46" s="1" t="str">
        <f t="shared" si="77"/>
        <v>000</v>
      </c>
      <c r="CB46" s="9" t="str">
        <f t="shared" si="78"/>
        <v>00</v>
      </c>
      <c r="CC46" s="1" t="str">
        <f t="shared" si="79"/>
        <v>190</v>
      </c>
      <c r="CD46" s="9" t="str">
        <f t="shared" si="80"/>
        <v>01</v>
      </c>
      <c r="CE46" s="1" t="str">
        <f t="shared" si="81"/>
        <v>210</v>
      </c>
      <c r="CF46" s="9" t="str">
        <f t="shared" si="82"/>
        <v>02</v>
      </c>
      <c r="CG46" s="1" t="str">
        <f t="shared" si="83"/>
        <v>290</v>
      </c>
      <c r="CH46" s="9" t="str">
        <f t="shared" si="84"/>
        <v>02</v>
      </c>
      <c r="CI46" s="1" t="str">
        <f t="shared" si="85"/>
        <v>300</v>
      </c>
      <c r="CJ46" s="9" t="str">
        <f t="shared" si="86"/>
        <v>02</v>
      </c>
      <c r="CK46" s="1" t="str">
        <f t="shared" si="87"/>
        <v>140</v>
      </c>
      <c r="CL46" s="9" t="str">
        <f t="shared" si="88"/>
        <v>02</v>
      </c>
      <c r="CM46" s="9"/>
    </row>
    <row r="47" spans="1:91" ht="12.75" customHeight="1" x14ac:dyDescent="0.25">
      <c r="A47" s="8">
        <v>22</v>
      </c>
      <c r="B47" s="14" t="s">
        <v>52</v>
      </c>
      <c r="C47" s="18" t="s">
        <v>30</v>
      </c>
      <c r="D47" s="18" t="s">
        <v>31</v>
      </c>
      <c r="E47" s="18" t="s">
        <v>24</v>
      </c>
      <c r="F47" s="18" t="s">
        <v>27</v>
      </c>
      <c r="G47" s="18" t="s">
        <v>27</v>
      </c>
      <c r="H47" s="18" t="s">
        <v>29</v>
      </c>
      <c r="I47" s="18" t="s">
        <v>29</v>
      </c>
      <c r="J47" s="18" t="s">
        <v>27</v>
      </c>
      <c r="K47" s="18" t="s">
        <v>27</v>
      </c>
      <c r="L47" s="18" t="s">
        <v>30</v>
      </c>
      <c r="M47" s="18" t="s">
        <v>28</v>
      </c>
      <c r="N47" s="18" t="s">
        <v>27</v>
      </c>
      <c r="O47" s="18" t="s">
        <v>28</v>
      </c>
      <c r="P47" s="18" t="s">
        <v>28</v>
      </c>
      <c r="Q47" s="18" t="s">
        <v>27</v>
      </c>
      <c r="R47" s="18" t="s">
        <v>28</v>
      </c>
      <c r="S47" s="18" t="s">
        <v>24</v>
      </c>
      <c r="T47" s="18" t="s">
        <v>27</v>
      </c>
      <c r="U47" s="18" t="s">
        <v>23</v>
      </c>
      <c r="V47" s="18" t="s">
        <v>29</v>
      </c>
      <c r="W47" s="18" t="s">
        <v>23</v>
      </c>
      <c r="X47" s="18" t="s">
        <v>22</v>
      </c>
      <c r="Y47" s="18" t="s">
        <v>9</v>
      </c>
      <c r="Z47" s="18" t="s">
        <v>11</v>
      </c>
      <c r="AB47" s="7" t="s">
        <v>16</v>
      </c>
      <c r="AC47" s="1" t="str">
        <f t="shared" si="27"/>
        <v>200</v>
      </c>
      <c r="AD47" s="9" t="str">
        <f t="shared" si="28"/>
        <v>02</v>
      </c>
      <c r="AE47" s="1" t="str">
        <f t="shared" si="29"/>
        <v>170</v>
      </c>
      <c r="AF47" s="9" t="str">
        <f t="shared" si="30"/>
        <v>03</v>
      </c>
      <c r="AG47" s="1" t="str">
        <f t="shared" si="31"/>
        <v>200</v>
      </c>
      <c r="AH47" s="9" t="str">
        <f t="shared" si="32"/>
        <v>03</v>
      </c>
      <c r="AI47" s="1" t="str">
        <f t="shared" si="33"/>
        <v>110</v>
      </c>
      <c r="AJ47" s="9" t="str">
        <f t="shared" si="34"/>
        <v>02</v>
      </c>
      <c r="AK47" s="1" t="str">
        <f t="shared" si="35"/>
        <v>260</v>
      </c>
      <c r="AL47" s="9" t="str">
        <f t="shared" si="36"/>
        <v>02</v>
      </c>
      <c r="AM47" s="1" t="str">
        <f t="shared" si="37"/>
        <v>080</v>
      </c>
      <c r="AN47" s="9" t="str">
        <f t="shared" si="38"/>
        <v>02</v>
      </c>
      <c r="AO47" s="1" t="str">
        <f t="shared" si="39"/>
        <v>330</v>
      </c>
      <c r="AP47" s="9" t="str">
        <f t="shared" si="40"/>
        <v>05</v>
      </c>
      <c r="AQ47" s="1" t="str">
        <f t="shared" si="41"/>
        <v>240</v>
      </c>
      <c r="AR47" s="9" t="str">
        <f t="shared" si="42"/>
        <v>02</v>
      </c>
      <c r="AS47" s="1" t="str">
        <f t="shared" si="43"/>
        <v>270</v>
      </c>
      <c r="AT47" s="9" t="str">
        <f t="shared" si="44"/>
        <v>03</v>
      </c>
      <c r="AU47" s="1" t="str">
        <f t="shared" si="45"/>
        <v>230</v>
      </c>
      <c r="AV47" s="9" t="str">
        <f t="shared" si="46"/>
        <v>02</v>
      </c>
      <c r="AW47" s="1" t="str">
        <f t="shared" si="47"/>
        <v>190</v>
      </c>
      <c r="AX47" s="9" t="str">
        <f t="shared" si="48"/>
        <v>01</v>
      </c>
      <c r="AY47" s="1" t="str">
        <f t="shared" si="49"/>
        <v>330</v>
      </c>
      <c r="AZ47" s="9" t="str">
        <f t="shared" si="50"/>
        <v>02</v>
      </c>
      <c r="BA47" s="1" t="str">
        <f t="shared" si="51"/>
        <v>170</v>
      </c>
      <c r="BB47" s="9" t="str">
        <f t="shared" si="52"/>
        <v>04</v>
      </c>
      <c r="BC47" s="1" t="str">
        <f t="shared" si="53"/>
        <v>080</v>
      </c>
      <c r="BD47" s="9" t="str">
        <f t="shared" si="54"/>
        <v>02</v>
      </c>
      <c r="BE47" s="1" t="str">
        <f t="shared" si="55"/>
        <v>020</v>
      </c>
      <c r="BF47" s="9" t="str">
        <f t="shared" si="56"/>
        <v>02</v>
      </c>
      <c r="BG47" s="1" t="str">
        <f t="shared" si="57"/>
        <v>080</v>
      </c>
      <c r="BH47" s="9" t="str">
        <f t="shared" si="58"/>
        <v>02</v>
      </c>
      <c r="BI47" s="1" t="str">
        <f t="shared" si="59"/>
        <v>140</v>
      </c>
      <c r="BJ47" s="9" t="str">
        <f t="shared" si="60"/>
        <v>02</v>
      </c>
      <c r="BK47" s="1" t="str">
        <f t="shared" si="61"/>
        <v>260</v>
      </c>
      <c r="BL47" s="9" t="str">
        <f t="shared" si="62"/>
        <v>04</v>
      </c>
      <c r="BM47" s="1" t="str">
        <f t="shared" si="63"/>
        <v>290</v>
      </c>
      <c r="BN47" s="9" t="str">
        <f t="shared" si="64"/>
        <v>04</v>
      </c>
      <c r="BO47" s="1" t="str">
        <f t="shared" si="65"/>
        <v>270</v>
      </c>
      <c r="BP47" s="1">
        <f t="shared" si="66"/>
        <v>16</v>
      </c>
      <c r="BQ47" s="1" t="str">
        <f t="shared" si="67"/>
        <v>280</v>
      </c>
      <c r="BR47" s="9" t="str">
        <f t="shared" si="68"/>
        <v>05</v>
      </c>
      <c r="BS47" s="1" t="str">
        <f t="shared" si="69"/>
        <v>240</v>
      </c>
      <c r="BT47" s="9" t="str">
        <f t="shared" si="70"/>
        <v>07</v>
      </c>
      <c r="BU47" s="1" t="str">
        <f t="shared" si="71"/>
        <v>250</v>
      </c>
      <c r="BV47" s="9" t="str">
        <f t="shared" si="72"/>
        <v>01</v>
      </c>
      <c r="BW47" s="1" t="str">
        <f t="shared" si="73"/>
        <v>150</v>
      </c>
      <c r="BX47" s="9" t="str">
        <f t="shared" si="74"/>
        <v>02</v>
      </c>
      <c r="BY47" s="1" t="str">
        <f t="shared" si="75"/>
        <v>000</v>
      </c>
      <c r="BZ47" s="9" t="str">
        <f t="shared" si="76"/>
        <v>00</v>
      </c>
      <c r="CA47" s="1" t="str">
        <f t="shared" si="77"/>
        <v>000</v>
      </c>
      <c r="CB47" s="9" t="str">
        <f t="shared" si="78"/>
        <v>00</v>
      </c>
      <c r="CC47" s="1" t="str">
        <f t="shared" si="79"/>
        <v>220</v>
      </c>
      <c r="CD47" s="9" t="str">
        <f t="shared" si="80"/>
        <v>01</v>
      </c>
      <c r="CE47" s="1" t="str">
        <f t="shared" si="81"/>
        <v>200</v>
      </c>
      <c r="CF47" s="9" t="str">
        <f t="shared" si="82"/>
        <v>04</v>
      </c>
      <c r="CG47" s="1" t="str">
        <f t="shared" si="83"/>
        <v>150</v>
      </c>
      <c r="CH47" s="9" t="str">
        <f t="shared" si="84"/>
        <v>02</v>
      </c>
      <c r="CI47" s="1" t="str">
        <f t="shared" si="85"/>
        <v>000</v>
      </c>
      <c r="CJ47" s="9" t="str">
        <f t="shared" si="86"/>
        <v>00</v>
      </c>
      <c r="CK47" s="1" t="str">
        <f t="shared" si="87"/>
        <v>000</v>
      </c>
      <c r="CL47" s="9" t="str">
        <f t="shared" si="88"/>
        <v>00</v>
      </c>
      <c r="CM47" s="9"/>
    </row>
    <row r="48" spans="1:91" ht="12.75" customHeight="1" x14ac:dyDescent="0.25">
      <c r="A48" s="8"/>
      <c r="B48" s="15" t="s">
        <v>53</v>
      </c>
      <c r="C48" s="20">
        <v>8</v>
      </c>
      <c r="D48" s="20">
        <v>6</v>
      </c>
      <c r="E48" s="20">
        <v>5</v>
      </c>
      <c r="F48" s="20">
        <v>6</v>
      </c>
      <c r="G48" s="20">
        <v>8</v>
      </c>
      <c r="H48" s="20">
        <v>5</v>
      </c>
      <c r="I48" s="20">
        <v>5</v>
      </c>
      <c r="J48" s="20">
        <v>8</v>
      </c>
      <c r="K48" s="20">
        <v>4</v>
      </c>
      <c r="L48" s="20">
        <v>5</v>
      </c>
      <c r="M48" s="20">
        <v>3</v>
      </c>
      <c r="N48" s="20">
        <v>3</v>
      </c>
      <c r="O48" s="20">
        <v>5</v>
      </c>
      <c r="P48" s="20">
        <v>3</v>
      </c>
      <c r="Q48" s="20">
        <v>3</v>
      </c>
      <c r="R48" s="20">
        <v>2</v>
      </c>
      <c r="S48" s="20">
        <v>7</v>
      </c>
      <c r="T48" s="20">
        <v>7</v>
      </c>
      <c r="U48" s="20">
        <v>6</v>
      </c>
      <c r="V48" s="20">
        <v>2</v>
      </c>
      <c r="W48" s="20">
        <v>6</v>
      </c>
      <c r="X48" s="20">
        <v>11</v>
      </c>
      <c r="Y48" s="20">
        <v>8</v>
      </c>
      <c r="Z48" s="20">
        <v>2</v>
      </c>
      <c r="AB48" s="7" t="s">
        <v>17</v>
      </c>
      <c r="AC48" s="1" t="str">
        <f t="shared" si="27"/>
        <v>190</v>
      </c>
      <c r="AD48" s="9" t="str">
        <f t="shared" si="28"/>
        <v>04</v>
      </c>
      <c r="AE48" s="1" t="str">
        <f t="shared" si="29"/>
        <v>100</v>
      </c>
      <c r="AF48" s="9" t="str">
        <f t="shared" si="30"/>
        <v>02</v>
      </c>
      <c r="AG48" s="1" t="str">
        <f t="shared" si="31"/>
        <v>200</v>
      </c>
      <c r="AH48" s="9" t="str">
        <f t="shared" si="32"/>
        <v>02</v>
      </c>
      <c r="AI48" s="1" t="str">
        <f t="shared" si="33"/>
        <v>120</v>
      </c>
      <c r="AJ48" s="9" t="str">
        <f t="shared" si="34"/>
        <v>03</v>
      </c>
      <c r="AK48" s="1" t="str">
        <f t="shared" si="35"/>
        <v>240</v>
      </c>
      <c r="AL48" s="9" t="str">
        <f t="shared" si="36"/>
        <v>02</v>
      </c>
      <c r="AM48" s="1" t="str">
        <f t="shared" si="37"/>
        <v>140</v>
      </c>
      <c r="AN48" s="9" t="str">
        <f t="shared" si="38"/>
        <v>01</v>
      </c>
      <c r="AO48" s="1" t="str">
        <f t="shared" si="39"/>
        <v>240</v>
      </c>
      <c r="AP48" s="9">
        <f t="shared" si="40"/>
        <v>14</v>
      </c>
      <c r="AQ48" s="1" t="str">
        <f t="shared" si="41"/>
        <v>250</v>
      </c>
      <c r="AR48" s="9" t="str">
        <f t="shared" si="42"/>
        <v>02</v>
      </c>
      <c r="AS48" s="1" t="str">
        <f t="shared" si="43"/>
        <v>280</v>
      </c>
      <c r="AT48" s="9" t="str">
        <f t="shared" si="44"/>
        <v>02</v>
      </c>
      <c r="AU48" s="1" t="str">
        <f t="shared" si="45"/>
        <v>250</v>
      </c>
      <c r="AV48" s="9" t="str">
        <f t="shared" si="46"/>
        <v>02</v>
      </c>
      <c r="AW48" s="1" t="str">
        <f t="shared" si="47"/>
        <v>160</v>
      </c>
      <c r="AX48" s="9" t="str">
        <f t="shared" si="48"/>
        <v>01</v>
      </c>
      <c r="AY48" s="1" t="str">
        <f t="shared" si="49"/>
        <v>340</v>
      </c>
      <c r="AZ48" s="9" t="str">
        <f t="shared" si="50"/>
        <v>04</v>
      </c>
      <c r="BA48" s="1" t="str">
        <f t="shared" si="51"/>
        <v>190</v>
      </c>
      <c r="BB48" s="9" t="str">
        <f t="shared" si="52"/>
        <v>04</v>
      </c>
      <c r="BC48" s="1" t="str">
        <f t="shared" si="53"/>
        <v>080</v>
      </c>
      <c r="BD48" s="9" t="str">
        <f t="shared" si="54"/>
        <v>03</v>
      </c>
      <c r="BE48" s="1" t="str">
        <f t="shared" si="55"/>
        <v>260</v>
      </c>
      <c r="BF48" s="9" t="str">
        <f t="shared" si="56"/>
        <v>03</v>
      </c>
      <c r="BG48" s="1" t="str">
        <f t="shared" si="57"/>
        <v>000</v>
      </c>
      <c r="BH48" s="9" t="str">
        <f t="shared" si="58"/>
        <v>00</v>
      </c>
      <c r="BI48" s="1" t="str">
        <f t="shared" si="59"/>
        <v>260</v>
      </c>
      <c r="BJ48" s="9" t="str">
        <f t="shared" si="60"/>
        <v>01</v>
      </c>
      <c r="BK48" s="1" t="str">
        <f t="shared" si="61"/>
        <v>270</v>
      </c>
      <c r="BL48" s="9" t="str">
        <f t="shared" si="62"/>
        <v>02</v>
      </c>
      <c r="BM48" s="1" t="str">
        <f t="shared" si="63"/>
        <v>300</v>
      </c>
      <c r="BN48" s="9">
        <f t="shared" si="64"/>
        <v>15</v>
      </c>
      <c r="BO48" s="1" t="str">
        <f t="shared" si="65"/>
        <v>310</v>
      </c>
      <c r="BP48" s="9" t="str">
        <f t="shared" si="66"/>
        <v>06</v>
      </c>
      <c r="BQ48" s="1" t="str">
        <f t="shared" si="67"/>
        <v>270</v>
      </c>
      <c r="BR48" s="9" t="str">
        <f t="shared" si="68"/>
        <v>06</v>
      </c>
      <c r="BS48" s="1" t="str">
        <f t="shared" si="69"/>
        <v>270</v>
      </c>
      <c r="BT48" s="9" t="str">
        <f t="shared" si="70"/>
        <v>07</v>
      </c>
      <c r="BU48" s="1" t="str">
        <f t="shared" si="71"/>
        <v>110</v>
      </c>
      <c r="BV48" s="9" t="str">
        <f t="shared" si="72"/>
        <v>01</v>
      </c>
      <c r="BW48" s="1" t="str">
        <f t="shared" si="73"/>
        <v>180</v>
      </c>
      <c r="BX48" s="9" t="str">
        <f t="shared" si="74"/>
        <v>02</v>
      </c>
      <c r="BY48" s="1" t="str">
        <f t="shared" si="75"/>
        <v>110</v>
      </c>
      <c r="BZ48" s="9" t="str">
        <f t="shared" si="76"/>
        <v>02</v>
      </c>
      <c r="CA48" s="1" t="str">
        <f t="shared" si="77"/>
        <v>000</v>
      </c>
      <c r="CB48" s="9" t="str">
        <f t="shared" si="78"/>
        <v>00</v>
      </c>
      <c r="CC48" s="1" t="str">
        <f t="shared" si="79"/>
        <v>100</v>
      </c>
      <c r="CD48" s="9" t="str">
        <f t="shared" si="80"/>
        <v>01</v>
      </c>
      <c r="CE48" s="1" t="str">
        <f t="shared" si="81"/>
        <v>190</v>
      </c>
      <c r="CF48" s="9" t="str">
        <f t="shared" si="82"/>
        <v>03</v>
      </c>
      <c r="CG48" s="1" t="str">
        <f t="shared" si="83"/>
        <v>000</v>
      </c>
      <c r="CH48" s="9" t="str">
        <f t="shared" si="84"/>
        <v>00</v>
      </c>
      <c r="CI48" s="1" t="str">
        <f t="shared" si="85"/>
        <v>000</v>
      </c>
      <c r="CJ48" s="9" t="str">
        <f t="shared" si="86"/>
        <v>00</v>
      </c>
      <c r="CK48" s="1" t="str">
        <f t="shared" si="87"/>
        <v>240</v>
      </c>
      <c r="CL48" s="9" t="str">
        <f t="shared" si="88"/>
        <v>02</v>
      </c>
      <c r="CM48" s="9"/>
    </row>
    <row r="49" spans="1:91" ht="12.75" customHeight="1" x14ac:dyDescent="0.25">
      <c r="A49" s="8">
        <v>23</v>
      </c>
      <c r="B49" s="14" t="s">
        <v>52</v>
      </c>
      <c r="C49" s="18" t="s">
        <v>7</v>
      </c>
      <c r="D49" s="18" t="s">
        <v>59</v>
      </c>
      <c r="E49" s="18" t="s">
        <v>7</v>
      </c>
      <c r="F49" s="18" t="s">
        <v>59</v>
      </c>
      <c r="G49" s="18" t="s">
        <v>59</v>
      </c>
      <c r="H49" s="18" t="s">
        <v>30</v>
      </c>
      <c r="I49" s="18" t="s">
        <v>30</v>
      </c>
      <c r="J49" s="18" t="s">
        <v>31</v>
      </c>
      <c r="K49" s="18" t="s">
        <v>22</v>
      </c>
      <c r="L49" s="18" t="s">
        <v>46</v>
      </c>
      <c r="M49" s="18" t="s">
        <v>22</v>
      </c>
      <c r="N49" s="18" t="s">
        <v>46</v>
      </c>
      <c r="O49" s="18" t="s">
        <v>25</v>
      </c>
      <c r="P49" s="18" t="s">
        <v>24</v>
      </c>
      <c r="Q49" s="18" t="s">
        <v>23</v>
      </c>
      <c r="R49" s="18" t="s">
        <v>31</v>
      </c>
      <c r="S49" s="18" t="s">
        <v>25</v>
      </c>
      <c r="T49" s="18" t="s">
        <v>11</v>
      </c>
      <c r="U49" s="18" t="s">
        <v>15</v>
      </c>
      <c r="V49" s="18" t="s">
        <v>19</v>
      </c>
      <c r="W49" s="18" t="s">
        <v>9</v>
      </c>
      <c r="X49" s="18" t="s">
        <v>21</v>
      </c>
      <c r="Y49" s="18" t="s">
        <v>11</v>
      </c>
      <c r="Z49" s="18" t="s">
        <v>23</v>
      </c>
      <c r="AB49" s="7" t="s">
        <v>18</v>
      </c>
      <c r="AC49" s="1" t="str">
        <f t="shared" si="27"/>
        <v>000</v>
      </c>
      <c r="AD49" s="9" t="str">
        <f t="shared" si="28"/>
        <v>00</v>
      </c>
      <c r="AE49" s="1" t="str">
        <f t="shared" si="29"/>
        <v>090</v>
      </c>
      <c r="AF49" s="9" t="str">
        <f t="shared" si="30"/>
        <v>04</v>
      </c>
      <c r="AG49" s="1" t="str">
        <f t="shared" si="31"/>
        <v>210</v>
      </c>
      <c r="AH49" s="9" t="str">
        <f t="shared" si="32"/>
        <v>03</v>
      </c>
      <c r="AI49" s="1" t="str">
        <f t="shared" si="33"/>
        <v>100</v>
      </c>
      <c r="AJ49" s="9" t="str">
        <f t="shared" si="34"/>
        <v>03</v>
      </c>
      <c r="AK49" s="1" t="str">
        <f t="shared" si="35"/>
        <v>320</v>
      </c>
      <c r="AL49" s="9" t="str">
        <f t="shared" si="36"/>
        <v>03</v>
      </c>
      <c r="AM49" s="1" t="str">
        <f t="shared" si="37"/>
        <v>200</v>
      </c>
      <c r="AN49" s="9" t="str">
        <f t="shared" si="38"/>
        <v>01</v>
      </c>
      <c r="AO49" s="1" t="str">
        <f t="shared" si="39"/>
        <v>090</v>
      </c>
      <c r="AP49" s="9" t="str">
        <f t="shared" si="40"/>
        <v>02</v>
      </c>
      <c r="AQ49" s="1" t="str">
        <f t="shared" si="41"/>
        <v>230</v>
      </c>
      <c r="AR49" s="9" t="str">
        <f t="shared" si="42"/>
        <v>02</v>
      </c>
      <c r="AS49" s="1" t="str">
        <f t="shared" si="43"/>
        <v>260</v>
      </c>
      <c r="AT49" s="9" t="str">
        <f t="shared" si="44"/>
        <v>04</v>
      </c>
      <c r="AU49" s="1" t="str">
        <f t="shared" si="45"/>
        <v>000</v>
      </c>
      <c r="AV49" s="9" t="str">
        <f t="shared" si="46"/>
        <v>00</v>
      </c>
      <c r="AW49" s="1" t="str">
        <f t="shared" si="47"/>
        <v>150</v>
      </c>
      <c r="AX49" s="9" t="str">
        <f t="shared" si="48"/>
        <v>01</v>
      </c>
      <c r="AY49" s="1" t="str">
        <f t="shared" si="49"/>
        <v>000</v>
      </c>
      <c r="AZ49" s="9" t="str">
        <f t="shared" si="50"/>
        <v>00</v>
      </c>
      <c r="BA49" s="1" t="str">
        <f t="shared" si="51"/>
        <v>130</v>
      </c>
      <c r="BB49" s="9" t="str">
        <f t="shared" si="52"/>
        <v>02</v>
      </c>
      <c r="BC49" s="1" t="str">
        <f t="shared" si="53"/>
        <v>120</v>
      </c>
      <c r="BD49" s="9" t="str">
        <f t="shared" si="54"/>
        <v>02</v>
      </c>
      <c r="BE49" s="1" t="str">
        <f t="shared" si="55"/>
        <v>220</v>
      </c>
      <c r="BF49" s="9" t="str">
        <f t="shared" si="56"/>
        <v>02</v>
      </c>
      <c r="BG49" s="1" t="str">
        <f t="shared" si="57"/>
        <v>000</v>
      </c>
      <c r="BH49" s="9" t="str">
        <f t="shared" si="58"/>
        <v>00</v>
      </c>
      <c r="BI49" s="1" t="str">
        <f t="shared" si="59"/>
        <v>260</v>
      </c>
      <c r="BJ49" s="9" t="str">
        <f t="shared" si="60"/>
        <v>01</v>
      </c>
      <c r="BK49" s="1" t="str">
        <f t="shared" si="61"/>
        <v>270</v>
      </c>
      <c r="BL49" s="9" t="str">
        <f t="shared" si="62"/>
        <v>07</v>
      </c>
      <c r="BM49" s="1" t="str">
        <f t="shared" si="63"/>
        <v>280</v>
      </c>
      <c r="BN49" s="9" t="str">
        <f t="shared" si="64"/>
        <v>04</v>
      </c>
      <c r="BO49" s="1" t="str">
        <f t="shared" si="65"/>
        <v>320</v>
      </c>
      <c r="BP49" s="9" t="str">
        <f t="shared" si="66"/>
        <v>09</v>
      </c>
      <c r="BQ49" s="1" t="str">
        <f t="shared" si="67"/>
        <v>290</v>
      </c>
      <c r="BR49" s="9" t="str">
        <f t="shared" si="68"/>
        <v>06</v>
      </c>
      <c r="BS49" s="1" t="str">
        <f t="shared" si="69"/>
        <v>230</v>
      </c>
      <c r="BT49" s="9" t="str">
        <f t="shared" si="70"/>
        <v>06</v>
      </c>
      <c r="BU49" s="1" t="str">
        <f t="shared" si="71"/>
        <v>150</v>
      </c>
      <c r="BV49" s="9" t="str">
        <f t="shared" si="72"/>
        <v>02</v>
      </c>
      <c r="BW49" s="1" t="str">
        <f t="shared" si="73"/>
        <v>120</v>
      </c>
      <c r="BX49" s="9" t="str">
        <f t="shared" si="74"/>
        <v>02</v>
      </c>
      <c r="BY49" s="1" t="str">
        <f t="shared" si="75"/>
        <v>000</v>
      </c>
      <c r="BZ49" s="9" t="str">
        <f t="shared" si="76"/>
        <v>00</v>
      </c>
      <c r="CA49" s="1" t="str">
        <f t="shared" si="77"/>
        <v>000</v>
      </c>
      <c r="CB49" s="9" t="str">
        <f t="shared" si="78"/>
        <v>00</v>
      </c>
      <c r="CC49" s="1" t="str">
        <f t="shared" si="79"/>
        <v>080</v>
      </c>
      <c r="CD49" s="9" t="str">
        <f t="shared" si="80"/>
        <v>01</v>
      </c>
      <c r="CE49" s="1" t="str">
        <f t="shared" si="81"/>
        <v>090</v>
      </c>
      <c r="CF49" s="9" t="str">
        <f t="shared" si="82"/>
        <v>02</v>
      </c>
      <c r="CG49" s="1" t="str">
        <f t="shared" si="83"/>
        <v>210</v>
      </c>
      <c r="CH49" s="9" t="str">
        <f t="shared" si="84"/>
        <v>02</v>
      </c>
      <c r="CI49" s="1" t="str">
        <f t="shared" si="85"/>
        <v>000</v>
      </c>
      <c r="CJ49" s="9" t="str">
        <f t="shared" si="86"/>
        <v>00</v>
      </c>
      <c r="CK49" s="1" t="str">
        <f t="shared" si="87"/>
        <v>000</v>
      </c>
      <c r="CL49" s="9" t="str">
        <f t="shared" si="88"/>
        <v>00</v>
      </c>
      <c r="CM49" s="9"/>
    </row>
    <row r="50" spans="1:91" ht="12.75" customHeight="1" x14ac:dyDescent="0.25">
      <c r="A50" s="8"/>
      <c r="B50" s="15" t="s">
        <v>53</v>
      </c>
      <c r="C50" s="20">
        <v>3</v>
      </c>
      <c r="D50" s="20">
        <v>2</v>
      </c>
      <c r="E50" s="20">
        <v>2</v>
      </c>
      <c r="F50" s="20">
        <v>4</v>
      </c>
      <c r="G50" s="20">
        <v>4</v>
      </c>
      <c r="H50" s="20">
        <v>4</v>
      </c>
      <c r="I50" s="20">
        <v>4</v>
      </c>
      <c r="J50" s="20">
        <v>5</v>
      </c>
      <c r="K50" s="20">
        <v>10</v>
      </c>
      <c r="L50" s="20">
        <v>0</v>
      </c>
      <c r="M50" s="20">
        <v>2</v>
      </c>
      <c r="N50" s="20">
        <v>0</v>
      </c>
      <c r="O50" s="20">
        <v>2</v>
      </c>
      <c r="P50" s="20">
        <v>4</v>
      </c>
      <c r="Q50" s="20">
        <v>3</v>
      </c>
      <c r="R50" s="20">
        <v>2</v>
      </c>
      <c r="S50" s="20">
        <v>1</v>
      </c>
      <c r="T50" s="20">
        <v>1</v>
      </c>
      <c r="U50" s="20">
        <v>2</v>
      </c>
      <c r="V50" s="20">
        <v>1</v>
      </c>
      <c r="W50" s="20">
        <v>1</v>
      </c>
      <c r="X50" s="20">
        <v>1</v>
      </c>
      <c r="Y50" s="20">
        <v>1</v>
      </c>
      <c r="Z50" s="20">
        <v>7</v>
      </c>
      <c r="AB50" s="7" t="s">
        <v>19</v>
      </c>
      <c r="AC50" s="1" t="str">
        <f t="shared" si="27"/>
        <v>140</v>
      </c>
      <c r="AD50" s="9" t="str">
        <f t="shared" si="28"/>
        <v>01</v>
      </c>
      <c r="AE50" s="1" t="str">
        <f t="shared" si="29"/>
        <v>060</v>
      </c>
      <c r="AF50" s="9" t="str">
        <f t="shared" si="30"/>
        <v>02</v>
      </c>
      <c r="AG50" s="1" t="str">
        <f t="shared" si="31"/>
        <v>180</v>
      </c>
      <c r="AH50" s="9" t="str">
        <f t="shared" si="32"/>
        <v>03</v>
      </c>
      <c r="AI50" s="1" t="str">
        <f t="shared" si="33"/>
        <v>090</v>
      </c>
      <c r="AJ50" s="9" t="str">
        <f t="shared" si="34"/>
        <v>02</v>
      </c>
      <c r="AK50" s="1" t="str">
        <f t="shared" si="35"/>
        <v>340</v>
      </c>
      <c r="AL50" s="9" t="str">
        <f t="shared" si="36"/>
        <v>05</v>
      </c>
      <c r="AM50" s="1" t="str">
        <f t="shared" si="37"/>
        <v>210</v>
      </c>
      <c r="AN50" s="9" t="str">
        <f t="shared" si="38"/>
        <v>01</v>
      </c>
      <c r="AO50" s="1" t="str">
        <f t="shared" si="39"/>
        <v>080</v>
      </c>
      <c r="AP50" s="9" t="str">
        <f t="shared" si="40"/>
        <v>05</v>
      </c>
      <c r="AQ50" s="1" t="str">
        <f t="shared" si="41"/>
        <v>320</v>
      </c>
      <c r="AR50" s="9" t="str">
        <f t="shared" si="42"/>
        <v>03</v>
      </c>
      <c r="AS50" s="1" t="str">
        <f t="shared" si="43"/>
        <v>010</v>
      </c>
      <c r="AT50" s="9" t="str">
        <f t="shared" si="44"/>
        <v>01</v>
      </c>
      <c r="AU50" s="1" t="str">
        <f t="shared" si="45"/>
        <v>000</v>
      </c>
      <c r="AV50" s="9" t="str">
        <f t="shared" si="46"/>
        <v>00</v>
      </c>
      <c r="AW50" s="1" t="str">
        <f t="shared" si="47"/>
        <v>180</v>
      </c>
      <c r="AX50" s="9" t="str">
        <f t="shared" si="48"/>
        <v>03</v>
      </c>
      <c r="AY50" s="1" t="str">
        <f t="shared" si="49"/>
        <v>320</v>
      </c>
      <c r="AZ50" s="9" t="str">
        <f t="shared" si="50"/>
        <v>02</v>
      </c>
      <c r="BA50" s="1" t="str">
        <f t="shared" si="51"/>
        <v>110</v>
      </c>
      <c r="BB50" s="9" t="str">
        <f t="shared" si="52"/>
        <v>02</v>
      </c>
      <c r="BC50" s="1" t="str">
        <f t="shared" si="53"/>
        <v>100</v>
      </c>
      <c r="BD50" s="9" t="str">
        <f t="shared" si="54"/>
        <v>02</v>
      </c>
      <c r="BE50" s="1" t="str">
        <f t="shared" si="55"/>
        <v>280</v>
      </c>
      <c r="BF50" s="9" t="str">
        <f t="shared" si="56"/>
        <v>02</v>
      </c>
      <c r="BG50" s="1" t="str">
        <f t="shared" si="57"/>
        <v>270</v>
      </c>
      <c r="BH50" s="9" t="str">
        <f t="shared" si="58"/>
        <v>03</v>
      </c>
      <c r="BI50" s="1" t="str">
        <f t="shared" si="59"/>
        <v>170</v>
      </c>
      <c r="BJ50" s="9" t="str">
        <f t="shared" si="60"/>
        <v>03</v>
      </c>
      <c r="BK50" s="1" t="str">
        <f t="shared" si="61"/>
        <v>290</v>
      </c>
      <c r="BL50" s="9" t="str">
        <f t="shared" si="62"/>
        <v>05</v>
      </c>
      <c r="BM50" s="1" t="str">
        <f t="shared" si="63"/>
        <v>300</v>
      </c>
      <c r="BN50" s="9" t="str">
        <f t="shared" si="64"/>
        <v>06</v>
      </c>
      <c r="BO50" s="1" t="str">
        <f t="shared" si="65"/>
        <v>320</v>
      </c>
      <c r="BP50" s="9">
        <f t="shared" si="66"/>
        <v>10</v>
      </c>
      <c r="BQ50" s="1" t="str">
        <f t="shared" si="67"/>
        <v>280</v>
      </c>
      <c r="BR50" s="9" t="str">
        <f t="shared" si="68"/>
        <v>06</v>
      </c>
      <c r="BS50" s="1" t="str">
        <f t="shared" si="69"/>
        <v>290</v>
      </c>
      <c r="BT50" s="9" t="str">
        <f t="shared" si="70"/>
        <v>02</v>
      </c>
      <c r="BU50" s="1" t="str">
        <f t="shared" si="71"/>
        <v>190</v>
      </c>
      <c r="BV50" s="9" t="str">
        <f t="shared" si="72"/>
        <v>01</v>
      </c>
      <c r="BW50" s="1" t="str">
        <f t="shared" si="73"/>
        <v>200</v>
      </c>
      <c r="BX50" s="9" t="str">
        <f t="shared" si="74"/>
        <v>02</v>
      </c>
      <c r="BY50" s="1" t="str">
        <f t="shared" si="75"/>
        <v>000</v>
      </c>
      <c r="BZ50" s="9" t="str">
        <f t="shared" si="76"/>
        <v>00</v>
      </c>
      <c r="CA50" s="1" t="str">
        <f t="shared" si="77"/>
        <v>000</v>
      </c>
      <c r="CB50" s="9" t="str">
        <f t="shared" si="78"/>
        <v>00</v>
      </c>
      <c r="CC50" s="1" t="str">
        <f t="shared" si="79"/>
        <v>170</v>
      </c>
      <c r="CD50" s="9" t="str">
        <f t="shared" si="80"/>
        <v>01</v>
      </c>
      <c r="CE50" s="1" t="str">
        <f t="shared" si="81"/>
        <v>080</v>
      </c>
      <c r="CF50" s="9" t="str">
        <f t="shared" si="82"/>
        <v>02</v>
      </c>
      <c r="CG50" s="1" t="str">
        <f t="shared" si="83"/>
        <v>260</v>
      </c>
      <c r="CH50" s="9" t="str">
        <f t="shared" si="84"/>
        <v>02</v>
      </c>
      <c r="CI50" s="1" t="str">
        <f t="shared" si="85"/>
        <v>000</v>
      </c>
      <c r="CJ50" s="9" t="str">
        <f t="shared" si="86"/>
        <v>00</v>
      </c>
      <c r="CK50" s="1" t="str">
        <f t="shared" si="87"/>
        <v>080</v>
      </c>
      <c r="CL50" s="9" t="str">
        <f t="shared" si="88"/>
        <v>03</v>
      </c>
      <c r="CM50" s="9"/>
    </row>
    <row r="51" spans="1:91" ht="12.75" customHeight="1" x14ac:dyDescent="0.25">
      <c r="A51" s="8">
        <v>24</v>
      </c>
      <c r="B51" s="14" t="s">
        <v>52</v>
      </c>
      <c r="C51" s="18" t="s">
        <v>26</v>
      </c>
      <c r="D51" s="18" t="s">
        <v>21</v>
      </c>
      <c r="E51" s="18" t="s">
        <v>28</v>
      </c>
      <c r="F51" s="18" t="s">
        <v>81</v>
      </c>
      <c r="G51" s="18" t="s">
        <v>30</v>
      </c>
      <c r="H51" s="18" t="s">
        <v>68</v>
      </c>
      <c r="I51" s="18" t="s">
        <v>30</v>
      </c>
      <c r="J51" s="18" t="s">
        <v>30</v>
      </c>
      <c r="K51" s="18" t="s">
        <v>29</v>
      </c>
      <c r="L51" s="18" t="s">
        <v>31</v>
      </c>
      <c r="M51" s="18" t="s">
        <v>30</v>
      </c>
      <c r="N51" s="18" t="s">
        <v>30</v>
      </c>
      <c r="O51" s="18" t="s">
        <v>46</v>
      </c>
      <c r="P51" s="18" t="s">
        <v>46</v>
      </c>
      <c r="Q51" s="18" t="s">
        <v>19</v>
      </c>
      <c r="R51" s="18" t="s">
        <v>17</v>
      </c>
      <c r="S51" s="18" t="s">
        <v>15</v>
      </c>
      <c r="T51" s="18" t="s">
        <v>18</v>
      </c>
      <c r="U51" s="18" t="s">
        <v>12</v>
      </c>
      <c r="V51" s="18" t="s">
        <v>20</v>
      </c>
      <c r="W51" s="18" t="s">
        <v>17</v>
      </c>
      <c r="X51" s="18" t="s">
        <v>18</v>
      </c>
      <c r="Y51" s="18" t="s">
        <v>11</v>
      </c>
      <c r="Z51" s="18" t="s">
        <v>12</v>
      </c>
      <c r="AB51" s="7" t="s">
        <v>20</v>
      </c>
      <c r="AC51" s="1" t="str">
        <f t="shared" si="27"/>
        <v>130</v>
      </c>
      <c r="AD51" s="9" t="str">
        <f t="shared" si="28"/>
        <v>01</v>
      </c>
      <c r="AE51" s="1" t="str">
        <f t="shared" si="29"/>
        <v>120</v>
      </c>
      <c r="AF51" s="9" t="str">
        <f t="shared" si="30"/>
        <v>02</v>
      </c>
      <c r="AG51" s="1" t="str">
        <f t="shared" si="31"/>
        <v>080</v>
      </c>
      <c r="AH51" s="9" t="str">
        <f t="shared" si="32"/>
        <v>04</v>
      </c>
      <c r="AI51" s="1" t="str">
        <f t="shared" si="33"/>
        <v>100</v>
      </c>
      <c r="AJ51" s="9" t="str">
        <f t="shared" si="34"/>
        <v>02</v>
      </c>
      <c r="AK51" s="1" t="str">
        <f t="shared" si="35"/>
        <v>330</v>
      </c>
      <c r="AL51" s="9" t="str">
        <f t="shared" si="36"/>
        <v>03</v>
      </c>
      <c r="AM51" s="1" t="str">
        <f t="shared" si="37"/>
        <v>160</v>
      </c>
      <c r="AN51" s="9" t="str">
        <f t="shared" si="38"/>
        <v>02</v>
      </c>
      <c r="AO51" s="1" t="str">
        <f t="shared" si="39"/>
        <v>050</v>
      </c>
      <c r="AP51" s="9" t="str">
        <f t="shared" si="40"/>
        <v>03</v>
      </c>
      <c r="AQ51" s="1" t="str">
        <f t="shared" si="41"/>
        <v>330</v>
      </c>
      <c r="AR51" s="9" t="str">
        <f t="shared" si="42"/>
        <v>02</v>
      </c>
      <c r="AS51" s="1" t="str">
        <f t="shared" si="43"/>
        <v>170</v>
      </c>
      <c r="AT51" s="9" t="str">
        <f t="shared" si="44"/>
        <v>01</v>
      </c>
      <c r="AU51" s="1" t="str">
        <f t="shared" si="45"/>
        <v>230</v>
      </c>
      <c r="AV51" s="9" t="str">
        <f t="shared" si="46"/>
        <v>03</v>
      </c>
      <c r="AW51" s="1" t="str">
        <f t="shared" si="47"/>
        <v>140</v>
      </c>
      <c r="AX51" s="9" t="str">
        <f t="shared" si="48"/>
        <v>01</v>
      </c>
      <c r="AY51" s="1" t="str">
        <f t="shared" si="49"/>
        <v>330</v>
      </c>
      <c r="AZ51" s="9" t="str">
        <f t="shared" si="50"/>
        <v>03</v>
      </c>
      <c r="BA51" s="1" t="str">
        <f t="shared" si="51"/>
        <v>100</v>
      </c>
      <c r="BB51" s="9" t="str">
        <f t="shared" si="52"/>
        <v>03</v>
      </c>
      <c r="BC51" s="1" t="str">
        <f t="shared" si="53"/>
        <v>150</v>
      </c>
      <c r="BD51" s="9" t="str">
        <f t="shared" si="54"/>
        <v>03</v>
      </c>
      <c r="BE51" s="1" t="str">
        <f t="shared" si="55"/>
        <v>330</v>
      </c>
      <c r="BF51" s="9" t="str">
        <f t="shared" si="56"/>
        <v>02</v>
      </c>
      <c r="BG51" s="1" t="str">
        <f t="shared" si="57"/>
        <v>250</v>
      </c>
      <c r="BH51" s="9" t="str">
        <f t="shared" si="58"/>
        <v>04</v>
      </c>
      <c r="BI51" s="1" t="str">
        <f t="shared" si="59"/>
        <v>260</v>
      </c>
      <c r="BJ51" s="9" t="str">
        <f t="shared" si="60"/>
        <v>01</v>
      </c>
      <c r="BK51" s="1" t="str">
        <f t="shared" si="61"/>
        <v>270</v>
      </c>
      <c r="BL51" s="9" t="str">
        <f t="shared" si="62"/>
        <v>02</v>
      </c>
      <c r="BM51" s="1" t="str">
        <f t="shared" si="63"/>
        <v>310</v>
      </c>
      <c r="BN51" s="9" t="str">
        <f t="shared" si="64"/>
        <v>08</v>
      </c>
      <c r="BO51" s="1" t="str">
        <f t="shared" si="65"/>
        <v>330</v>
      </c>
      <c r="BP51" s="9">
        <f t="shared" si="66"/>
        <v>14</v>
      </c>
      <c r="BQ51" s="1" t="str">
        <f t="shared" si="67"/>
        <v>190</v>
      </c>
      <c r="BR51" s="9" t="str">
        <f t="shared" si="68"/>
        <v>06</v>
      </c>
      <c r="BS51" s="1" t="str">
        <f t="shared" si="69"/>
        <v>230</v>
      </c>
      <c r="BT51" s="9" t="str">
        <f t="shared" si="70"/>
        <v>06</v>
      </c>
      <c r="BU51" s="1" t="str">
        <f t="shared" si="71"/>
        <v>090</v>
      </c>
      <c r="BV51" s="9" t="str">
        <f t="shared" si="72"/>
        <v>01</v>
      </c>
      <c r="BW51" s="1" t="str">
        <f t="shared" si="73"/>
        <v>170</v>
      </c>
      <c r="BX51" s="9" t="str">
        <f t="shared" si="74"/>
        <v>02</v>
      </c>
      <c r="BY51" s="1" t="str">
        <f t="shared" si="75"/>
        <v>000</v>
      </c>
      <c r="BZ51" s="9" t="str">
        <f t="shared" si="76"/>
        <v>00</v>
      </c>
      <c r="CA51" s="1" t="str">
        <f t="shared" si="77"/>
        <v>000</v>
      </c>
      <c r="CB51" s="9" t="str">
        <f t="shared" si="78"/>
        <v>00</v>
      </c>
      <c r="CC51" s="1" t="str">
        <f t="shared" si="79"/>
        <v>130</v>
      </c>
      <c r="CD51" s="9" t="str">
        <f t="shared" si="80"/>
        <v>01</v>
      </c>
      <c r="CE51" s="1" t="str">
        <f t="shared" si="81"/>
        <v>180</v>
      </c>
      <c r="CF51" s="9" t="str">
        <f t="shared" si="82"/>
        <v>01</v>
      </c>
      <c r="CG51" s="1" t="str">
        <f t="shared" si="83"/>
        <v>210</v>
      </c>
      <c r="CH51" s="9" t="str">
        <f t="shared" si="84"/>
        <v>03</v>
      </c>
      <c r="CI51" s="1" t="str">
        <f t="shared" si="85"/>
        <v>000</v>
      </c>
      <c r="CJ51" s="9" t="str">
        <f t="shared" si="86"/>
        <v>00</v>
      </c>
      <c r="CK51" s="1" t="str">
        <f t="shared" si="87"/>
        <v>000</v>
      </c>
      <c r="CL51" s="9" t="str">
        <f t="shared" si="88"/>
        <v>00</v>
      </c>
      <c r="CM51" s="9"/>
    </row>
    <row r="52" spans="1:91" ht="12.75" customHeight="1" x14ac:dyDescent="0.25">
      <c r="A52" s="8"/>
      <c r="B52" s="15" t="s">
        <v>53</v>
      </c>
      <c r="C52" s="20">
        <v>11</v>
      </c>
      <c r="D52" s="20">
        <v>7</v>
      </c>
      <c r="E52" s="20">
        <v>6</v>
      </c>
      <c r="F52" s="20">
        <v>3</v>
      </c>
      <c r="G52" s="20">
        <v>6</v>
      </c>
      <c r="H52" s="20">
        <v>5</v>
      </c>
      <c r="I52" s="20">
        <v>2</v>
      </c>
      <c r="J52" s="20">
        <v>3</v>
      </c>
      <c r="K52" s="20">
        <v>2</v>
      </c>
      <c r="L52" s="20">
        <v>4</v>
      </c>
      <c r="M52" s="20">
        <v>3</v>
      </c>
      <c r="N52" s="20">
        <v>4</v>
      </c>
      <c r="O52" s="20">
        <v>0</v>
      </c>
      <c r="P52" s="20">
        <v>0</v>
      </c>
      <c r="Q52" s="20">
        <v>2</v>
      </c>
      <c r="R52" s="20">
        <v>2</v>
      </c>
      <c r="S52" s="20">
        <v>2</v>
      </c>
      <c r="T52" s="20">
        <v>2</v>
      </c>
      <c r="U52" s="20">
        <v>2</v>
      </c>
      <c r="V52" s="20">
        <v>2</v>
      </c>
      <c r="W52" s="20">
        <v>2</v>
      </c>
      <c r="X52" s="20">
        <v>2</v>
      </c>
      <c r="Y52" s="20">
        <v>2</v>
      </c>
      <c r="Z52" s="20">
        <v>2</v>
      </c>
      <c r="AB52" s="7" t="s">
        <v>21</v>
      </c>
      <c r="AC52" s="1" t="str">
        <f t="shared" si="27"/>
        <v>140</v>
      </c>
      <c r="AD52" s="9" t="str">
        <f t="shared" si="28"/>
        <v>03</v>
      </c>
      <c r="AE52" s="1" t="str">
        <f t="shared" si="29"/>
        <v>000</v>
      </c>
      <c r="AF52" s="9" t="str">
        <f t="shared" si="30"/>
        <v>00</v>
      </c>
      <c r="AG52" s="1" t="str">
        <f t="shared" si="31"/>
        <v>090</v>
      </c>
      <c r="AH52" s="9" t="str">
        <f t="shared" si="32"/>
        <v>05</v>
      </c>
      <c r="AI52" s="1" t="str">
        <f t="shared" si="33"/>
        <v>070</v>
      </c>
      <c r="AJ52" s="9" t="str">
        <f t="shared" si="34"/>
        <v>05</v>
      </c>
      <c r="AK52" s="1" t="str">
        <f t="shared" si="35"/>
        <v>290</v>
      </c>
      <c r="AL52" s="9" t="str">
        <f t="shared" si="36"/>
        <v>02</v>
      </c>
      <c r="AM52" s="1" t="str">
        <f t="shared" si="37"/>
        <v>230</v>
      </c>
      <c r="AN52" s="9" t="str">
        <f t="shared" si="38"/>
        <v>03</v>
      </c>
      <c r="AO52" s="1" t="str">
        <f t="shared" si="39"/>
        <v>130</v>
      </c>
      <c r="AP52" s="9" t="str">
        <f t="shared" si="40"/>
        <v>02</v>
      </c>
      <c r="AQ52" s="1" t="str">
        <f t="shared" si="41"/>
        <v>340</v>
      </c>
      <c r="AR52" s="9" t="str">
        <f t="shared" si="42"/>
        <v>02</v>
      </c>
      <c r="AS52" s="1" t="str">
        <f t="shared" si="43"/>
        <v>230</v>
      </c>
      <c r="AT52" s="9" t="str">
        <f t="shared" si="44"/>
        <v>02</v>
      </c>
      <c r="AU52" s="1" t="str">
        <f t="shared" si="45"/>
        <v>220</v>
      </c>
      <c r="AV52" s="9" t="str">
        <f t="shared" si="46"/>
        <v>02</v>
      </c>
      <c r="AW52" s="1" t="str">
        <f t="shared" si="47"/>
        <v>220</v>
      </c>
      <c r="AX52" s="9" t="str">
        <f t="shared" si="48"/>
        <v>03</v>
      </c>
      <c r="AY52" s="1" t="str">
        <f t="shared" si="49"/>
        <v>330</v>
      </c>
      <c r="AZ52" s="9" t="str">
        <f t="shared" si="50"/>
        <v>03</v>
      </c>
      <c r="BA52" s="1" t="str">
        <f t="shared" si="51"/>
        <v>020</v>
      </c>
      <c r="BB52" s="9" t="str">
        <f t="shared" si="52"/>
        <v>04</v>
      </c>
      <c r="BC52" s="1" t="str">
        <f t="shared" si="53"/>
        <v>180</v>
      </c>
      <c r="BD52" s="9" t="str">
        <f t="shared" si="54"/>
        <v>02</v>
      </c>
      <c r="BE52" s="1" t="str">
        <f t="shared" si="55"/>
        <v>310</v>
      </c>
      <c r="BF52" s="9" t="str">
        <f t="shared" si="56"/>
        <v>03</v>
      </c>
      <c r="BG52" s="1" t="str">
        <f t="shared" si="57"/>
        <v>240</v>
      </c>
      <c r="BH52" s="9" t="str">
        <f t="shared" si="58"/>
        <v>06</v>
      </c>
      <c r="BI52" s="1" t="str">
        <f t="shared" si="59"/>
        <v>100</v>
      </c>
      <c r="BJ52" s="9" t="str">
        <f t="shared" si="60"/>
        <v>07</v>
      </c>
      <c r="BK52" s="1" t="str">
        <f t="shared" si="61"/>
        <v>270</v>
      </c>
      <c r="BL52" s="9" t="str">
        <f t="shared" si="62"/>
        <v>03</v>
      </c>
      <c r="BM52" s="1" t="str">
        <f t="shared" si="63"/>
        <v>310</v>
      </c>
      <c r="BN52" s="9" t="str">
        <f t="shared" si="64"/>
        <v>05</v>
      </c>
      <c r="BO52" s="1" t="str">
        <f t="shared" si="65"/>
        <v>310</v>
      </c>
      <c r="BP52" s="9">
        <f t="shared" si="66"/>
        <v>16</v>
      </c>
      <c r="BQ52" s="1" t="str">
        <f t="shared" si="67"/>
        <v>270</v>
      </c>
      <c r="BR52" s="9" t="str">
        <f t="shared" si="68"/>
        <v>04</v>
      </c>
      <c r="BS52" s="1" t="str">
        <f t="shared" si="69"/>
        <v>220</v>
      </c>
      <c r="BT52" s="9">
        <f t="shared" si="70"/>
        <v>11</v>
      </c>
      <c r="BU52" s="1" t="str">
        <f t="shared" si="71"/>
        <v>210</v>
      </c>
      <c r="BV52" s="9" t="str">
        <f t="shared" si="72"/>
        <v>01</v>
      </c>
      <c r="BW52" s="1" t="str">
        <f t="shared" si="73"/>
        <v>180</v>
      </c>
      <c r="BX52" s="9" t="str">
        <f t="shared" si="74"/>
        <v>02</v>
      </c>
      <c r="BY52" s="1" t="str">
        <f t="shared" si="75"/>
        <v>000</v>
      </c>
      <c r="BZ52" s="9" t="str">
        <f t="shared" si="76"/>
        <v>00</v>
      </c>
      <c r="CA52" s="1" t="str">
        <f t="shared" si="77"/>
        <v>000</v>
      </c>
      <c r="CB52" s="9" t="str">
        <f t="shared" si="78"/>
        <v>00</v>
      </c>
      <c r="CC52" s="1" t="str">
        <f t="shared" si="79"/>
        <v>170</v>
      </c>
      <c r="CD52" s="9" t="str">
        <f t="shared" si="80"/>
        <v>01</v>
      </c>
      <c r="CE52" s="1" t="str">
        <f t="shared" si="81"/>
        <v>170</v>
      </c>
      <c r="CF52" s="9" t="str">
        <f t="shared" si="82"/>
        <v>01</v>
      </c>
      <c r="CG52" s="1" t="str">
        <f t="shared" si="83"/>
        <v>110</v>
      </c>
      <c r="CH52" s="9" t="str">
        <f t="shared" si="84"/>
        <v>03</v>
      </c>
      <c r="CI52" s="1" t="str">
        <f t="shared" si="85"/>
        <v>090</v>
      </c>
      <c r="CJ52" s="9" t="str">
        <f t="shared" si="86"/>
        <v>03</v>
      </c>
      <c r="CK52" s="1" t="str">
        <f t="shared" si="87"/>
        <v>000</v>
      </c>
      <c r="CL52" s="9" t="str">
        <f t="shared" si="88"/>
        <v>00</v>
      </c>
      <c r="CM52" s="9"/>
    </row>
    <row r="53" spans="1:91" ht="12.75" customHeight="1" x14ac:dyDescent="0.25">
      <c r="A53" s="8">
        <v>25</v>
      </c>
      <c r="B53" s="14" t="s">
        <v>52</v>
      </c>
      <c r="C53" s="18" t="s">
        <v>10</v>
      </c>
      <c r="D53" s="18" t="s">
        <v>21</v>
      </c>
      <c r="E53" s="18" t="s">
        <v>68</v>
      </c>
      <c r="F53" s="18" t="s">
        <v>30</v>
      </c>
      <c r="G53" s="18" t="s">
        <v>31</v>
      </c>
      <c r="H53" s="18" t="s">
        <v>31</v>
      </c>
      <c r="I53" s="18" t="s">
        <v>31</v>
      </c>
      <c r="J53" s="18" t="s">
        <v>31</v>
      </c>
      <c r="K53" s="18" t="s">
        <v>29</v>
      </c>
      <c r="L53" s="18" t="s">
        <v>27</v>
      </c>
      <c r="M53" s="18" t="s">
        <v>25</v>
      </c>
      <c r="N53" s="18" t="s">
        <v>22</v>
      </c>
      <c r="O53" s="18" t="s">
        <v>10</v>
      </c>
      <c r="P53" s="18" t="s">
        <v>8</v>
      </c>
      <c r="Q53" s="18" t="s">
        <v>11</v>
      </c>
      <c r="R53" s="18" t="s">
        <v>16</v>
      </c>
      <c r="S53" s="18" t="s">
        <v>46</v>
      </c>
      <c r="T53" s="18" t="s">
        <v>11</v>
      </c>
      <c r="U53" s="18" t="s">
        <v>46</v>
      </c>
      <c r="V53" s="18" t="s">
        <v>46</v>
      </c>
      <c r="W53" s="18" t="s">
        <v>46</v>
      </c>
      <c r="X53" s="18" t="s">
        <v>46</v>
      </c>
      <c r="Y53" s="18" t="s">
        <v>46</v>
      </c>
      <c r="Z53" s="18" t="s">
        <v>46</v>
      </c>
      <c r="AB53" s="7" t="s">
        <v>22</v>
      </c>
      <c r="AC53" s="1" t="str">
        <f t="shared" si="27"/>
        <v>120</v>
      </c>
      <c r="AD53" s="9" t="str">
        <f t="shared" si="28"/>
        <v>02</v>
      </c>
      <c r="AE53" s="1" t="str">
        <f t="shared" si="29"/>
        <v>110</v>
      </c>
      <c r="AF53" s="9" t="str">
        <f t="shared" si="30"/>
        <v>03</v>
      </c>
      <c r="AG53" s="1" t="str">
        <f t="shared" si="31"/>
        <v>070</v>
      </c>
      <c r="AH53" s="9" t="str">
        <f t="shared" si="32"/>
        <v>04</v>
      </c>
      <c r="AI53" s="1" t="str">
        <f t="shared" si="33"/>
        <v>100</v>
      </c>
      <c r="AJ53" s="9" t="str">
        <f t="shared" si="34"/>
        <v>04</v>
      </c>
      <c r="AK53" s="1" t="str">
        <f t="shared" si="35"/>
        <v>130</v>
      </c>
      <c r="AL53" s="9" t="str">
        <f t="shared" si="36"/>
        <v>02</v>
      </c>
      <c r="AM53" s="1" t="str">
        <f t="shared" si="37"/>
        <v>320</v>
      </c>
      <c r="AN53" s="9" t="str">
        <f t="shared" si="38"/>
        <v>04</v>
      </c>
      <c r="AO53" s="1" t="str">
        <f t="shared" si="39"/>
        <v>120</v>
      </c>
      <c r="AP53" s="9" t="str">
        <f t="shared" si="40"/>
        <v>02</v>
      </c>
      <c r="AQ53" s="1" t="str">
        <f t="shared" si="41"/>
        <v>320</v>
      </c>
      <c r="AR53" s="9" t="str">
        <f t="shared" si="42"/>
        <v>03</v>
      </c>
      <c r="AS53" s="1" t="str">
        <f t="shared" si="43"/>
        <v>270</v>
      </c>
      <c r="AT53" s="9" t="str">
        <f t="shared" si="44"/>
        <v>04</v>
      </c>
      <c r="AU53" s="1" t="str">
        <f t="shared" si="45"/>
        <v>000</v>
      </c>
      <c r="AV53" s="9" t="str">
        <f t="shared" si="46"/>
        <v>00</v>
      </c>
      <c r="AW53" s="1" t="str">
        <f t="shared" si="47"/>
        <v>240</v>
      </c>
      <c r="AX53" s="9" t="str">
        <f t="shared" si="48"/>
        <v>05</v>
      </c>
      <c r="AY53" s="1" t="str">
        <f t="shared" si="49"/>
        <v>320</v>
      </c>
      <c r="AZ53" s="9" t="str">
        <f t="shared" si="50"/>
        <v>02</v>
      </c>
      <c r="BA53" s="1" t="str">
        <f t="shared" si="51"/>
        <v>120</v>
      </c>
      <c r="BB53" s="9" t="str">
        <f t="shared" si="52"/>
        <v>03</v>
      </c>
      <c r="BC53" s="1" t="str">
        <f t="shared" si="53"/>
        <v>000</v>
      </c>
      <c r="BD53" s="9" t="str">
        <f t="shared" si="54"/>
        <v>00</v>
      </c>
      <c r="BE53" s="1" t="str">
        <f t="shared" si="55"/>
        <v>270</v>
      </c>
      <c r="BF53" s="9" t="str">
        <f t="shared" si="56"/>
        <v>02</v>
      </c>
      <c r="BG53" s="1" t="str">
        <f t="shared" si="57"/>
        <v>270</v>
      </c>
      <c r="BH53" s="9" t="str">
        <f t="shared" si="58"/>
        <v>04</v>
      </c>
      <c r="BI53" s="1" t="str">
        <f t="shared" si="59"/>
        <v>100</v>
      </c>
      <c r="BJ53" s="9">
        <f t="shared" si="60"/>
        <v>10</v>
      </c>
      <c r="BK53" s="1" t="str">
        <f t="shared" si="61"/>
        <v>190</v>
      </c>
      <c r="BL53" s="9" t="str">
        <f t="shared" si="62"/>
        <v>01</v>
      </c>
      <c r="BM53" s="1" t="str">
        <f t="shared" si="63"/>
        <v>290</v>
      </c>
      <c r="BN53" s="9" t="str">
        <f t="shared" si="64"/>
        <v>04</v>
      </c>
      <c r="BO53" s="1" t="str">
        <f t="shared" si="65"/>
        <v>300</v>
      </c>
      <c r="BP53" s="9">
        <f t="shared" si="66"/>
        <v>16</v>
      </c>
      <c r="BQ53" s="1" t="str">
        <f t="shared" si="67"/>
        <v>270</v>
      </c>
      <c r="BR53" s="9" t="str">
        <f t="shared" si="68"/>
        <v>03</v>
      </c>
      <c r="BS53" s="1" t="str">
        <f t="shared" si="69"/>
        <v>090</v>
      </c>
      <c r="BT53" s="9" t="str">
        <f t="shared" si="70"/>
        <v>08</v>
      </c>
      <c r="BU53" s="1" t="str">
        <f t="shared" si="71"/>
        <v>110</v>
      </c>
      <c r="BV53" s="9" t="str">
        <f t="shared" si="72"/>
        <v>01</v>
      </c>
      <c r="BW53" s="1" t="str">
        <f t="shared" si="73"/>
        <v>110</v>
      </c>
      <c r="BX53" s="9" t="str">
        <f t="shared" si="74"/>
        <v>02</v>
      </c>
      <c r="BY53" s="1" t="str">
        <f t="shared" si="75"/>
        <v>000</v>
      </c>
      <c r="BZ53" s="9" t="str">
        <f t="shared" si="76"/>
        <v>00</v>
      </c>
      <c r="CA53" s="1" t="str">
        <f t="shared" si="77"/>
        <v>000</v>
      </c>
      <c r="CB53" s="9" t="str">
        <f t="shared" si="78"/>
        <v>00</v>
      </c>
      <c r="CC53" s="1" t="str">
        <f t="shared" si="79"/>
        <v>130</v>
      </c>
      <c r="CD53" s="9" t="str">
        <f t="shared" si="80"/>
        <v>02</v>
      </c>
      <c r="CE53" s="1" t="str">
        <f t="shared" si="81"/>
        <v>180</v>
      </c>
      <c r="CF53" s="9" t="str">
        <f t="shared" si="82"/>
        <v>01</v>
      </c>
      <c r="CG53" s="1" t="str">
        <f t="shared" si="83"/>
        <v>070</v>
      </c>
      <c r="CH53" s="9" t="str">
        <f t="shared" si="84"/>
        <v>02</v>
      </c>
      <c r="CI53" s="1" t="str">
        <f t="shared" si="85"/>
        <v>060</v>
      </c>
      <c r="CJ53" s="9" t="str">
        <f t="shared" si="86"/>
        <v>02</v>
      </c>
      <c r="CK53" s="1" t="str">
        <f t="shared" si="87"/>
        <v>000</v>
      </c>
      <c r="CL53" s="9" t="str">
        <f t="shared" si="88"/>
        <v>00</v>
      </c>
      <c r="CM53" s="9"/>
    </row>
    <row r="54" spans="1:91" ht="12.75" customHeight="1" x14ac:dyDescent="0.25">
      <c r="A54" s="8"/>
      <c r="B54" s="15" t="s">
        <v>53</v>
      </c>
      <c r="C54" s="20">
        <v>2</v>
      </c>
      <c r="D54" s="20">
        <v>2</v>
      </c>
      <c r="E54" s="20">
        <v>4</v>
      </c>
      <c r="F54" s="20">
        <v>4</v>
      </c>
      <c r="G54" s="20">
        <v>5</v>
      </c>
      <c r="H54" s="20">
        <v>5</v>
      </c>
      <c r="I54" s="20">
        <v>8</v>
      </c>
      <c r="J54" s="20">
        <v>7</v>
      </c>
      <c r="K54" s="20">
        <v>6</v>
      </c>
      <c r="L54" s="20">
        <v>4</v>
      </c>
      <c r="M54" s="20">
        <v>4</v>
      </c>
      <c r="N54" s="20">
        <v>3</v>
      </c>
      <c r="O54" s="20">
        <v>2</v>
      </c>
      <c r="P54" s="20">
        <v>2</v>
      </c>
      <c r="Q54" s="20">
        <v>2</v>
      </c>
      <c r="R54" s="20">
        <v>2</v>
      </c>
      <c r="S54" s="20">
        <v>0</v>
      </c>
      <c r="T54" s="20">
        <v>2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B54" s="7" t="s">
        <v>23</v>
      </c>
      <c r="AC54" s="1" t="str">
        <f t="shared" si="27"/>
        <v>130</v>
      </c>
      <c r="AD54" s="9" t="str">
        <f t="shared" si="28"/>
        <v>03</v>
      </c>
      <c r="AE54" s="1" t="str">
        <f t="shared" si="29"/>
        <v>060</v>
      </c>
      <c r="AF54" s="9" t="str">
        <f t="shared" si="30"/>
        <v>03</v>
      </c>
      <c r="AG54" s="1" t="str">
        <f t="shared" si="31"/>
        <v>070</v>
      </c>
      <c r="AH54" s="9" t="str">
        <f t="shared" si="32"/>
        <v>04</v>
      </c>
      <c r="AI54" s="1" t="str">
        <f t="shared" si="33"/>
        <v>090</v>
      </c>
      <c r="AJ54" s="9" t="str">
        <f t="shared" si="34"/>
        <v>05</v>
      </c>
      <c r="AK54" s="1" t="str">
        <f t="shared" si="35"/>
        <v>030</v>
      </c>
      <c r="AL54" s="9" t="str">
        <f t="shared" si="36"/>
        <v>02</v>
      </c>
      <c r="AM54" s="1" t="str">
        <f t="shared" si="37"/>
        <v>110</v>
      </c>
      <c r="AN54" s="9" t="str">
        <f t="shared" si="38"/>
        <v>03</v>
      </c>
      <c r="AO54" s="1" t="str">
        <f t="shared" si="39"/>
        <v>170</v>
      </c>
      <c r="AP54" s="9" t="str">
        <f t="shared" si="40"/>
        <v>03</v>
      </c>
      <c r="AQ54" s="1" t="str">
        <f t="shared" si="41"/>
        <v>340</v>
      </c>
      <c r="AR54" s="9" t="str">
        <f t="shared" si="42"/>
        <v>06</v>
      </c>
      <c r="AS54" s="1" t="str">
        <f t="shared" si="43"/>
        <v>360</v>
      </c>
      <c r="AT54" s="9" t="str">
        <f t="shared" si="44"/>
        <v>05</v>
      </c>
      <c r="AU54" s="1" t="str">
        <f t="shared" si="45"/>
        <v>000</v>
      </c>
      <c r="AV54" s="9" t="str">
        <f t="shared" si="46"/>
        <v>00</v>
      </c>
      <c r="AW54" s="1" t="str">
        <f t="shared" si="47"/>
        <v>310</v>
      </c>
      <c r="AX54" s="9" t="str">
        <f t="shared" si="48"/>
        <v>07</v>
      </c>
      <c r="AY54" s="1" t="str">
        <f t="shared" si="49"/>
        <v>320</v>
      </c>
      <c r="AZ54" s="9" t="str">
        <f t="shared" si="50"/>
        <v>04</v>
      </c>
      <c r="BA54" s="1" t="str">
        <f t="shared" si="51"/>
        <v>120</v>
      </c>
      <c r="BB54" s="9" t="str">
        <f t="shared" si="52"/>
        <v>05</v>
      </c>
      <c r="BC54" s="1" t="str">
        <f t="shared" si="53"/>
        <v>290</v>
      </c>
      <c r="BD54" s="9" t="str">
        <f t="shared" si="54"/>
        <v>02</v>
      </c>
      <c r="BE54" s="1" t="str">
        <f t="shared" si="55"/>
        <v>200</v>
      </c>
      <c r="BF54" s="9" t="str">
        <f t="shared" si="56"/>
        <v>01</v>
      </c>
      <c r="BG54" s="1" t="str">
        <f t="shared" si="57"/>
        <v>280</v>
      </c>
      <c r="BH54" s="9" t="str">
        <f t="shared" si="58"/>
        <v>04</v>
      </c>
      <c r="BI54" s="1" t="str">
        <f t="shared" si="59"/>
        <v>070</v>
      </c>
      <c r="BJ54" s="9" t="str">
        <f t="shared" si="60"/>
        <v>07</v>
      </c>
      <c r="BK54" s="1" t="str">
        <f t="shared" si="61"/>
        <v>290</v>
      </c>
      <c r="BL54" s="9" t="str">
        <f t="shared" si="62"/>
        <v>02</v>
      </c>
      <c r="BM54" s="1" t="str">
        <f t="shared" si="63"/>
        <v>300</v>
      </c>
      <c r="BN54" s="9" t="str">
        <f t="shared" si="64"/>
        <v>04</v>
      </c>
      <c r="BO54" s="1" t="str">
        <f t="shared" si="65"/>
        <v>290</v>
      </c>
      <c r="BP54" s="9">
        <f t="shared" si="66"/>
        <v>16</v>
      </c>
      <c r="BQ54" s="1" t="str">
        <f t="shared" si="67"/>
        <v>290</v>
      </c>
      <c r="BR54" s="9" t="str">
        <f t="shared" si="68"/>
        <v>04</v>
      </c>
      <c r="BS54" s="1" t="str">
        <f t="shared" si="69"/>
        <v>110</v>
      </c>
      <c r="BT54" s="9" t="str">
        <f t="shared" si="70"/>
        <v>02</v>
      </c>
      <c r="BU54" s="1" t="str">
        <f t="shared" si="71"/>
        <v>230</v>
      </c>
      <c r="BV54" s="9" t="str">
        <f t="shared" si="72"/>
        <v>07</v>
      </c>
      <c r="BW54" s="1" t="str">
        <f t="shared" si="73"/>
        <v>120</v>
      </c>
      <c r="BX54" s="9" t="str">
        <f t="shared" si="74"/>
        <v>02</v>
      </c>
      <c r="BY54" s="1" t="str">
        <f t="shared" si="75"/>
        <v>000</v>
      </c>
      <c r="BZ54" s="9" t="str">
        <f t="shared" si="76"/>
        <v>00</v>
      </c>
      <c r="CA54" s="1" t="str">
        <f t="shared" si="77"/>
        <v>000</v>
      </c>
      <c r="CB54" s="9" t="str">
        <f t="shared" si="78"/>
        <v>00</v>
      </c>
      <c r="CC54" s="1" t="str">
        <f t="shared" si="79"/>
        <v>100</v>
      </c>
      <c r="CD54" s="9" t="str">
        <f t="shared" si="80"/>
        <v>02</v>
      </c>
      <c r="CE54" s="1" t="str">
        <f t="shared" si="81"/>
        <v>150</v>
      </c>
      <c r="CF54" s="9" t="str">
        <f t="shared" si="82"/>
        <v>01</v>
      </c>
      <c r="CG54" s="1" t="str">
        <f t="shared" si="83"/>
        <v>160</v>
      </c>
      <c r="CH54" s="9" t="str">
        <f t="shared" si="84"/>
        <v>04</v>
      </c>
      <c r="CI54" s="1" t="str">
        <f t="shared" si="85"/>
        <v>050</v>
      </c>
      <c r="CJ54" s="9" t="str">
        <f t="shared" si="86"/>
        <v>02</v>
      </c>
      <c r="CK54" s="1" t="str">
        <f t="shared" si="87"/>
        <v>000</v>
      </c>
      <c r="CL54" s="9" t="str">
        <f t="shared" si="88"/>
        <v>00</v>
      </c>
      <c r="CM54" s="9"/>
    </row>
    <row r="55" spans="1:91" ht="12.75" customHeight="1" x14ac:dyDescent="0.25">
      <c r="A55" s="8">
        <v>26</v>
      </c>
      <c r="B55" s="14" t="s">
        <v>52</v>
      </c>
      <c r="C55" s="18" t="s">
        <v>2</v>
      </c>
      <c r="D55" s="18" t="s">
        <v>81</v>
      </c>
      <c r="E55" s="18" t="s">
        <v>59</v>
      </c>
      <c r="F55" s="18" t="s">
        <v>68</v>
      </c>
      <c r="G55" s="18" t="s">
        <v>68</v>
      </c>
      <c r="H55" s="18" t="s">
        <v>30</v>
      </c>
      <c r="I55" s="18" t="s">
        <v>29</v>
      </c>
      <c r="J55" s="18" t="s">
        <v>28</v>
      </c>
      <c r="K55" s="18" t="s">
        <v>27</v>
      </c>
      <c r="L55" s="18" t="s">
        <v>26</v>
      </c>
      <c r="M55" s="18" t="s">
        <v>26</v>
      </c>
      <c r="N55" s="18" t="s">
        <v>26</v>
      </c>
      <c r="O55" s="18" t="s">
        <v>16</v>
      </c>
      <c r="P55" s="18" t="s">
        <v>20</v>
      </c>
      <c r="Q55" s="18" t="s">
        <v>46</v>
      </c>
      <c r="R55" s="18" t="s">
        <v>46</v>
      </c>
      <c r="S55" s="18" t="s">
        <v>46</v>
      </c>
      <c r="T55" s="18" t="s">
        <v>46</v>
      </c>
      <c r="U55" s="18" t="s">
        <v>46</v>
      </c>
      <c r="V55" s="18" t="s">
        <v>46</v>
      </c>
      <c r="W55" s="18" t="s">
        <v>46</v>
      </c>
      <c r="X55" s="18" t="s">
        <v>46</v>
      </c>
      <c r="Y55" s="18" t="s">
        <v>46</v>
      </c>
      <c r="Z55" s="18" t="s">
        <v>46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</row>
    <row r="56" spans="1:91" ht="12.75" customHeight="1" x14ac:dyDescent="0.25">
      <c r="A56" s="8"/>
      <c r="B56" s="15" t="s">
        <v>53</v>
      </c>
      <c r="C56" s="20">
        <v>3</v>
      </c>
      <c r="D56" s="20">
        <v>5</v>
      </c>
      <c r="E56" s="20">
        <v>8</v>
      </c>
      <c r="F56" s="20">
        <v>8</v>
      </c>
      <c r="G56" s="20">
        <v>8</v>
      </c>
      <c r="H56" s="20">
        <v>13</v>
      </c>
      <c r="I56" s="20">
        <v>10</v>
      </c>
      <c r="J56" s="20">
        <v>9</v>
      </c>
      <c r="K56" s="20">
        <v>8</v>
      </c>
      <c r="L56" s="20">
        <v>7</v>
      </c>
      <c r="M56" s="20">
        <v>5</v>
      </c>
      <c r="N56" s="20">
        <v>4</v>
      </c>
      <c r="O56" s="20">
        <v>2</v>
      </c>
      <c r="P56" s="20">
        <v>2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C56" s="23"/>
      <c r="AE56" s="23"/>
      <c r="AG56" s="23"/>
      <c r="AI56" s="23"/>
      <c r="AK56" s="23"/>
      <c r="AM56" s="23"/>
      <c r="AO56" s="23"/>
      <c r="AQ56" s="23"/>
      <c r="AS56" s="23"/>
      <c r="AU56" s="23"/>
      <c r="AW56" s="23"/>
      <c r="AY56" s="23"/>
      <c r="BA56" s="23"/>
      <c r="BC56" s="23"/>
      <c r="BE56" s="23"/>
      <c r="BG56" s="23"/>
      <c r="BI56" s="23"/>
      <c r="BK56" s="23"/>
      <c r="BM56" s="23"/>
      <c r="BO56" s="23"/>
      <c r="BQ56" s="23"/>
      <c r="BS56" s="23"/>
      <c r="BU56" s="23"/>
      <c r="BW56" s="23"/>
      <c r="BY56" s="23"/>
      <c r="CA56" s="23"/>
      <c r="CC56" s="23"/>
      <c r="CE56" s="23"/>
      <c r="CG56" s="23"/>
      <c r="CI56" s="23"/>
      <c r="CK56" s="23"/>
    </row>
    <row r="57" spans="1:91" ht="12.75" customHeight="1" x14ac:dyDescent="0.25">
      <c r="A57" s="8">
        <v>27</v>
      </c>
      <c r="B57" s="14" t="s">
        <v>52</v>
      </c>
      <c r="C57" s="18" t="s">
        <v>24</v>
      </c>
      <c r="D57" s="18" t="s">
        <v>59</v>
      </c>
      <c r="E57" s="18" t="s">
        <v>68</v>
      </c>
      <c r="F57" s="18" t="s">
        <v>68</v>
      </c>
      <c r="G57" s="18" t="s">
        <v>68</v>
      </c>
      <c r="H57" s="18" t="s">
        <v>68</v>
      </c>
      <c r="I57" s="18" t="s">
        <v>31</v>
      </c>
      <c r="J57" s="18" t="s">
        <v>30</v>
      </c>
      <c r="K57" s="18" t="s">
        <v>31</v>
      </c>
      <c r="L57" s="18" t="s">
        <v>29</v>
      </c>
      <c r="M57" s="18" t="s">
        <v>30</v>
      </c>
      <c r="N57" s="18" t="s">
        <v>28</v>
      </c>
      <c r="O57" s="18" t="s">
        <v>17</v>
      </c>
      <c r="P57" s="18" t="s">
        <v>20</v>
      </c>
      <c r="Q57" s="18" t="s">
        <v>17</v>
      </c>
      <c r="R57" s="18" t="s">
        <v>19</v>
      </c>
      <c r="S57" s="18" t="s">
        <v>22</v>
      </c>
      <c r="T57" s="18" t="s">
        <v>10</v>
      </c>
      <c r="U57" s="18" t="s">
        <v>8</v>
      </c>
      <c r="V57" s="18" t="s">
        <v>17</v>
      </c>
      <c r="W57" s="18" t="s">
        <v>13</v>
      </c>
      <c r="X57" s="18" t="s">
        <v>17</v>
      </c>
      <c r="Y57" s="18" t="s">
        <v>13</v>
      </c>
      <c r="Z57" s="18" t="s">
        <v>10</v>
      </c>
      <c r="AC57" s="23"/>
      <c r="AE57" s="23"/>
      <c r="AG57" s="23"/>
      <c r="AI57" s="23"/>
      <c r="AK57" s="23"/>
      <c r="AM57" s="23"/>
      <c r="AO57" s="23"/>
      <c r="AQ57" s="23"/>
      <c r="AS57" s="23"/>
      <c r="AU57" s="23"/>
      <c r="AW57" s="23"/>
      <c r="AY57" s="23"/>
      <c r="BA57" s="23"/>
      <c r="BC57" s="23"/>
      <c r="BE57" s="23"/>
      <c r="BG57" s="23"/>
      <c r="BI57" s="23"/>
      <c r="BK57" s="23"/>
      <c r="BM57" s="23"/>
      <c r="BO57" s="23"/>
      <c r="BQ57" s="23"/>
      <c r="BS57" s="23"/>
      <c r="BU57" s="23"/>
      <c r="BW57" s="23"/>
      <c r="BY57" s="23"/>
      <c r="CA57" s="23"/>
      <c r="CC57" s="23"/>
      <c r="CE57" s="23"/>
      <c r="CG57" s="23"/>
      <c r="CI57" s="23"/>
      <c r="CK57" s="23"/>
    </row>
    <row r="58" spans="1:91" ht="12.75" customHeight="1" x14ac:dyDescent="0.25">
      <c r="A58" s="8"/>
      <c r="B58" s="15" t="s">
        <v>53</v>
      </c>
      <c r="C58" s="20">
        <v>1</v>
      </c>
      <c r="D58" s="20">
        <v>4</v>
      </c>
      <c r="E58" s="20">
        <v>6</v>
      </c>
      <c r="F58" s="20">
        <v>9</v>
      </c>
      <c r="G58" s="20">
        <v>9</v>
      </c>
      <c r="H58" s="20">
        <v>9</v>
      </c>
      <c r="I58" s="20">
        <v>10</v>
      </c>
      <c r="J58" s="20">
        <v>7</v>
      </c>
      <c r="K58" s="20">
        <v>8</v>
      </c>
      <c r="L58" s="20">
        <v>7</v>
      </c>
      <c r="M58" s="20">
        <v>4</v>
      </c>
      <c r="N58" s="20">
        <v>3</v>
      </c>
      <c r="O58" s="20">
        <v>2</v>
      </c>
      <c r="P58" s="20">
        <v>3</v>
      </c>
      <c r="Q58" s="20">
        <v>1</v>
      </c>
      <c r="R58" s="20">
        <v>1</v>
      </c>
      <c r="S58" s="20">
        <v>1</v>
      </c>
      <c r="T58" s="20">
        <v>1</v>
      </c>
      <c r="U58" s="20">
        <v>1</v>
      </c>
      <c r="V58" s="20">
        <v>1</v>
      </c>
      <c r="W58" s="20">
        <v>1</v>
      </c>
      <c r="X58" s="20">
        <v>1</v>
      </c>
      <c r="Y58" s="20">
        <v>2</v>
      </c>
      <c r="Z58" s="20">
        <v>2</v>
      </c>
      <c r="AC58" s="23"/>
      <c r="AE58" s="23"/>
      <c r="AG58" s="23"/>
      <c r="AI58" s="23"/>
      <c r="AK58" s="23"/>
      <c r="AM58" s="23"/>
      <c r="AO58" s="23"/>
      <c r="AQ58" s="23"/>
      <c r="AS58" s="23"/>
      <c r="AU58" s="23"/>
      <c r="AW58" s="23"/>
      <c r="AY58" s="23"/>
      <c r="BA58" s="23"/>
      <c r="BC58" s="23"/>
      <c r="BE58" s="23"/>
      <c r="BG58" s="23"/>
      <c r="BI58" s="23"/>
      <c r="BK58" s="23"/>
      <c r="BM58" s="23"/>
      <c r="BO58" s="23"/>
      <c r="BQ58" s="23"/>
      <c r="BS58" s="23"/>
      <c r="BU58" s="23"/>
      <c r="BW58" s="23"/>
      <c r="BY58" s="23"/>
      <c r="CA58" s="23"/>
      <c r="CC58" s="23"/>
      <c r="CE58" s="23"/>
      <c r="CG58" s="23"/>
      <c r="CI58" s="23"/>
      <c r="CK58" s="23"/>
    </row>
    <row r="59" spans="1:91" ht="12.75" customHeight="1" x14ac:dyDescent="0.25">
      <c r="A59" s="8">
        <v>28</v>
      </c>
      <c r="B59" s="14" t="s">
        <v>52</v>
      </c>
      <c r="C59" s="18" t="s">
        <v>46</v>
      </c>
      <c r="D59" s="18" t="s">
        <v>27</v>
      </c>
      <c r="E59" s="18" t="s">
        <v>29</v>
      </c>
      <c r="F59" s="18" t="s">
        <v>31</v>
      </c>
      <c r="G59" s="18" t="s">
        <v>30</v>
      </c>
      <c r="H59" s="18" t="s">
        <v>59</v>
      </c>
      <c r="I59" s="18" t="s">
        <v>28</v>
      </c>
      <c r="J59" s="18" t="s">
        <v>31</v>
      </c>
      <c r="K59" s="18" t="s">
        <v>30</v>
      </c>
      <c r="L59" s="18" t="s">
        <v>31</v>
      </c>
      <c r="M59" s="18" t="s">
        <v>28</v>
      </c>
      <c r="N59" s="18" t="s">
        <v>27</v>
      </c>
      <c r="O59" s="18" t="s">
        <v>23</v>
      </c>
      <c r="P59" s="18" t="s">
        <v>15</v>
      </c>
      <c r="Q59" s="18" t="s">
        <v>10</v>
      </c>
      <c r="R59" s="18" t="s">
        <v>21</v>
      </c>
      <c r="S59" s="18" t="s">
        <v>20</v>
      </c>
      <c r="T59" s="18" t="s">
        <v>19</v>
      </c>
      <c r="U59" s="18" t="s">
        <v>9</v>
      </c>
      <c r="V59" s="18" t="s">
        <v>8</v>
      </c>
      <c r="W59" s="18" t="s">
        <v>18</v>
      </c>
      <c r="X59" s="18" t="s">
        <v>17</v>
      </c>
      <c r="Y59" s="18" t="s">
        <v>18</v>
      </c>
      <c r="Z59" s="18" t="s">
        <v>15</v>
      </c>
      <c r="AC59" s="23"/>
      <c r="AE59" s="23"/>
      <c r="AG59" s="23"/>
      <c r="AI59" s="23"/>
      <c r="AK59" s="23"/>
      <c r="AM59" s="23"/>
      <c r="AO59" s="23"/>
      <c r="AQ59" s="23"/>
      <c r="AS59" s="23"/>
      <c r="AU59" s="23"/>
      <c r="AW59" s="23"/>
      <c r="AY59" s="23"/>
      <c r="BA59" s="23"/>
      <c r="BC59" s="23"/>
      <c r="BE59" s="23"/>
      <c r="BG59" s="23"/>
      <c r="BI59" s="23"/>
      <c r="BK59" s="23"/>
      <c r="BM59" s="23"/>
      <c r="BO59" s="23"/>
      <c r="BQ59" s="23"/>
      <c r="BS59" s="23"/>
      <c r="BU59" s="23"/>
      <c r="BW59" s="23"/>
      <c r="BY59" s="23"/>
      <c r="CA59" s="23"/>
      <c r="CC59" s="23"/>
      <c r="CE59" s="23"/>
      <c r="CG59" s="23"/>
      <c r="CI59" s="23"/>
      <c r="CK59" s="23"/>
    </row>
    <row r="60" spans="1:91" ht="12.75" customHeight="1" x14ac:dyDescent="0.25">
      <c r="A60" s="8"/>
      <c r="B60" s="15" t="s">
        <v>53</v>
      </c>
      <c r="C60" s="20">
        <v>0</v>
      </c>
      <c r="D60" s="20">
        <v>4</v>
      </c>
      <c r="E60" s="20">
        <v>8</v>
      </c>
      <c r="F60" s="20">
        <v>8</v>
      </c>
      <c r="G60" s="20">
        <v>9</v>
      </c>
      <c r="H60" s="20">
        <v>7</v>
      </c>
      <c r="I60" s="20">
        <v>10</v>
      </c>
      <c r="J60" s="20">
        <v>8</v>
      </c>
      <c r="K60" s="20">
        <v>7</v>
      </c>
      <c r="L60" s="20">
        <v>6</v>
      </c>
      <c r="M60" s="20">
        <v>3</v>
      </c>
      <c r="N60" s="20">
        <v>4</v>
      </c>
      <c r="O60" s="20">
        <v>2</v>
      </c>
      <c r="P60" s="20">
        <v>2</v>
      </c>
      <c r="Q60" s="20">
        <v>2</v>
      </c>
      <c r="R60" s="20">
        <v>2</v>
      </c>
      <c r="S60" s="20">
        <v>4</v>
      </c>
      <c r="T60" s="20">
        <v>3</v>
      </c>
      <c r="U60" s="20">
        <v>2</v>
      </c>
      <c r="V60" s="20">
        <v>2</v>
      </c>
      <c r="W60" s="20">
        <v>1</v>
      </c>
      <c r="X60" s="20">
        <v>1</v>
      </c>
      <c r="Y60" s="20">
        <v>1</v>
      </c>
      <c r="Z60" s="20">
        <v>1</v>
      </c>
      <c r="AC60" s="23"/>
      <c r="AE60" s="23"/>
      <c r="AG60" s="23"/>
      <c r="AI60" s="23"/>
      <c r="AK60" s="23"/>
      <c r="AM60" s="23"/>
      <c r="AO60" s="23"/>
      <c r="AQ60" s="23"/>
      <c r="AS60" s="23"/>
      <c r="AU60" s="23"/>
      <c r="AW60" s="23"/>
      <c r="AY60" s="23"/>
      <c r="BA60" s="23"/>
      <c r="BC60" s="23"/>
      <c r="BE60" s="23"/>
      <c r="BG60" s="23"/>
      <c r="BI60" s="23"/>
      <c r="BK60" s="23"/>
      <c r="BM60" s="23"/>
      <c r="BO60" s="23"/>
      <c r="BQ60" s="23"/>
      <c r="BS60" s="23"/>
      <c r="BU60" s="23"/>
      <c r="BW60" s="23"/>
      <c r="BY60" s="23"/>
      <c r="CA60" s="23"/>
      <c r="CC60" s="23"/>
      <c r="CE60" s="23"/>
      <c r="CG60" s="23"/>
      <c r="CI60" s="23"/>
      <c r="CK60" s="23"/>
    </row>
    <row r="61" spans="1:91" ht="12.75" customHeight="1" x14ac:dyDescent="0.25">
      <c r="A61" s="8">
        <v>29</v>
      </c>
      <c r="B61" s="14" t="s">
        <v>52</v>
      </c>
      <c r="C61" s="18" t="s">
        <v>21</v>
      </c>
      <c r="D61" s="18" t="s">
        <v>25</v>
      </c>
      <c r="E61" s="18" t="s">
        <v>31</v>
      </c>
      <c r="F61" s="18" t="s">
        <v>68</v>
      </c>
      <c r="G61" s="18" t="s">
        <v>68</v>
      </c>
      <c r="H61" s="18" t="s">
        <v>26</v>
      </c>
      <c r="I61" s="18" t="s">
        <v>29</v>
      </c>
      <c r="J61" s="18" t="s">
        <v>31</v>
      </c>
      <c r="K61" s="18" t="s">
        <v>30</v>
      </c>
      <c r="L61" s="18" t="s">
        <v>31</v>
      </c>
      <c r="M61" s="18" t="s">
        <v>23</v>
      </c>
      <c r="N61" s="18" t="s">
        <v>25</v>
      </c>
      <c r="O61" s="18" t="s">
        <v>24</v>
      </c>
      <c r="P61" s="18" t="s">
        <v>24</v>
      </c>
      <c r="Q61" s="18" t="s">
        <v>23</v>
      </c>
      <c r="R61" s="18" t="s">
        <v>29</v>
      </c>
      <c r="S61" s="18" t="s">
        <v>15</v>
      </c>
      <c r="T61" s="18" t="s">
        <v>46</v>
      </c>
      <c r="U61" s="18" t="s">
        <v>21</v>
      </c>
      <c r="V61" s="18" t="s">
        <v>26</v>
      </c>
      <c r="W61" s="18" t="s">
        <v>21</v>
      </c>
      <c r="X61" s="18" t="s">
        <v>11</v>
      </c>
      <c r="Y61" s="18" t="s">
        <v>7</v>
      </c>
      <c r="Z61" s="18" t="s">
        <v>16</v>
      </c>
      <c r="AC61" s="23"/>
      <c r="AE61" s="23"/>
      <c r="AG61" s="23"/>
      <c r="AI61" s="23"/>
      <c r="AK61" s="23"/>
      <c r="AM61" s="23"/>
      <c r="AO61" s="23"/>
      <c r="AQ61" s="23"/>
      <c r="AS61" s="23"/>
      <c r="AU61" s="23"/>
      <c r="AW61" s="23"/>
      <c r="AY61" s="23"/>
      <c r="BA61" s="23"/>
      <c r="BC61" s="23"/>
      <c r="BE61" s="23"/>
      <c r="BG61" s="23"/>
      <c r="BI61" s="23"/>
      <c r="BK61" s="23"/>
      <c r="BM61" s="23"/>
      <c r="BO61" s="23"/>
      <c r="BQ61" s="23"/>
      <c r="BS61" s="23"/>
      <c r="BU61" s="23"/>
      <c r="BW61" s="23"/>
      <c r="BY61" s="23"/>
      <c r="CA61" s="23"/>
      <c r="CC61" s="23"/>
      <c r="CE61" s="23"/>
      <c r="CG61" s="23"/>
      <c r="CI61" s="23"/>
      <c r="CK61" s="23"/>
    </row>
    <row r="62" spans="1:91" ht="12.75" customHeight="1" x14ac:dyDescent="0.25">
      <c r="A62" s="8"/>
      <c r="B62" s="15" t="s">
        <v>53</v>
      </c>
      <c r="C62" s="20">
        <v>3</v>
      </c>
      <c r="D62" s="20">
        <v>4</v>
      </c>
      <c r="E62" s="20">
        <v>7</v>
      </c>
      <c r="F62" s="20">
        <v>8</v>
      </c>
      <c r="G62" s="20">
        <v>6</v>
      </c>
      <c r="H62" s="20">
        <v>7</v>
      </c>
      <c r="I62" s="20">
        <v>8</v>
      </c>
      <c r="J62" s="20">
        <v>10</v>
      </c>
      <c r="K62" s="20">
        <v>8</v>
      </c>
      <c r="L62" s="20">
        <v>7</v>
      </c>
      <c r="M62" s="20">
        <v>6</v>
      </c>
      <c r="N62" s="20">
        <v>5</v>
      </c>
      <c r="O62" s="20">
        <v>2</v>
      </c>
      <c r="P62" s="20">
        <v>2</v>
      </c>
      <c r="Q62" s="20">
        <v>3</v>
      </c>
      <c r="R62" s="20">
        <v>2</v>
      </c>
      <c r="S62" s="20">
        <v>2</v>
      </c>
      <c r="T62" s="20">
        <v>0</v>
      </c>
      <c r="U62" s="20">
        <v>2</v>
      </c>
      <c r="V62" s="20">
        <v>2</v>
      </c>
      <c r="W62" s="20">
        <v>3</v>
      </c>
      <c r="X62" s="20">
        <v>3</v>
      </c>
      <c r="Y62" s="20">
        <v>2</v>
      </c>
      <c r="Z62" s="20">
        <v>4</v>
      </c>
      <c r="AC62" s="23"/>
      <c r="AE62" s="23"/>
      <c r="AG62" s="23"/>
      <c r="AI62" s="23"/>
      <c r="AK62" s="23"/>
      <c r="AM62" s="23"/>
      <c r="AO62" s="23"/>
      <c r="AQ62" s="23"/>
      <c r="AS62" s="23"/>
      <c r="AU62" s="23"/>
      <c r="AW62" s="23"/>
      <c r="AY62" s="23"/>
      <c r="BA62" s="23"/>
      <c r="BC62" s="23"/>
      <c r="BE62" s="23"/>
      <c r="BG62" s="23"/>
      <c r="BI62" s="23"/>
      <c r="BK62" s="23"/>
      <c r="BM62" s="23"/>
      <c r="BO62" s="23"/>
      <c r="BQ62" s="23"/>
      <c r="BS62" s="23"/>
      <c r="BU62" s="23"/>
      <c r="BW62" s="23"/>
      <c r="BY62" s="23"/>
      <c r="CA62" s="23"/>
      <c r="CC62" s="23"/>
      <c r="CE62" s="23"/>
      <c r="CG62" s="23"/>
      <c r="CI62" s="23"/>
      <c r="CK62" s="23"/>
    </row>
    <row r="63" spans="1:91" ht="12.75" customHeight="1" x14ac:dyDescent="0.25">
      <c r="A63" s="8">
        <v>30</v>
      </c>
      <c r="B63" s="14" t="s">
        <v>52</v>
      </c>
      <c r="C63" s="18" t="s">
        <v>58</v>
      </c>
      <c r="D63" s="18" t="s">
        <v>68</v>
      </c>
      <c r="E63" s="18" t="s">
        <v>30</v>
      </c>
      <c r="F63" s="18" t="s">
        <v>31</v>
      </c>
      <c r="G63" s="18" t="s">
        <v>30</v>
      </c>
      <c r="H63" s="18" t="s">
        <v>27</v>
      </c>
      <c r="I63" s="18" t="s">
        <v>24</v>
      </c>
      <c r="J63" s="18" t="s">
        <v>31</v>
      </c>
      <c r="K63" s="18" t="s">
        <v>30</v>
      </c>
      <c r="L63" s="18" t="s">
        <v>68</v>
      </c>
      <c r="M63" s="18" t="s">
        <v>31</v>
      </c>
      <c r="N63" s="18" t="s">
        <v>27</v>
      </c>
      <c r="O63" s="18" t="s">
        <v>46</v>
      </c>
      <c r="P63" s="18" t="s">
        <v>46</v>
      </c>
      <c r="Q63" s="18" t="s">
        <v>46</v>
      </c>
      <c r="R63" s="18" t="s">
        <v>30</v>
      </c>
      <c r="S63" s="18" t="s">
        <v>46</v>
      </c>
      <c r="T63" s="18" t="s">
        <v>46</v>
      </c>
      <c r="U63" s="18" t="s">
        <v>46</v>
      </c>
      <c r="V63" s="18" t="s">
        <v>46</v>
      </c>
      <c r="W63" s="18" t="s">
        <v>46</v>
      </c>
      <c r="X63" s="18" t="s">
        <v>9</v>
      </c>
      <c r="Y63" s="18" t="s">
        <v>6</v>
      </c>
      <c r="Z63" s="18" t="s">
        <v>5</v>
      </c>
      <c r="AC63" s="23"/>
      <c r="AE63" s="23"/>
      <c r="AG63" s="23"/>
      <c r="AI63" s="23"/>
      <c r="AK63" s="23"/>
      <c r="AM63" s="23"/>
      <c r="AO63" s="23"/>
      <c r="AQ63" s="23"/>
      <c r="AS63" s="23"/>
      <c r="AU63" s="23"/>
      <c r="AW63" s="23"/>
      <c r="AY63" s="23"/>
      <c r="BA63" s="23"/>
      <c r="BC63" s="23"/>
      <c r="BE63" s="23"/>
      <c r="BG63" s="23"/>
      <c r="BI63" s="23"/>
      <c r="BK63" s="23"/>
      <c r="BM63" s="23"/>
      <c r="BO63" s="23"/>
      <c r="BQ63" s="23"/>
      <c r="BS63" s="23"/>
      <c r="BU63" s="23"/>
      <c r="BW63" s="23"/>
      <c r="BY63" s="23"/>
      <c r="CA63" s="23"/>
      <c r="CC63" s="23"/>
      <c r="CE63" s="23"/>
      <c r="CG63" s="23"/>
      <c r="CI63" s="23"/>
      <c r="CK63" s="23"/>
    </row>
    <row r="64" spans="1:91" ht="12.75" customHeight="1" x14ac:dyDescent="0.25">
      <c r="A64" s="8"/>
      <c r="B64" s="15" t="s">
        <v>53</v>
      </c>
      <c r="C64" s="20">
        <v>2</v>
      </c>
      <c r="D64" s="20">
        <v>5</v>
      </c>
      <c r="E64" s="20">
        <v>7</v>
      </c>
      <c r="F64" s="20">
        <v>7</v>
      </c>
      <c r="G64" s="20">
        <v>5</v>
      </c>
      <c r="H64" s="20">
        <v>2</v>
      </c>
      <c r="I64" s="20">
        <v>5</v>
      </c>
      <c r="J64" s="20">
        <v>4</v>
      </c>
      <c r="K64" s="20">
        <v>4</v>
      </c>
      <c r="L64" s="20">
        <v>4</v>
      </c>
      <c r="M64" s="20">
        <v>4</v>
      </c>
      <c r="N64" s="20">
        <v>2</v>
      </c>
      <c r="O64" s="20">
        <v>0</v>
      </c>
      <c r="P64" s="20">
        <v>0</v>
      </c>
      <c r="Q64" s="20">
        <v>0</v>
      </c>
      <c r="R64" s="20">
        <v>2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3</v>
      </c>
      <c r="Y64" s="20">
        <v>2</v>
      </c>
      <c r="Z64" s="20">
        <v>2</v>
      </c>
      <c r="AC64" s="23"/>
      <c r="AE64" s="23"/>
      <c r="AG64" s="23"/>
      <c r="AI64" s="23"/>
      <c r="AK64" s="23"/>
      <c r="AM64" s="23"/>
      <c r="AO64" s="23"/>
      <c r="AQ64" s="23"/>
      <c r="AS64" s="23"/>
      <c r="AU64" s="23"/>
      <c r="AW64" s="23"/>
      <c r="AY64" s="23"/>
      <c r="BA64" s="23"/>
      <c r="BC64" s="23"/>
      <c r="BE64" s="23"/>
      <c r="BG64" s="23"/>
      <c r="BI64" s="23"/>
      <c r="BK64" s="23"/>
      <c r="BM64" s="23"/>
      <c r="BO64" s="23"/>
      <c r="BQ64" s="23"/>
      <c r="BS64" s="23"/>
      <c r="BU64" s="23"/>
      <c r="BW64" s="23"/>
      <c r="BY64" s="23"/>
      <c r="CA64" s="23"/>
      <c r="CC64" s="23"/>
      <c r="CE64" s="23"/>
      <c r="CG64" s="23"/>
      <c r="CI64" s="23"/>
      <c r="CK64" s="23"/>
    </row>
    <row r="65" spans="1:89" ht="12.75" customHeight="1" x14ac:dyDescent="0.25">
      <c r="A65" s="8">
        <v>31</v>
      </c>
      <c r="B65" s="14" t="s">
        <v>52</v>
      </c>
      <c r="C65" s="18" t="s">
        <v>22</v>
      </c>
      <c r="D65" s="18" t="s">
        <v>25</v>
      </c>
      <c r="E65" s="18" t="s">
        <v>88</v>
      </c>
      <c r="F65" s="18" t="s">
        <v>31</v>
      </c>
      <c r="G65" s="18" t="s">
        <v>68</v>
      </c>
      <c r="H65" s="18" t="s">
        <v>29</v>
      </c>
      <c r="I65" s="18" t="s">
        <v>29</v>
      </c>
      <c r="J65" s="18" t="s">
        <v>29</v>
      </c>
      <c r="K65" s="18" t="s">
        <v>31</v>
      </c>
      <c r="L65" s="18" t="s">
        <v>30</v>
      </c>
      <c r="M65" s="18" t="s">
        <v>31</v>
      </c>
      <c r="N65" s="18" t="s">
        <v>25</v>
      </c>
      <c r="O65" s="18" t="s">
        <v>25</v>
      </c>
      <c r="P65" s="18" t="s">
        <v>26</v>
      </c>
      <c r="Q65" s="18" t="s">
        <v>46</v>
      </c>
      <c r="R65" s="18" t="s">
        <v>14</v>
      </c>
      <c r="S65" s="18" t="s">
        <v>46</v>
      </c>
      <c r="T65" s="18" t="s">
        <v>24</v>
      </c>
      <c r="U65" s="18" t="s">
        <v>46</v>
      </c>
      <c r="V65" s="18" t="s">
        <v>8</v>
      </c>
      <c r="W65" s="18" t="s">
        <v>46</v>
      </c>
      <c r="X65" s="18" t="s">
        <v>46</v>
      </c>
      <c r="Y65" s="18" t="s">
        <v>46</v>
      </c>
      <c r="Z65" s="18" t="s">
        <v>46</v>
      </c>
      <c r="AC65" s="23"/>
      <c r="AE65" s="23"/>
      <c r="AG65" s="23"/>
      <c r="AI65" s="23"/>
      <c r="AK65" s="23"/>
      <c r="AM65" s="23"/>
      <c r="AO65" s="23"/>
      <c r="AQ65" s="23"/>
      <c r="AS65" s="23"/>
      <c r="AU65" s="23"/>
      <c r="AW65" s="23"/>
      <c r="AY65" s="23"/>
      <c r="BA65" s="23"/>
      <c r="BC65" s="23"/>
      <c r="BE65" s="23"/>
      <c r="BG65" s="23"/>
      <c r="BI65" s="23"/>
      <c r="BK65" s="23"/>
      <c r="BM65" s="23"/>
      <c r="BO65" s="23"/>
      <c r="BQ65" s="23"/>
      <c r="BS65" s="23"/>
      <c r="BU65" s="23"/>
      <c r="BW65" s="23"/>
      <c r="BY65" s="23"/>
      <c r="CA65" s="23"/>
      <c r="CC65" s="23"/>
      <c r="CE65" s="23"/>
      <c r="CG65" s="23"/>
      <c r="CI65" s="23"/>
      <c r="CK65" s="23"/>
    </row>
    <row r="66" spans="1:89" ht="12.75" customHeight="1" x14ac:dyDescent="0.25">
      <c r="A66" s="8"/>
      <c r="B66" s="15" t="s">
        <v>53</v>
      </c>
      <c r="C66" s="20">
        <v>1</v>
      </c>
      <c r="D66" s="20">
        <v>5</v>
      </c>
      <c r="E66" s="20">
        <v>8</v>
      </c>
      <c r="F66" s="20">
        <v>7</v>
      </c>
      <c r="G66" s="20">
        <v>8</v>
      </c>
      <c r="H66" s="20">
        <v>9</v>
      </c>
      <c r="I66" s="20">
        <v>9</v>
      </c>
      <c r="J66" s="20">
        <v>10</v>
      </c>
      <c r="K66" s="20">
        <v>7</v>
      </c>
      <c r="L66" s="20">
        <v>6</v>
      </c>
      <c r="M66" s="20">
        <v>5</v>
      </c>
      <c r="N66" s="20">
        <v>4</v>
      </c>
      <c r="O66" s="20">
        <v>2</v>
      </c>
      <c r="P66" s="20">
        <v>2</v>
      </c>
      <c r="Q66" s="20">
        <v>0</v>
      </c>
      <c r="R66" s="20">
        <v>2</v>
      </c>
      <c r="S66" s="20">
        <v>0</v>
      </c>
      <c r="T66" s="20">
        <v>2</v>
      </c>
      <c r="U66" s="20">
        <v>0</v>
      </c>
      <c r="V66" s="20">
        <v>3</v>
      </c>
      <c r="W66" s="20">
        <v>0</v>
      </c>
      <c r="X66" s="20">
        <v>0</v>
      </c>
      <c r="Y66" s="20">
        <v>0</v>
      </c>
      <c r="Z66" s="20">
        <v>0</v>
      </c>
      <c r="AC66" s="23"/>
    </row>
    <row r="67" spans="1:89" ht="12.75" customHeight="1" x14ac:dyDescent="0.25">
      <c r="A67" s="24" t="s">
        <v>45</v>
      </c>
      <c r="B67" s="5"/>
      <c r="C67" s="25" t="s">
        <v>46</v>
      </c>
      <c r="D67" s="26" t="s">
        <v>1</v>
      </c>
      <c r="E67" s="26" t="s">
        <v>2</v>
      </c>
      <c r="F67" s="26" t="s">
        <v>3</v>
      </c>
      <c r="G67" s="26" t="s">
        <v>4</v>
      </c>
      <c r="H67" s="26" t="s">
        <v>5</v>
      </c>
      <c r="I67" s="26" t="s">
        <v>6</v>
      </c>
      <c r="J67" s="26" t="s">
        <v>7</v>
      </c>
      <c r="K67" s="26" t="s">
        <v>8</v>
      </c>
      <c r="L67" s="26" t="s">
        <v>9</v>
      </c>
      <c r="M67" s="26" t="s">
        <v>10</v>
      </c>
      <c r="N67" s="26" t="s">
        <v>11</v>
      </c>
      <c r="O67" s="26" t="s">
        <v>12</v>
      </c>
      <c r="P67" s="26" t="s">
        <v>13</v>
      </c>
      <c r="Q67" s="26" t="s">
        <v>14</v>
      </c>
      <c r="R67" s="26" t="s">
        <v>15</v>
      </c>
      <c r="S67" s="26" t="s">
        <v>16</v>
      </c>
      <c r="T67" s="26" t="s">
        <v>17</v>
      </c>
      <c r="U67" s="27">
        <v>18</v>
      </c>
      <c r="V67" s="26" t="s">
        <v>19</v>
      </c>
      <c r="W67" s="26" t="s">
        <v>20</v>
      </c>
      <c r="X67" s="26" t="s">
        <v>21</v>
      </c>
      <c r="Y67" s="26" t="s">
        <v>22</v>
      </c>
      <c r="Z67" s="28" t="s">
        <v>23</v>
      </c>
      <c r="AC67" s="23"/>
    </row>
    <row r="68" spans="1:89" ht="12.75" customHeight="1" x14ac:dyDescent="0.25">
      <c r="AC68" s="23"/>
    </row>
    <row r="69" spans="1:89" ht="12.75" customHeight="1" x14ac:dyDescent="0.25">
      <c r="AC69" s="23"/>
    </row>
    <row r="70" spans="1:89" ht="12.75" customHeight="1" x14ac:dyDescent="0.25">
      <c r="AC70" s="23"/>
    </row>
    <row r="71" spans="1:89" ht="12.75" customHeight="1" x14ac:dyDescent="0.25">
      <c r="AC71" s="23"/>
    </row>
    <row r="72" spans="1:89" ht="12.75" customHeight="1" x14ac:dyDescent="0.25">
      <c r="AC72" s="23"/>
    </row>
    <row r="73" spans="1:89" ht="12.75" customHeight="1" x14ac:dyDescent="0.25"/>
    <row r="74" spans="1:89" ht="12.75" customHeight="1" x14ac:dyDescent="0.25"/>
    <row r="75" spans="1:89" ht="12.75" customHeight="1" x14ac:dyDescent="0.25"/>
    <row r="76" spans="1:89" ht="12.75" customHeight="1" x14ac:dyDescent="0.25"/>
    <row r="77" spans="1:89" ht="12.75" customHeight="1" x14ac:dyDescent="0.25"/>
    <row r="78" spans="1:89" ht="12.75" customHeight="1" x14ac:dyDescent="0.25"/>
    <row r="79" spans="1:89" ht="12.75" customHeight="1" x14ac:dyDescent="0.25"/>
    <row r="80" spans="1:89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</sheetData>
  <mergeCells count="4">
    <mergeCell ref="A1:Z1"/>
    <mergeCell ref="CN1:CN2"/>
    <mergeCell ref="CO1:DS1"/>
    <mergeCell ref="A2:Z2"/>
  </mergeCell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 x14ac:dyDescent="0.25"/>
  <cols>
    <col min="1" max="3" width="9.109375" customWidth="1"/>
    <col min="4" max="4" width="13.109375" customWidth="1"/>
    <col min="5" max="5" width="3.44140625" customWidth="1"/>
    <col min="6" max="6" width="35" customWidth="1"/>
    <col min="7" max="26" width="9.109375" customWidth="1"/>
  </cols>
  <sheetData>
    <row r="1" spans="1:26" ht="12.75" customHeight="1" x14ac:dyDescent="0.25">
      <c r="A1" s="12"/>
      <c r="B1" s="12"/>
      <c r="C1" s="12"/>
      <c r="D1" s="12"/>
      <c r="E1" s="9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25">
      <c r="A2" s="12"/>
      <c r="B2" s="12"/>
      <c r="C2" s="12"/>
      <c r="D2" s="12"/>
      <c r="E2" s="9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5">
      <c r="A3" s="12"/>
      <c r="B3" s="12"/>
      <c r="C3" s="12"/>
      <c r="D3" s="12"/>
      <c r="E3" s="9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3.2" x14ac:dyDescent="0.25">
      <c r="A4" s="12"/>
      <c r="B4" s="12"/>
      <c r="C4" s="12"/>
      <c r="D4" s="12"/>
      <c r="E4" s="9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3.2" x14ac:dyDescent="0.25">
      <c r="A5" s="12"/>
      <c r="B5" s="12"/>
      <c r="C5" s="12"/>
      <c r="D5" s="12"/>
      <c r="E5" s="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4.6" x14ac:dyDescent="0.4">
      <c r="A6" s="83" t="s">
        <v>129</v>
      </c>
      <c r="B6" s="78"/>
      <c r="C6" s="78"/>
      <c r="D6" s="78"/>
      <c r="E6" s="78"/>
      <c r="F6" s="78"/>
      <c r="G6" s="78"/>
      <c r="H6" s="78"/>
      <c r="I6" s="78"/>
      <c r="J6" s="84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4.6" x14ac:dyDescent="0.4">
      <c r="A7" s="85" t="s">
        <v>130</v>
      </c>
      <c r="B7" s="86"/>
      <c r="C7" s="86"/>
      <c r="D7" s="86"/>
      <c r="E7" s="86"/>
      <c r="F7" s="86"/>
      <c r="G7" s="86"/>
      <c r="H7" s="86"/>
      <c r="I7" s="86"/>
      <c r="J7" s="87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3.2" x14ac:dyDescent="0.25">
      <c r="A8" s="29"/>
      <c r="B8" s="12"/>
      <c r="C8" s="12"/>
      <c r="D8" s="12"/>
      <c r="E8" s="9"/>
      <c r="F8" s="12"/>
      <c r="G8" s="12"/>
      <c r="H8" s="12"/>
      <c r="I8" s="12"/>
      <c r="J8" s="30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2" x14ac:dyDescent="0.25">
      <c r="A9" s="29"/>
      <c r="B9" s="12"/>
      <c r="C9" s="12"/>
      <c r="D9" s="12"/>
      <c r="E9" s="9"/>
      <c r="F9" s="12"/>
      <c r="G9" s="12"/>
      <c r="H9" s="12"/>
      <c r="I9" s="12"/>
      <c r="J9" s="3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3.2" x14ac:dyDescent="0.25">
      <c r="A10" s="29"/>
      <c r="B10" s="12"/>
      <c r="C10" s="12"/>
      <c r="D10" s="12"/>
      <c r="E10" s="9"/>
      <c r="F10" s="12"/>
      <c r="G10" s="12"/>
      <c r="H10" s="12"/>
      <c r="I10" s="12"/>
      <c r="J10" s="30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3.2" x14ac:dyDescent="0.25">
      <c r="A11" s="29"/>
      <c r="B11" s="12"/>
      <c r="C11" s="12"/>
      <c r="D11" s="12"/>
      <c r="E11" s="9"/>
      <c r="F11" s="12"/>
      <c r="G11" s="12"/>
      <c r="H11" s="12"/>
      <c r="I11" s="12"/>
      <c r="J11" s="30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3.2" x14ac:dyDescent="0.25">
      <c r="A12" s="29"/>
      <c r="B12" s="12"/>
      <c r="C12" s="12"/>
      <c r="D12" s="12"/>
      <c r="E12" s="9"/>
      <c r="F12" s="12"/>
      <c r="G12" s="12"/>
      <c r="H12" s="12"/>
      <c r="I12" s="12"/>
      <c r="J12" s="30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3.2" x14ac:dyDescent="0.25">
      <c r="A13" s="29"/>
      <c r="B13" s="12"/>
      <c r="C13" s="12"/>
      <c r="D13" s="12"/>
      <c r="E13" s="9"/>
      <c r="F13" s="12"/>
      <c r="G13" s="12"/>
      <c r="H13" s="12"/>
      <c r="I13" s="12"/>
      <c r="J13" s="30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 s="29"/>
      <c r="B14" s="12"/>
      <c r="C14" s="31" t="s">
        <v>131</v>
      </c>
      <c r="D14" s="31"/>
      <c r="E14" s="32" t="s">
        <v>132</v>
      </c>
      <c r="F14" s="33" t="s">
        <v>133</v>
      </c>
      <c r="G14" s="12" t="s">
        <v>134</v>
      </c>
      <c r="H14" s="12"/>
      <c r="I14" s="12"/>
      <c r="J14" s="30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 s="29"/>
      <c r="B15" s="12"/>
      <c r="C15" s="31" t="s">
        <v>135</v>
      </c>
      <c r="D15" s="31"/>
      <c r="E15" s="32" t="s">
        <v>132</v>
      </c>
      <c r="F15" s="33" t="s">
        <v>136</v>
      </c>
      <c r="G15" s="12" t="s">
        <v>137</v>
      </c>
      <c r="H15" s="12"/>
      <c r="I15" s="12"/>
      <c r="J15" s="3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 s="29"/>
      <c r="B16" s="12"/>
      <c r="C16" s="31" t="s">
        <v>138</v>
      </c>
      <c r="D16" s="31"/>
      <c r="E16" s="32" t="s">
        <v>132</v>
      </c>
      <c r="F16" s="31" t="s">
        <v>139</v>
      </c>
      <c r="G16" s="12" t="s">
        <v>140</v>
      </c>
      <c r="H16" s="12"/>
      <c r="I16" s="12"/>
      <c r="J16" s="30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29"/>
      <c r="B17" s="12"/>
      <c r="C17" s="31" t="s">
        <v>141</v>
      </c>
      <c r="D17" s="31"/>
      <c r="E17" s="32" t="s">
        <v>132</v>
      </c>
      <c r="F17" s="33">
        <v>-6.1</v>
      </c>
      <c r="G17" s="12" t="s">
        <v>142</v>
      </c>
      <c r="H17" s="12"/>
      <c r="I17" s="12"/>
      <c r="J17" s="3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 s="29"/>
      <c r="B18" s="12"/>
      <c r="C18" s="31" t="s">
        <v>143</v>
      </c>
      <c r="D18" s="31"/>
      <c r="E18" s="32" t="s">
        <v>132</v>
      </c>
      <c r="F18" s="33">
        <v>140.31</v>
      </c>
      <c r="G18" s="12" t="s">
        <v>144</v>
      </c>
      <c r="H18" s="12"/>
      <c r="I18" s="12"/>
      <c r="J18" s="30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25">
      <c r="A19" s="29"/>
      <c r="B19" s="12"/>
      <c r="C19" s="31" t="s">
        <v>145</v>
      </c>
      <c r="D19" s="31"/>
      <c r="E19" s="32" t="s">
        <v>132</v>
      </c>
      <c r="F19" s="33">
        <v>97</v>
      </c>
      <c r="G19" s="12" t="s">
        <v>146</v>
      </c>
      <c r="H19" s="12"/>
      <c r="I19" s="12"/>
      <c r="J19" s="30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3.2" x14ac:dyDescent="0.25">
      <c r="A20" s="29"/>
      <c r="B20" s="12"/>
      <c r="C20" s="12"/>
      <c r="D20" s="12"/>
      <c r="E20" s="9"/>
      <c r="F20" s="12"/>
      <c r="G20" s="12"/>
      <c r="H20" s="12"/>
      <c r="I20" s="12"/>
      <c r="J20" s="30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34"/>
      <c r="B21" s="35"/>
      <c r="C21" s="35"/>
      <c r="D21" s="35"/>
      <c r="E21" s="36"/>
      <c r="F21" s="35"/>
      <c r="G21" s="35"/>
      <c r="H21" s="35"/>
      <c r="I21" s="35"/>
      <c r="J21" s="3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2"/>
      <c r="B24" s="12"/>
      <c r="C24" s="12"/>
      <c r="D24" s="12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5">
      <c r="A25" s="12"/>
      <c r="B25" s="12"/>
      <c r="C25" s="12"/>
      <c r="D25" s="12"/>
      <c r="E25" s="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5">
      <c r="A26" s="12"/>
      <c r="B26" s="12"/>
      <c r="C26" s="12"/>
      <c r="D26" s="12"/>
      <c r="E26" s="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5">
      <c r="A27" s="12"/>
      <c r="B27" s="12"/>
      <c r="C27" s="12"/>
      <c r="D27" s="12"/>
      <c r="E27" s="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12"/>
      <c r="B28" s="12"/>
      <c r="C28" s="12"/>
      <c r="D28" s="12"/>
      <c r="E28" s="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12"/>
      <c r="B29" s="12"/>
      <c r="C29" s="12"/>
      <c r="D29" s="12"/>
      <c r="E29" s="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12"/>
      <c r="B30" s="12"/>
      <c r="C30" s="12"/>
      <c r="D30" s="12"/>
      <c r="E30" s="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5">
      <c r="A31" s="12"/>
      <c r="B31" s="12"/>
      <c r="C31" s="12"/>
      <c r="D31" s="12"/>
      <c r="E31" s="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5">
      <c r="A32" s="12"/>
      <c r="B32" s="12"/>
      <c r="C32" s="12"/>
      <c r="D32" s="12"/>
      <c r="E32" s="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5">
      <c r="A33" s="12"/>
      <c r="B33" s="12"/>
      <c r="C33" s="12"/>
      <c r="D33" s="12"/>
      <c r="E33" s="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5">
      <c r="A34" s="12"/>
      <c r="B34" s="12"/>
      <c r="C34" s="12"/>
      <c r="D34" s="12"/>
      <c r="E34" s="9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5">
      <c r="A35" s="12"/>
      <c r="B35" s="12"/>
      <c r="C35" s="12"/>
      <c r="D35" s="12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5">
      <c r="A36" s="12"/>
      <c r="B36" s="12"/>
      <c r="C36" s="12"/>
      <c r="D36" s="12"/>
      <c r="E36" s="9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12"/>
      <c r="B37" s="12"/>
      <c r="C37" s="12"/>
      <c r="D37" s="12"/>
      <c r="E37" s="9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12"/>
      <c r="B38" s="12"/>
      <c r="C38" s="12"/>
      <c r="D38" s="12"/>
      <c r="E38" s="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12"/>
      <c r="B39" s="12"/>
      <c r="C39" s="12"/>
      <c r="D39" s="12"/>
      <c r="E39" s="9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12"/>
      <c r="B40" s="12"/>
      <c r="C40" s="12"/>
      <c r="D40" s="12"/>
      <c r="E40" s="9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12"/>
      <c r="B41" s="12"/>
      <c r="C41" s="12"/>
      <c r="D41" s="12"/>
      <c r="E41" s="9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.25" customHeight="1" x14ac:dyDescent="0.25">
      <c r="A42" s="12"/>
      <c r="B42" s="12"/>
      <c r="C42" s="12"/>
      <c r="D42" s="12"/>
      <c r="E42" s="9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12"/>
      <c r="B43" s="12"/>
      <c r="C43" s="12"/>
      <c r="D43" s="12"/>
      <c r="E43" s="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12"/>
      <c r="B44" s="12"/>
      <c r="C44" s="12"/>
      <c r="D44" s="12"/>
      <c r="E44" s="9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12"/>
      <c r="B45" s="12"/>
      <c r="C45" s="12"/>
      <c r="D45" s="12"/>
      <c r="E45" s="9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12"/>
      <c r="B46" s="12"/>
      <c r="C46" s="12"/>
      <c r="D46" s="12"/>
      <c r="E46" s="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12"/>
      <c r="B47" s="12"/>
      <c r="C47" s="12"/>
      <c r="D47" s="12"/>
      <c r="E47" s="9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3">
      <c r="A48" s="88" t="e">
        <f>CONCATENATE(#REF!," ","METEOROLOGICAL STATION")</f>
        <v>#REF!</v>
      </c>
      <c r="B48" s="86"/>
      <c r="C48" s="86"/>
      <c r="D48" s="86"/>
      <c r="E48" s="86"/>
      <c r="F48" s="86"/>
      <c r="G48" s="86"/>
      <c r="H48" s="86"/>
      <c r="I48" s="86"/>
      <c r="J48" s="86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12"/>
      <c r="B49" s="12"/>
      <c r="C49" s="12"/>
      <c r="D49" s="12"/>
      <c r="E49" s="9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45">
      <c r="A50" s="89" t="s">
        <v>147</v>
      </c>
      <c r="B50" s="90"/>
      <c r="C50" s="90"/>
      <c r="D50" s="90"/>
      <c r="E50" s="90"/>
      <c r="F50" s="90"/>
      <c r="G50" s="90"/>
      <c r="H50" s="90"/>
      <c r="I50" s="90"/>
      <c r="J50" s="9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45">
      <c r="A51" s="89" t="s">
        <v>148</v>
      </c>
      <c r="B51" s="90"/>
      <c r="C51" s="90"/>
      <c r="D51" s="90"/>
      <c r="E51" s="90"/>
      <c r="F51" s="90"/>
      <c r="G51" s="90"/>
      <c r="H51" s="90"/>
      <c r="I51" s="90"/>
      <c r="J51" s="90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12"/>
      <c r="B52" s="12"/>
      <c r="C52" s="12"/>
      <c r="D52" s="12"/>
      <c r="E52" s="9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12"/>
      <c r="B53" s="12"/>
      <c r="C53" s="12"/>
      <c r="D53" s="12"/>
      <c r="E53" s="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12"/>
      <c r="B54" s="12"/>
      <c r="C54" s="12"/>
      <c r="D54" s="12"/>
      <c r="E54" s="9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12"/>
      <c r="B55" s="12"/>
      <c r="C55" s="12"/>
      <c r="D55" s="12"/>
      <c r="E55" s="9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12"/>
      <c r="B56" s="12"/>
      <c r="C56" s="12"/>
      <c r="D56" s="12"/>
      <c r="E56" s="9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12"/>
      <c r="B57" s="12"/>
      <c r="C57" s="12"/>
      <c r="D57" s="12"/>
      <c r="E57" s="9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12"/>
      <c r="B58" s="12"/>
      <c r="C58" s="12"/>
      <c r="D58" s="12"/>
      <c r="E58" s="9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12"/>
      <c r="B59" s="12"/>
      <c r="C59" s="12"/>
      <c r="D59" s="12"/>
      <c r="E59" s="9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12"/>
      <c r="B60" s="12"/>
      <c r="C60" s="12"/>
      <c r="D60" s="12"/>
      <c r="E60" s="9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2"/>
      <c r="B61" s="12"/>
      <c r="C61" s="12"/>
      <c r="D61" s="12"/>
      <c r="E61" s="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12"/>
      <c r="B62" s="12"/>
      <c r="C62" s="12"/>
      <c r="D62" s="12"/>
      <c r="E62" s="9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12"/>
      <c r="B63" s="12"/>
      <c r="C63" s="12"/>
      <c r="D63" s="12"/>
      <c r="E63" s="9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2"/>
      <c r="B64" s="12"/>
      <c r="C64" s="12"/>
      <c r="D64" s="12"/>
      <c r="E64" s="9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2"/>
      <c r="B65" s="12"/>
      <c r="C65" s="12"/>
      <c r="D65" s="12"/>
      <c r="E65" s="9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2"/>
      <c r="B66" s="12"/>
      <c r="C66" s="12"/>
      <c r="D66" s="12"/>
      <c r="E66" s="9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2"/>
      <c r="B67" s="12"/>
      <c r="C67" s="12"/>
      <c r="D67" s="12"/>
      <c r="E67" s="9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2"/>
      <c r="B68" s="12"/>
      <c r="C68" s="12"/>
      <c r="D68" s="12"/>
      <c r="E68" s="9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2"/>
      <c r="B69" s="12"/>
      <c r="C69" s="12"/>
      <c r="D69" s="12"/>
      <c r="E69" s="9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2"/>
      <c r="B70" s="12"/>
      <c r="C70" s="12"/>
      <c r="D70" s="12"/>
      <c r="E70" s="9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2"/>
      <c r="B71" s="12"/>
      <c r="C71" s="12"/>
      <c r="D71" s="12"/>
      <c r="E71" s="9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2"/>
      <c r="B72" s="12"/>
      <c r="C72" s="12"/>
      <c r="D72" s="12"/>
      <c r="E72" s="9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2"/>
      <c r="B73" s="12"/>
      <c r="C73" s="12"/>
      <c r="D73" s="12"/>
      <c r="E73" s="9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2"/>
      <c r="B74" s="12"/>
      <c r="C74" s="12"/>
      <c r="D74" s="12"/>
      <c r="E74" s="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2"/>
      <c r="B75" s="12"/>
      <c r="C75" s="12"/>
      <c r="D75" s="12"/>
      <c r="E75" s="9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2"/>
      <c r="B76" s="12"/>
      <c r="C76" s="12"/>
      <c r="D76" s="12"/>
      <c r="E76" s="9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2"/>
      <c r="B77" s="12"/>
      <c r="C77" s="12"/>
      <c r="D77" s="12"/>
      <c r="E77" s="9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2"/>
      <c r="B78" s="12"/>
      <c r="C78" s="12"/>
      <c r="D78" s="12"/>
      <c r="E78" s="9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2"/>
      <c r="B79" s="12"/>
      <c r="C79" s="12"/>
      <c r="D79" s="12"/>
      <c r="E79" s="9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2"/>
      <c r="B80" s="12"/>
      <c r="C80" s="12"/>
      <c r="D80" s="12"/>
      <c r="E80" s="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2"/>
      <c r="B81" s="12"/>
      <c r="C81" s="12"/>
      <c r="D81" s="12"/>
      <c r="E81" s="9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2"/>
      <c r="B82" s="12"/>
      <c r="C82" s="12"/>
      <c r="D82" s="12"/>
      <c r="E82" s="9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2"/>
      <c r="B83" s="12"/>
      <c r="C83" s="12"/>
      <c r="D83" s="12"/>
      <c r="E83" s="9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2"/>
      <c r="B84" s="12"/>
      <c r="C84" s="12"/>
      <c r="D84" s="12"/>
      <c r="E84" s="9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2"/>
      <c r="B85" s="12"/>
      <c r="C85" s="12"/>
      <c r="D85" s="12"/>
      <c r="E85" s="9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2"/>
      <c r="B86" s="12"/>
      <c r="C86" s="12"/>
      <c r="D86" s="12"/>
      <c r="E86" s="9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2"/>
      <c r="B87" s="12"/>
      <c r="C87" s="12"/>
      <c r="D87" s="12"/>
      <c r="E87" s="9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2"/>
      <c r="B88" s="12"/>
      <c r="C88" s="12"/>
      <c r="D88" s="12"/>
      <c r="E88" s="9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2"/>
      <c r="B89" s="12"/>
      <c r="C89" s="12"/>
      <c r="D89" s="12"/>
      <c r="E89" s="9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2"/>
      <c r="B90" s="12"/>
      <c r="C90" s="12"/>
      <c r="D90" s="12"/>
      <c r="E90" s="9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12"/>
      <c r="B91" s="12"/>
      <c r="C91" s="12"/>
      <c r="D91" s="12"/>
      <c r="E91" s="9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2"/>
      <c r="B92" s="12"/>
      <c r="C92" s="12"/>
      <c r="D92" s="12"/>
      <c r="E92" s="9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2"/>
      <c r="B93" s="12"/>
      <c r="C93" s="12"/>
      <c r="D93" s="12"/>
      <c r="E93" s="9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2"/>
      <c r="B94" s="12"/>
      <c r="C94" s="12"/>
      <c r="D94" s="12"/>
      <c r="E94" s="9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2"/>
      <c r="B95" s="12"/>
      <c r="C95" s="12"/>
      <c r="D95" s="12"/>
      <c r="E95" s="9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2"/>
      <c r="B96" s="12"/>
      <c r="C96" s="12"/>
      <c r="D96" s="12"/>
      <c r="E96" s="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2"/>
      <c r="B97" s="12"/>
      <c r="C97" s="12"/>
      <c r="D97" s="12"/>
      <c r="E97" s="9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2"/>
      <c r="B98" s="12"/>
      <c r="C98" s="12"/>
      <c r="D98" s="12"/>
      <c r="E98" s="9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2"/>
      <c r="B99" s="12"/>
      <c r="C99" s="12"/>
      <c r="D99" s="12"/>
      <c r="E99" s="9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2"/>
      <c r="B100" s="12"/>
      <c r="C100" s="12"/>
      <c r="D100" s="12"/>
      <c r="E100" s="9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2"/>
      <c r="B101" s="12"/>
      <c r="C101" s="12"/>
      <c r="D101" s="12"/>
      <c r="E101" s="9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2"/>
      <c r="B102" s="12"/>
      <c r="C102" s="12"/>
      <c r="D102" s="12"/>
      <c r="E102" s="9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2"/>
      <c r="B103" s="12"/>
      <c r="C103" s="12"/>
      <c r="D103" s="12"/>
      <c r="E103" s="9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12"/>
      <c r="B104" s="12"/>
      <c r="C104" s="12"/>
      <c r="D104" s="12"/>
      <c r="E104" s="9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2"/>
      <c r="B105" s="12"/>
      <c r="C105" s="12"/>
      <c r="D105" s="12"/>
      <c r="E105" s="9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2"/>
      <c r="B106" s="12"/>
      <c r="C106" s="12"/>
      <c r="D106" s="12"/>
      <c r="E106" s="9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2"/>
      <c r="B107" s="12"/>
      <c r="C107" s="12"/>
      <c r="D107" s="12"/>
      <c r="E107" s="9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2"/>
      <c r="B108" s="12"/>
      <c r="C108" s="12"/>
      <c r="D108" s="12"/>
      <c r="E108" s="9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2"/>
      <c r="B109" s="12"/>
      <c r="C109" s="12"/>
      <c r="D109" s="12"/>
      <c r="E109" s="9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2"/>
      <c r="B110" s="12"/>
      <c r="C110" s="12"/>
      <c r="D110" s="12"/>
      <c r="E110" s="9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2"/>
      <c r="B111" s="12"/>
      <c r="C111" s="12"/>
      <c r="D111" s="12"/>
      <c r="E111" s="9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2"/>
      <c r="B112" s="12"/>
      <c r="C112" s="12"/>
      <c r="D112" s="12"/>
      <c r="E112" s="9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2"/>
      <c r="B113" s="12"/>
      <c r="C113" s="12"/>
      <c r="D113" s="12"/>
      <c r="E113" s="9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2"/>
      <c r="B114" s="12"/>
      <c r="C114" s="12"/>
      <c r="D114" s="12"/>
      <c r="E114" s="9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2"/>
      <c r="B115" s="12"/>
      <c r="C115" s="12"/>
      <c r="D115" s="12"/>
      <c r="E115" s="9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2"/>
      <c r="B116" s="12"/>
      <c r="C116" s="12"/>
      <c r="D116" s="12"/>
      <c r="E116" s="9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2"/>
      <c r="B117" s="12"/>
      <c r="C117" s="12"/>
      <c r="D117" s="12"/>
      <c r="E117" s="9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2"/>
      <c r="B118" s="12"/>
      <c r="C118" s="12"/>
      <c r="D118" s="12"/>
      <c r="E118" s="9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2"/>
      <c r="B119" s="12"/>
      <c r="C119" s="12"/>
      <c r="D119" s="12"/>
      <c r="E119" s="9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2"/>
      <c r="B120" s="12"/>
      <c r="C120" s="12"/>
      <c r="D120" s="12"/>
      <c r="E120" s="9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2"/>
      <c r="B121" s="12"/>
      <c r="C121" s="12"/>
      <c r="D121" s="12"/>
      <c r="E121" s="9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2"/>
      <c r="B122" s="12"/>
      <c r="C122" s="12"/>
      <c r="D122" s="12"/>
      <c r="E122" s="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2"/>
      <c r="B123" s="12"/>
      <c r="C123" s="12"/>
      <c r="D123" s="12"/>
      <c r="E123" s="9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2"/>
      <c r="B124" s="12"/>
      <c r="C124" s="12"/>
      <c r="D124" s="12"/>
      <c r="E124" s="9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12"/>
      <c r="B125" s="12"/>
      <c r="C125" s="12"/>
      <c r="D125" s="12"/>
      <c r="E125" s="9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2"/>
      <c r="B126" s="12"/>
      <c r="C126" s="12"/>
      <c r="D126" s="12"/>
      <c r="E126" s="9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2"/>
      <c r="B127" s="12"/>
      <c r="C127" s="12"/>
      <c r="D127" s="12"/>
      <c r="E127" s="9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2"/>
      <c r="B128" s="12"/>
      <c r="C128" s="12"/>
      <c r="D128" s="12"/>
      <c r="E128" s="9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12"/>
      <c r="B129" s="12"/>
      <c r="C129" s="12"/>
      <c r="D129" s="12"/>
      <c r="E129" s="9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12"/>
      <c r="B130" s="12"/>
      <c r="C130" s="12"/>
      <c r="D130" s="12"/>
      <c r="E130" s="9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"/>
      <c r="B131" s="12"/>
      <c r="C131" s="12"/>
      <c r="D131" s="12"/>
      <c r="E131" s="9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"/>
      <c r="B132" s="12"/>
      <c r="C132" s="12"/>
      <c r="D132" s="12"/>
      <c r="E132" s="9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12"/>
      <c r="B133" s="12"/>
      <c r="C133" s="12"/>
      <c r="D133" s="12"/>
      <c r="E133" s="9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12"/>
      <c r="B134" s="12"/>
      <c r="C134" s="12"/>
      <c r="D134" s="12"/>
      <c r="E134" s="9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12"/>
      <c r="B135" s="12"/>
      <c r="C135" s="12"/>
      <c r="D135" s="12"/>
      <c r="E135" s="9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12"/>
      <c r="B136" s="12"/>
      <c r="C136" s="12"/>
      <c r="D136" s="12"/>
      <c r="E136" s="9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12"/>
      <c r="B137" s="12"/>
      <c r="C137" s="12"/>
      <c r="D137" s="12"/>
      <c r="E137" s="9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12"/>
      <c r="B138" s="12"/>
      <c r="C138" s="12"/>
      <c r="D138" s="12"/>
      <c r="E138" s="9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12"/>
      <c r="B139" s="12"/>
      <c r="C139" s="12"/>
      <c r="D139" s="12"/>
      <c r="E139" s="9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12"/>
      <c r="B140" s="12"/>
      <c r="C140" s="12"/>
      <c r="D140" s="12"/>
      <c r="E140" s="9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2"/>
      <c r="B141" s="12"/>
      <c r="C141" s="12"/>
      <c r="D141" s="12"/>
      <c r="E141" s="9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12"/>
      <c r="B142" s="12"/>
      <c r="C142" s="12"/>
      <c r="D142" s="12"/>
      <c r="E142" s="9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2"/>
      <c r="B143" s="12"/>
      <c r="C143" s="12"/>
      <c r="D143" s="12"/>
      <c r="E143" s="9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2"/>
      <c r="B144" s="12"/>
      <c r="C144" s="12"/>
      <c r="D144" s="12"/>
      <c r="E144" s="9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12"/>
      <c r="B145" s="12"/>
      <c r="C145" s="12"/>
      <c r="D145" s="12"/>
      <c r="E145" s="9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2"/>
      <c r="B146" s="12"/>
      <c r="C146" s="12"/>
      <c r="D146" s="12"/>
      <c r="E146" s="9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2"/>
      <c r="B147" s="12"/>
      <c r="C147" s="12"/>
      <c r="D147" s="12"/>
      <c r="E147" s="9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12"/>
      <c r="B148" s="12"/>
      <c r="C148" s="12"/>
      <c r="D148" s="12"/>
      <c r="E148" s="9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12"/>
      <c r="B149" s="12"/>
      <c r="C149" s="12"/>
      <c r="D149" s="12"/>
      <c r="E149" s="9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2"/>
      <c r="B150" s="12"/>
      <c r="C150" s="12"/>
      <c r="D150" s="12"/>
      <c r="E150" s="9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2"/>
      <c r="B151" s="12"/>
      <c r="C151" s="12"/>
      <c r="D151" s="12"/>
      <c r="E151" s="9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2"/>
      <c r="B152" s="12"/>
      <c r="C152" s="12"/>
      <c r="D152" s="12"/>
      <c r="E152" s="9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12"/>
      <c r="B153" s="12"/>
      <c r="C153" s="12"/>
      <c r="D153" s="12"/>
      <c r="E153" s="9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12"/>
      <c r="B154" s="12"/>
      <c r="C154" s="12"/>
      <c r="D154" s="12"/>
      <c r="E154" s="9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2"/>
      <c r="B155" s="12"/>
      <c r="C155" s="12"/>
      <c r="D155" s="12"/>
      <c r="E155" s="9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2"/>
      <c r="B156" s="12"/>
      <c r="C156" s="12"/>
      <c r="D156" s="12"/>
      <c r="E156" s="9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2"/>
      <c r="B157" s="12"/>
      <c r="C157" s="12"/>
      <c r="D157" s="12"/>
      <c r="E157" s="9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2"/>
      <c r="B158" s="12"/>
      <c r="C158" s="12"/>
      <c r="D158" s="12"/>
      <c r="E158" s="9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12"/>
      <c r="B159" s="12"/>
      <c r="C159" s="12"/>
      <c r="D159" s="12"/>
      <c r="E159" s="9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12"/>
      <c r="B160" s="12"/>
      <c r="C160" s="12"/>
      <c r="D160" s="12"/>
      <c r="E160" s="9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12"/>
      <c r="B161" s="12"/>
      <c r="C161" s="12"/>
      <c r="D161" s="12"/>
      <c r="E161" s="9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12"/>
      <c r="B162" s="12"/>
      <c r="C162" s="12"/>
      <c r="D162" s="12"/>
      <c r="E162" s="9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12"/>
      <c r="B163" s="12"/>
      <c r="C163" s="12"/>
      <c r="D163" s="12"/>
      <c r="E163" s="9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12"/>
      <c r="B164" s="12"/>
      <c r="C164" s="12"/>
      <c r="D164" s="12"/>
      <c r="E164" s="9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12"/>
      <c r="B165" s="12"/>
      <c r="C165" s="12"/>
      <c r="D165" s="12"/>
      <c r="E165" s="9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12"/>
      <c r="B166" s="12"/>
      <c r="C166" s="12"/>
      <c r="D166" s="12"/>
      <c r="E166" s="9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12"/>
      <c r="B167" s="12"/>
      <c r="C167" s="12"/>
      <c r="D167" s="12"/>
      <c r="E167" s="9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12"/>
      <c r="B168" s="12"/>
      <c r="C168" s="12"/>
      <c r="D168" s="12"/>
      <c r="E168" s="9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12"/>
      <c r="B169" s="12"/>
      <c r="C169" s="12"/>
      <c r="D169" s="12"/>
      <c r="E169" s="9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12"/>
      <c r="B170" s="12"/>
      <c r="C170" s="12"/>
      <c r="D170" s="12"/>
      <c r="E170" s="9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12"/>
      <c r="B171" s="12"/>
      <c r="C171" s="12"/>
      <c r="D171" s="12"/>
      <c r="E171" s="9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12"/>
      <c r="B172" s="12"/>
      <c r="C172" s="12"/>
      <c r="D172" s="12"/>
      <c r="E172" s="9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12"/>
      <c r="B173" s="12"/>
      <c r="C173" s="12"/>
      <c r="D173" s="12"/>
      <c r="E173" s="9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12"/>
      <c r="B174" s="12"/>
      <c r="C174" s="12"/>
      <c r="D174" s="12"/>
      <c r="E174" s="9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12"/>
      <c r="B175" s="12"/>
      <c r="C175" s="12"/>
      <c r="D175" s="12"/>
      <c r="E175" s="9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12"/>
      <c r="B176" s="12"/>
      <c r="C176" s="12"/>
      <c r="D176" s="12"/>
      <c r="E176" s="9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12"/>
      <c r="B177" s="12"/>
      <c r="C177" s="12"/>
      <c r="D177" s="12"/>
      <c r="E177" s="9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12"/>
      <c r="B178" s="12"/>
      <c r="C178" s="12"/>
      <c r="D178" s="12"/>
      <c r="E178" s="9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12"/>
      <c r="B179" s="12"/>
      <c r="C179" s="12"/>
      <c r="D179" s="12"/>
      <c r="E179" s="9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12"/>
      <c r="B180" s="12"/>
      <c r="C180" s="12"/>
      <c r="D180" s="12"/>
      <c r="E180" s="9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12"/>
      <c r="B181" s="12"/>
      <c r="C181" s="12"/>
      <c r="D181" s="12"/>
      <c r="E181" s="9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12"/>
      <c r="B182" s="12"/>
      <c r="C182" s="12"/>
      <c r="D182" s="12"/>
      <c r="E182" s="9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12"/>
      <c r="B183" s="12"/>
      <c r="C183" s="12"/>
      <c r="D183" s="12"/>
      <c r="E183" s="9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12"/>
      <c r="B184" s="12"/>
      <c r="C184" s="12"/>
      <c r="D184" s="12"/>
      <c r="E184" s="9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12"/>
      <c r="B185" s="12"/>
      <c r="C185" s="12"/>
      <c r="D185" s="12"/>
      <c r="E185" s="9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12"/>
      <c r="B186" s="12"/>
      <c r="C186" s="12"/>
      <c r="D186" s="12"/>
      <c r="E186" s="9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12"/>
      <c r="B187" s="12"/>
      <c r="C187" s="12"/>
      <c r="D187" s="12"/>
      <c r="E187" s="9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12"/>
      <c r="B188" s="12"/>
      <c r="C188" s="12"/>
      <c r="D188" s="12"/>
      <c r="E188" s="9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12"/>
      <c r="B189" s="12"/>
      <c r="C189" s="12"/>
      <c r="D189" s="12"/>
      <c r="E189" s="9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12"/>
      <c r="B190" s="12"/>
      <c r="C190" s="12"/>
      <c r="D190" s="12"/>
      <c r="E190" s="9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12"/>
      <c r="B191" s="12"/>
      <c r="C191" s="12"/>
      <c r="D191" s="12"/>
      <c r="E191" s="9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12"/>
      <c r="B192" s="12"/>
      <c r="C192" s="12"/>
      <c r="D192" s="12"/>
      <c r="E192" s="9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12"/>
      <c r="B193" s="12"/>
      <c r="C193" s="12"/>
      <c r="D193" s="12"/>
      <c r="E193" s="9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12"/>
      <c r="B194" s="12"/>
      <c r="C194" s="12"/>
      <c r="D194" s="12"/>
      <c r="E194" s="9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12"/>
      <c r="B195" s="12"/>
      <c r="C195" s="12"/>
      <c r="D195" s="12"/>
      <c r="E195" s="9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12"/>
      <c r="B196" s="12"/>
      <c r="C196" s="12"/>
      <c r="D196" s="12"/>
      <c r="E196" s="9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12"/>
      <c r="B197" s="12"/>
      <c r="C197" s="12"/>
      <c r="D197" s="12"/>
      <c r="E197" s="9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12"/>
      <c r="B198" s="12"/>
      <c r="C198" s="12"/>
      <c r="D198" s="12"/>
      <c r="E198" s="9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12"/>
      <c r="B199" s="12"/>
      <c r="C199" s="12"/>
      <c r="D199" s="12"/>
      <c r="E199" s="9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12"/>
      <c r="B200" s="12"/>
      <c r="C200" s="12"/>
      <c r="D200" s="12"/>
      <c r="E200" s="9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12"/>
      <c r="B201" s="12"/>
      <c r="C201" s="12"/>
      <c r="D201" s="12"/>
      <c r="E201" s="9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12"/>
      <c r="B202" s="12"/>
      <c r="C202" s="12"/>
      <c r="D202" s="12"/>
      <c r="E202" s="9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12"/>
      <c r="B203" s="12"/>
      <c r="C203" s="12"/>
      <c r="D203" s="12"/>
      <c r="E203" s="9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12"/>
      <c r="B204" s="12"/>
      <c r="C204" s="12"/>
      <c r="D204" s="12"/>
      <c r="E204" s="9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12"/>
      <c r="B205" s="12"/>
      <c r="C205" s="12"/>
      <c r="D205" s="12"/>
      <c r="E205" s="9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12"/>
      <c r="B206" s="12"/>
      <c r="C206" s="12"/>
      <c r="D206" s="12"/>
      <c r="E206" s="9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12"/>
      <c r="B207" s="12"/>
      <c r="C207" s="12"/>
      <c r="D207" s="12"/>
      <c r="E207" s="9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12"/>
      <c r="B208" s="12"/>
      <c r="C208" s="12"/>
      <c r="D208" s="12"/>
      <c r="E208" s="9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12"/>
      <c r="B209" s="12"/>
      <c r="C209" s="12"/>
      <c r="D209" s="12"/>
      <c r="E209" s="9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12"/>
      <c r="B210" s="12"/>
      <c r="C210" s="12"/>
      <c r="D210" s="12"/>
      <c r="E210" s="9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12"/>
      <c r="B211" s="12"/>
      <c r="C211" s="12"/>
      <c r="D211" s="12"/>
      <c r="E211" s="9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12"/>
      <c r="B212" s="12"/>
      <c r="C212" s="12"/>
      <c r="D212" s="12"/>
      <c r="E212" s="9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12"/>
      <c r="B213" s="12"/>
      <c r="C213" s="12"/>
      <c r="D213" s="12"/>
      <c r="E213" s="9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12"/>
      <c r="B214" s="12"/>
      <c r="C214" s="12"/>
      <c r="D214" s="12"/>
      <c r="E214" s="9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12"/>
      <c r="B215" s="12"/>
      <c r="C215" s="12"/>
      <c r="D215" s="12"/>
      <c r="E215" s="9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12"/>
      <c r="B216" s="12"/>
      <c r="C216" s="12"/>
      <c r="D216" s="12"/>
      <c r="E216" s="9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12"/>
      <c r="B217" s="12"/>
      <c r="C217" s="12"/>
      <c r="D217" s="12"/>
      <c r="E217" s="9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12"/>
      <c r="B218" s="12"/>
      <c r="C218" s="12"/>
      <c r="D218" s="12"/>
      <c r="E218" s="9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12"/>
      <c r="B219" s="12"/>
      <c r="C219" s="12"/>
      <c r="D219" s="12"/>
      <c r="E219" s="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12"/>
      <c r="B220" s="12"/>
      <c r="C220" s="12"/>
      <c r="D220" s="12"/>
      <c r="E220" s="9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12"/>
      <c r="B221" s="12"/>
      <c r="C221" s="12"/>
      <c r="D221" s="12"/>
      <c r="E221" s="9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12"/>
      <c r="B222" s="12"/>
      <c r="C222" s="12"/>
      <c r="D222" s="12"/>
      <c r="E222" s="9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12"/>
      <c r="B223" s="12"/>
      <c r="C223" s="12"/>
      <c r="D223" s="12"/>
      <c r="E223" s="9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12"/>
      <c r="B224" s="12"/>
      <c r="C224" s="12"/>
      <c r="D224" s="12"/>
      <c r="E224" s="9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12"/>
      <c r="B225" s="12"/>
      <c r="C225" s="12"/>
      <c r="D225" s="12"/>
      <c r="E225" s="9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5">
      <c r="A226" s="12"/>
      <c r="B226" s="12"/>
      <c r="C226" s="12"/>
      <c r="D226" s="12"/>
      <c r="E226" s="9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5">
      <c r="A227" s="12"/>
      <c r="B227" s="12"/>
      <c r="C227" s="12"/>
      <c r="D227" s="12"/>
      <c r="E227" s="9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5">
      <c r="A228" s="12"/>
      <c r="B228" s="12"/>
      <c r="C228" s="12"/>
      <c r="D228" s="12"/>
      <c r="E228" s="9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5">
      <c r="A229" s="12"/>
      <c r="B229" s="12"/>
      <c r="C229" s="12"/>
      <c r="D229" s="12"/>
      <c r="E229" s="9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5">
      <c r="A230" s="12"/>
      <c r="B230" s="12"/>
      <c r="C230" s="12"/>
      <c r="D230" s="12"/>
      <c r="E230" s="9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5">
      <c r="A231" s="12"/>
      <c r="B231" s="12"/>
      <c r="C231" s="12"/>
      <c r="D231" s="12"/>
      <c r="E231" s="9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5">
      <c r="A232" s="12"/>
      <c r="B232" s="12"/>
      <c r="C232" s="12"/>
      <c r="D232" s="12"/>
      <c r="E232" s="9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5">
      <c r="A233" s="12"/>
      <c r="B233" s="12"/>
      <c r="C233" s="12"/>
      <c r="D233" s="12"/>
      <c r="E233" s="9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5">
      <c r="A234" s="12"/>
      <c r="B234" s="12"/>
      <c r="C234" s="12"/>
      <c r="D234" s="12"/>
      <c r="E234" s="9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5">
      <c r="A235" s="12"/>
      <c r="B235" s="12"/>
      <c r="C235" s="12"/>
      <c r="D235" s="12"/>
      <c r="E235" s="9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5">
      <c r="A236" s="12"/>
      <c r="B236" s="12"/>
      <c r="C236" s="12"/>
      <c r="D236" s="12"/>
      <c r="E236" s="9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5">
      <c r="A237" s="12"/>
      <c r="B237" s="12"/>
      <c r="C237" s="12"/>
      <c r="D237" s="12"/>
      <c r="E237" s="9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5">
      <c r="A238" s="12"/>
      <c r="B238" s="12"/>
      <c r="C238" s="12"/>
      <c r="D238" s="12"/>
      <c r="E238" s="9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5">
      <c r="A239" s="12"/>
      <c r="B239" s="12"/>
      <c r="C239" s="12"/>
      <c r="D239" s="12"/>
      <c r="E239" s="9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5">
      <c r="A240" s="12"/>
      <c r="B240" s="12"/>
      <c r="C240" s="12"/>
      <c r="D240" s="12"/>
      <c r="E240" s="9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5">
      <c r="A241" s="12"/>
      <c r="B241" s="12"/>
      <c r="C241" s="12"/>
      <c r="D241" s="12"/>
      <c r="E241" s="9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5">
      <c r="A242" s="12"/>
      <c r="B242" s="12"/>
      <c r="C242" s="12"/>
      <c r="D242" s="12"/>
      <c r="E242" s="9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5">
      <c r="A243" s="12"/>
      <c r="B243" s="12"/>
      <c r="C243" s="12"/>
      <c r="D243" s="12"/>
      <c r="E243" s="9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5">
      <c r="A244" s="12"/>
      <c r="B244" s="12"/>
      <c r="C244" s="12"/>
      <c r="D244" s="12"/>
      <c r="E244" s="9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5">
      <c r="A245" s="12"/>
      <c r="B245" s="12"/>
      <c r="C245" s="12"/>
      <c r="D245" s="12"/>
      <c r="E245" s="9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5">
      <c r="A246" s="12"/>
      <c r="B246" s="12"/>
      <c r="C246" s="12"/>
      <c r="D246" s="12"/>
      <c r="E246" s="9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5">
      <c r="A247" s="12"/>
      <c r="B247" s="12"/>
      <c r="C247" s="12"/>
      <c r="D247" s="12"/>
      <c r="E247" s="9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5">
      <c r="A248" s="12"/>
      <c r="B248" s="12"/>
      <c r="C248" s="12"/>
      <c r="D248" s="12"/>
      <c r="E248" s="9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5">
      <c r="A249" s="12"/>
      <c r="B249" s="12"/>
      <c r="C249" s="12"/>
      <c r="D249" s="12"/>
      <c r="E249" s="9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5">
      <c r="A250" s="12"/>
      <c r="B250" s="12"/>
      <c r="C250" s="12"/>
      <c r="D250" s="12"/>
      <c r="E250" s="9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5">
      <c r="A251" s="12"/>
      <c r="B251" s="12"/>
      <c r="C251" s="12"/>
      <c r="D251" s="12"/>
      <c r="E251" s="9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6:J6"/>
    <mergeCell ref="A7:J7"/>
    <mergeCell ref="A48:J48"/>
    <mergeCell ref="A50:J50"/>
    <mergeCell ref="A51:J51"/>
  </mergeCells>
  <pageMargins left="0.75" right="0.75" top="1" bottom="1" header="0" footer="0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34" sqref="D34"/>
    </sheetView>
  </sheetViews>
  <sheetFormatPr defaultColWidth="12.6640625" defaultRowHeight="15" customHeight="1" x14ac:dyDescent="0.25"/>
  <cols>
    <col min="1" max="7" width="8.6640625" customWidth="1"/>
    <col min="8" max="8" width="10.44140625" customWidth="1"/>
    <col min="9" max="9" width="12.109375" customWidth="1"/>
    <col min="10" max="26" width="8.6640625" customWidth="1"/>
  </cols>
  <sheetData>
    <row r="1" spans="1:26" ht="12.75" customHeight="1" x14ac:dyDescent="0.3">
      <c r="A1" s="38" t="s">
        <v>129</v>
      </c>
      <c r="B1" s="12"/>
      <c r="C1" s="12"/>
      <c r="D1" s="12"/>
      <c r="E1" s="12"/>
      <c r="F1" s="12"/>
      <c r="G1" s="12"/>
      <c r="H1" s="12"/>
      <c r="I1" s="12"/>
    </row>
    <row r="2" spans="1:26" ht="12.75" customHeight="1" x14ac:dyDescent="0.25">
      <c r="A2" s="91" t="s">
        <v>149</v>
      </c>
      <c r="B2" s="86"/>
      <c r="C2" s="86"/>
      <c r="D2" s="86"/>
      <c r="E2" s="86"/>
      <c r="F2" s="12"/>
      <c r="G2" s="40" t="s">
        <v>150</v>
      </c>
      <c r="I2" s="12"/>
    </row>
    <row r="3" spans="1:26" ht="12.75" customHeight="1" x14ac:dyDescent="0.25">
      <c r="A3" s="12" t="s">
        <v>151</v>
      </c>
      <c r="B3" s="12"/>
      <c r="C3" s="92"/>
      <c r="D3" s="86"/>
      <c r="E3" s="86"/>
      <c r="F3" s="12"/>
      <c r="G3" s="12" t="s">
        <v>152</v>
      </c>
      <c r="I3" s="12"/>
    </row>
    <row r="4" spans="1:26" ht="12.75" customHeight="1" x14ac:dyDescent="0.25">
      <c r="A4" s="39" t="s">
        <v>153</v>
      </c>
      <c r="B4" s="12"/>
      <c r="C4" s="12"/>
      <c r="D4" s="12"/>
      <c r="E4" s="12"/>
      <c r="F4" s="12"/>
      <c r="G4" s="12" t="s">
        <v>154</v>
      </c>
      <c r="I4" s="12"/>
    </row>
    <row r="5" spans="1:26" ht="12.75" customHeight="1" x14ac:dyDescent="0.25">
      <c r="A5" s="12" t="s">
        <v>155</v>
      </c>
      <c r="B5" s="12"/>
      <c r="C5" s="12"/>
      <c r="D5" s="12"/>
      <c r="E5" s="12"/>
      <c r="F5" s="12"/>
      <c r="G5" s="12" t="s">
        <v>156</v>
      </c>
      <c r="I5" s="12"/>
    </row>
    <row r="6" spans="1:26" ht="12.75" customHeight="1" x14ac:dyDescent="0.25">
      <c r="A6" s="9"/>
      <c r="B6" s="9"/>
      <c r="C6" s="9"/>
      <c r="D6" s="9"/>
      <c r="E6" s="12"/>
      <c r="F6" s="12"/>
      <c r="G6" s="12" t="s">
        <v>157</v>
      </c>
      <c r="I6" s="12"/>
    </row>
    <row r="7" spans="1:26" ht="12.75" customHeight="1" x14ac:dyDescent="0.25">
      <c r="A7" s="9"/>
      <c r="B7" s="12"/>
      <c r="C7" s="12"/>
      <c r="D7" s="12"/>
      <c r="E7" s="12"/>
      <c r="F7" s="12"/>
      <c r="G7" s="12"/>
      <c r="H7" s="12"/>
      <c r="I7" s="12"/>
    </row>
    <row r="8" spans="1:26" ht="44.25" customHeight="1" x14ac:dyDescent="0.25">
      <c r="A8" s="93" t="s">
        <v>158</v>
      </c>
      <c r="B8" s="75"/>
      <c r="C8" s="75"/>
      <c r="D8" s="75"/>
      <c r="E8" s="75"/>
      <c r="F8" s="75"/>
      <c r="G8" s="75"/>
      <c r="H8" s="75"/>
      <c r="I8" s="76"/>
    </row>
    <row r="9" spans="1:26" ht="12.75" customHeight="1" x14ac:dyDescent="0.25">
      <c r="A9" s="94" t="s">
        <v>0</v>
      </c>
      <c r="B9" s="82" t="s">
        <v>159</v>
      </c>
      <c r="C9" s="75"/>
      <c r="D9" s="75"/>
      <c r="E9" s="75"/>
      <c r="F9" s="76"/>
      <c r="G9" s="82" t="s">
        <v>160</v>
      </c>
      <c r="H9" s="75"/>
      <c r="I9" s="76"/>
    </row>
    <row r="10" spans="1:26" ht="12.75" customHeight="1" x14ac:dyDescent="0.25">
      <c r="A10" s="74"/>
      <c r="B10" s="41" t="s">
        <v>161</v>
      </c>
      <c r="C10" s="42" t="s">
        <v>162</v>
      </c>
      <c r="D10" s="42" t="s">
        <v>163</v>
      </c>
      <c r="E10" s="42" t="s">
        <v>164</v>
      </c>
      <c r="F10" s="42" t="s">
        <v>165</v>
      </c>
      <c r="G10" s="42" t="s">
        <v>166</v>
      </c>
      <c r="H10" s="42" t="s">
        <v>167</v>
      </c>
      <c r="I10" s="42" t="s">
        <v>168</v>
      </c>
    </row>
    <row r="11" spans="1:26" ht="12.75" customHeight="1" x14ac:dyDescent="0.25">
      <c r="A11" s="10"/>
      <c r="B11" s="41" t="s">
        <v>169</v>
      </c>
      <c r="C11" s="42" t="s">
        <v>169</v>
      </c>
      <c r="D11" s="42" t="s">
        <v>170</v>
      </c>
      <c r="E11" s="42" t="s">
        <v>162</v>
      </c>
      <c r="F11" s="42" t="s">
        <v>171</v>
      </c>
      <c r="G11" s="42" t="s">
        <v>172</v>
      </c>
      <c r="H11" s="42" t="s">
        <v>165</v>
      </c>
      <c r="I11" s="42" t="s">
        <v>173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2.75" customHeight="1" x14ac:dyDescent="0.25">
      <c r="A12" s="95" t="s">
        <v>174</v>
      </c>
      <c r="B12" s="44">
        <v>0</v>
      </c>
      <c r="C12" s="44">
        <v>0</v>
      </c>
      <c r="D12" s="44">
        <v>0</v>
      </c>
      <c r="E12" s="44">
        <v>0</v>
      </c>
      <c r="F12" s="45">
        <v>0</v>
      </c>
      <c r="G12" s="45">
        <v>3.33</v>
      </c>
      <c r="H12" s="45">
        <v>3.33</v>
      </c>
      <c r="I12" s="46">
        <v>20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2.75" customHeight="1" x14ac:dyDescent="0.25">
      <c r="A13" s="74"/>
      <c r="B13" s="47" t="s">
        <v>169</v>
      </c>
      <c r="C13" s="47" t="s">
        <v>169</v>
      </c>
      <c r="D13" s="44">
        <v>0</v>
      </c>
      <c r="E13" s="44">
        <v>0</v>
      </c>
      <c r="F13" s="44">
        <v>0</v>
      </c>
      <c r="G13" s="45">
        <v>100</v>
      </c>
      <c r="H13" s="44">
        <v>100</v>
      </c>
      <c r="I13" s="44">
        <v>100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2.75" customHeight="1" x14ac:dyDescent="0.25">
      <c r="A14" s="95" t="s">
        <v>175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5">
        <v>0</v>
      </c>
      <c r="I14" s="46">
        <v>13.33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2.75" customHeight="1" x14ac:dyDescent="0.25">
      <c r="A15" s="74"/>
      <c r="B15" s="47" t="s">
        <v>169</v>
      </c>
      <c r="C15" s="47" t="s">
        <v>169</v>
      </c>
      <c r="D15" s="44">
        <v>3.33</v>
      </c>
      <c r="E15" s="44">
        <v>3.33</v>
      </c>
      <c r="F15" s="45">
        <v>3.33</v>
      </c>
      <c r="G15" s="45">
        <v>100</v>
      </c>
      <c r="H15" s="44">
        <v>100</v>
      </c>
      <c r="I15" s="44">
        <v>100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2.75" customHeight="1" x14ac:dyDescent="0.25">
      <c r="A16" s="95" t="s">
        <v>176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3.33</v>
      </c>
      <c r="I16" s="45">
        <v>23.33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2.75" customHeight="1" x14ac:dyDescent="0.25">
      <c r="A17" s="74"/>
      <c r="B17" s="47" t="s">
        <v>169</v>
      </c>
      <c r="C17" s="47" t="s">
        <v>169</v>
      </c>
      <c r="D17" s="45">
        <v>3.33</v>
      </c>
      <c r="E17" s="45">
        <v>3.33</v>
      </c>
      <c r="F17" s="45">
        <v>3.33</v>
      </c>
      <c r="G17" s="45">
        <v>93.33</v>
      </c>
      <c r="H17" s="44">
        <v>100</v>
      </c>
      <c r="I17" s="44">
        <v>100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2.75" customHeight="1" x14ac:dyDescent="0.25">
      <c r="A18" s="95" t="s">
        <v>177</v>
      </c>
      <c r="B18" s="44">
        <v>0</v>
      </c>
      <c r="C18" s="44">
        <v>0</v>
      </c>
      <c r="D18" s="44">
        <v>0</v>
      </c>
      <c r="E18" s="44">
        <v>0</v>
      </c>
      <c r="F18" s="45">
        <v>0</v>
      </c>
      <c r="G18" s="45">
        <v>0</v>
      </c>
      <c r="H18" s="45">
        <v>3.33</v>
      </c>
      <c r="I18" s="45">
        <v>26.67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2.75" customHeight="1" x14ac:dyDescent="0.25">
      <c r="A19" s="74"/>
      <c r="B19" s="47" t="s">
        <v>169</v>
      </c>
      <c r="C19" s="47" t="s">
        <v>169</v>
      </c>
      <c r="D19" s="44">
        <v>0</v>
      </c>
      <c r="E19" s="44">
        <v>0</v>
      </c>
      <c r="F19" s="44">
        <v>0</v>
      </c>
      <c r="G19" s="45">
        <v>90</v>
      </c>
      <c r="H19" s="44">
        <v>93.33</v>
      </c>
      <c r="I19" s="44">
        <v>93.33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2.75" customHeight="1" x14ac:dyDescent="0.25">
      <c r="A20" s="95" t="s">
        <v>178</v>
      </c>
      <c r="B20" s="44">
        <v>0</v>
      </c>
      <c r="C20" s="44">
        <v>3.33</v>
      </c>
      <c r="D20" s="44">
        <v>3.33</v>
      </c>
      <c r="E20" s="44">
        <v>3.33</v>
      </c>
      <c r="F20" s="45">
        <v>3.33</v>
      </c>
      <c r="G20" s="45">
        <v>3.33</v>
      </c>
      <c r="H20" s="45">
        <v>6.67</v>
      </c>
      <c r="I20" s="45">
        <v>13.33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2.75" customHeight="1" x14ac:dyDescent="0.25">
      <c r="A21" s="74"/>
      <c r="B21" s="47" t="s">
        <v>169</v>
      </c>
      <c r="C21" s="47" t="s">
        <v>169</v>
      </c>
      <c r="D21" s="44">
        <v>0</v>
      </c>
      <c r="E21" s="44">
        <v>0</v>
      </c>
      <c r="F21" s="44">
        <v>0</v>
      </c>
      <c r="G21" s="45">
        <v>96.67</v>
      </c>
      <c r="H21" s="45">
        <v>100</v>
      </c>
      <c r="I21" s="45">
        <v>100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2.75" customHeight="1" x14ac:dyDescent="0.25">
      <c r="A22" s="95" t="s">
        <v>179</v>
      </c>
      <c r="B22" s="44">
        <v>0</v>
      </c>
      <c r="C22" s="44">
        <v>0</v>
      </c>
      <c r="D22" s="44">
        <v>0</v>
      </c>
      <c r="E22" s="44">
        <v>0</v>
      </c>
      <c r="F22" s="45">
        <v>0</v>
      </c>
      <c r="G22" s="45">
        <v>0</v>
      </c>
      <c r="H22" s="45">
        <v>3.33</v>
      </c>
      <c r="I22" s="45">
        <v>13.33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2.75" customHeight="1" x14ac:dyDescent="0.25">
      <c r="A23" s="74"/>
      <c r="B23" s="47" t="s">
        <v>169</v>
      </c>
      <c r="C23" s="47" t="s">
        <v>169</v>
      </c>
      <c r="D23" s="45">
        <v>3.33</v>
      </c>
      <c r="E23" s="45">
        <v>3.33</v>
      </c>
      <c r="F23" s="45">
        <v>3.33</v>
      </c>
      <c r="G23" s="45">
        <v>96.67</v>
      </c>
      <c r="H23" s="45">
        <v>100</v>
      </c>
      <c r="I23" s="45">
        <v>100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2.75" customHeight="1" x14ac:dyDescent="0.25">
      <c r="A24" s="95" t="s">
        <v>180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5">
        <v>3.33</v>
      </c>
      <c r="I24" s="45">
        <v>10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2.75" customHeight="1" x14ac:dyDescent="0.25">
      <c r="A25" s="74"/>
      <c r="B25" s="47" t="s">
        <v>169</v>
      </c>
      <c r="C25" s="47" t="s">
        <v>169</v>
      </c>
      <c r="D25" s="45">
        <v>0</v>
      </c>
      <c r="E25" s="45">
        <v>0</v>
      </c>
      <c r="F25" s="45">
        <v>0</v>
      </c>
      <c r="G25" s="45">
        <v>96.67</v>
      </c>
      <c r="H25" s="44">
        <v>100</v>
      </c>
      <c r="I25" s="44">
        <v>100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2.75" customHeight="1" x14ac:dyDescent="0.25">
      <c r="A26" s="95" t="s">
        <v>181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5">
        <v>0</v>
      </c>
      <c r="H26" s="45">
        <v>3.33</v>
      </c>
      <c r="I26" s="45">
        <v>10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2.75" customHeight="1" x14ac:dyDescent="0.25">
      <c r="A27" s="74"/>
      <c r="B27" s="47" t="s">
        <v>169</v>
      </c>
      <c r="C27" s="47" t="s">
        <v>169</v>
      </c>
      <c r="D27" s="44">
        <v>0</v>
      </c>
      <c r="E27" s="44">
        <v>0</v>
      </c>
      <c r="F27" s="44">
        <v>0</v>
      </c>
      <c r="G27" s="45">
        <v>96.67</v>
      </c>
      <c r="H27" s="44">
        <v>100</v>
      </c>
      <c r="I27" s="44">
        <v>100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2.75" customHeight="1" x14ac:dyDescent="0.25">
      <c r="A28" s="95" t="s">
        <v>182</v>
      </c>
      <c r="B28" s="44">
        <v>0</v>
      </c>
      <c r="C28" s="44">
        <v>0</v>
      </c>
      <c r="D28" s="44">
        <v>0</v>
      </c>
      <c r="E28" s="44">
        <v>0</v>
      </c>
      <c r="F28" s="45">
        <v>0</v>
      </c>
      <c r="G28" s="45">
        <v>0</v>
      </c>
      <c r="H28" s="45">
        <v>3.33</v>
      </c>
      <c r="I28" s="45">
        <v>13.33</v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2.75" customHeight="1" x14ac:dyDescent="0.25">
      <c r="A29" s="74"/>
      <c r="B29" s="47" t="s">
        <v>169</v>
      </c>
      <c r="C29" s="47" t="s">
        <v>169</v>
      </c>
      <c r="D29" s="44">
        <v>3.33</v>
      </c>
      <c r="E29" s="44">
        <v>3.33</v>
      </c>
      <c r="F29" s="44">
        <v>3.33</v>
      </c>
      <c r="G29" s="45">
        <v>100</v>
      </c>
      <c r="H29" s="44">
        <v>100</v>
      </c>
      <c r="I29" s="44">
        <v>100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2.75" customHeight="1" x14ac:dyDescent="0.25">
      <c r="A30" s="95" t="s">
        <v>183</v>
      </c>
      <c r="B30" s="44">
        <v>0</v>
      </c>
      <c r="C30" s="44">
        <v>0</v>
      </c>
      <c r="D30" s="44">
        <v>0</v>
      </c>
      <c r="E30" s="44">
        <v>0</v>
      </c>
      <c r="F30" s="45">
        <v>0</v>
      </c>
      <c r="G30" s="45">
        <v>0</v>
      </c>
      <c r="H30" s="45">
        <v>0</v>
      </c>
      <c r="I30" s="45">
        <v>6.67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2.75" customHeight="1" x14ac:dyDescent="0.25">
      <c r="A31" s="74"/>
      <c r="B31" s="47" t="s">
        <v>169</v>
      </c>
      <c r="C31" s="47" t="s">
        <v>169</v>
      </c>
      <c r="D31" s="44">
        <v>0</v>
      </c>
      <c r="E31" s="44">
        <v>0</v>
      </c>
      <c r="F31" s="44">
        <v>0</v>
      </c>
      <c r="G31" s="45">
        <v>100</v>
      </c>
      <c r="H31" s="44">
        <v>100</v>
      </c>
      <c r="I31" s="44">
        <v>100</v>
      </c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2.75" customHeight="1" x14ac:dyDescent="0.25">
      <c r="A32" s="95" t="s">
        <v>184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5">
        <v>3.33</v>
      </c>
      <c r="I32" s="45">
        <v>16.670000000000002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2.75" customHeight="1" x14ac:dyDescent="0.25">
      <c r="A33" s="74"/>
      <c r="B33" s="47" t="s">
        <v>169</v>
      </c>
      <c r="C33" s="47" t="s">
        <v>169</v>
      </c>
      <c r="D33" s="45">
        <v>0</v>
      </c>
      <c r="E33" s="45">
        <v>0</v>
      </c>
      <c r="F33" s="45">
        <v>0</v>
      </c>
      <c r="G33" s="45">
        <v>96.67</v>
      </c>
      <c r="H33" s="44">
        <v>96.67</v>
      </c>
      <c r="I33" s="44">
        <v>96.67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2.75" customHeight="1" x14ac:dyDescent="0.25">
      <c r="A34" s="95" t="s">
        <v>185</v>
      </c>
      <c r="B34" s="44">
        <v>0</v>
      </c>
      <c r="C34" s="44">
        <v>0</v>
      </c>
      <c r="D34" s="44">
        <v>0</v>
      </c>
      <c r="E34" s="45">
        <v>0</v>
      </c>
      <c r="F34" s="45">
        <v>6.67</v>
      </c>
      <c r="G34" s="45">
        <v>10</v>
      </c>
      <c r="H34" s="45">
        <v>16.670000000000002</v>
      </c>
      <c r="I34" s="45">
        <v>23.33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2.75" customHeight="1" x14ac:dyDescent="0.25">
      <c r="A35" s="74"/>
      <c r="B35" s="47" t="s">
        <v>169</v>
      </c>
      <c r="C35" s="47" t="s">
        <v>169</v>
      </c>
      <c r="D35" s="45">
        <v>0</v>
      </c>
      <c r="E35" s="45">
        <v>0</v>
      </c>
      <c r="F35" s="45">
        <v>0</v>
      </c>
      <c r="G35" s="45">
        <v>96.67</v>
      </c>
      <c r="H35" s="44">
        <v>100</v>
      </c>
      <c r="I35" s="44">
        <v>100</v>
      </c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2.75" customHeight="1" x14ac:dyDescent="0.25">
      <c r="A36" s="95" t="s">
        <v>186</v>
      </c>
      <c r="B36" s="44">
        <v>0</v>
      </c>
      <c r="C36" s="44">
        <v>0</v>
      </c>
      <c r="D36" s="44">
        <v>0</v>
      </c>
      <c r="E36" s="44">
        <v>0</v>
      </c>
      <c r="F36" s="45">
        <v>3.33</v>
      </c>
      <c r="G36" s="45">
        <v>6.67</v>
      </c>
      <c r="H36" s="45">
        <v>16.670000000000002</v>
      </c>
      <c r="I36" s="45">
        <v>26.67</v>
      </c>
    </row>
    <row r="37" spans="1:26" ht="12.75" customHeight="1" x14ac:dyDescent="0.25">
      <c r="A37" s="74"/>
      <c r="B37" s="47" t="s">
        <v>169</v>
      </c>
      <c r="C37" s="47" t="s">
        <v>169</v>
      </c>
      <c r="D37" s="44">
        <v>0</v>
      </c>
      <c r="E37" s="44">
        <v>0</v>
      </c>
      <c r="F37" s="44">
        <v>0</v>
      </c>
      <c r="G37" s="45">
        <v>96.67</v>
      </c>
      <c r="H37" s="45">
        <v>96.67</v>
      </c>
      <c r="I37" s="45">
        <v>96.67</v>
      </c>
    </row>
    <row r="38" spans="1:26" ht="12.75" customHeight="1" x14ac:dyDescent="0.25">
      <c r="A38" s="95" t="s">
        <v>187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3.33</v>
      </c>
      <c r="H38" s="44">
        <v>13.33</v>
      </c>
      <c r="I38" s="45">
        <v>20</v>
      </c>
    </row>
    <row r="39" spans="1:26" ht="12.75" customHeight="1" x14ac:dyDescent="0.25">
      <c r="A39" s="74"/>
      <c r="B39" s="47" t="s">
        <v>169</v>
      </c>
      <c r="C39" s="47" t="s">
        <v>169</v>
      </c>
      <c r="D39" s="44">
        <v>0</v>
      </c>
      <c r="E39" s="44">
        <v>0</v>
      </c>
      <c r="F39" s="44">
        <v>0</v>
      </c>
      <c r="G39" s="45">
        <v>93.33</v>
      </c>
      <c r="H39" s="44">
        <v>93.33</v>
      </c>
      <c r="I39" s="44">
        <v>93.33</v>
      </c>
    </row>
    <row r="40" spans="1:26" ht="12.75" customHeight="1" x14ac:dyDescent="0.25">
      <c r="A40" s="95" t="s">
        <v>188</v>
      </c>
      <c r="B40" s="44">
        <v>0</v>
      </c>
      <c r="C40" s="44">
        <v>0</v>
      </c>
      <c r="D40" s="44">
        <v>0</v>
      </c>
      <c r="E40" s="44">
        <v>0</v>
      </c>
      <c r="F40" s="44">
        <v>3.33</v>
      </c>
      <c r="G40" s="44">
        <v>3.33</v>
      </c>
      <c r="H40" s="45">
        <v>10</v>
      </c>
      <c r="I40" s="45">
        <v>23.33</v>
      </c>
    </row>
    <row r="41" spans="1:26" ht="12.75" customHeight="1" x14ac:dyDescent="0.25">
      <c r="A41" s="74"/>
      <c r="B41" s="47" t="s">
        <v>169</v>
      </c>
      <c r="C41" s="47" t="s">
        <v>169</v>
      </c>
      <c r="D41" s="45">
        <v>3.33</v>
      </c>
      <c r="E41" s="45">
        <v>3.33</v>
      </c>
      <c r="F41" s="45">
        <v>3.33</v>
      </c>
      <c r="G41" s="45">
        <v>93.33</v>
      </c>
      <c r="H41" s="45">
        <v>96.67</v>
      </c>
      <c r="I41" s="45">
        <v>96.67</v>
      </c>
    </row>
    <row r="42" spans="1:26" ht="12.75" customHeight="1" x14ac:dyDescent="0.25">
      <c r="A42" s="95" t="s">
        <v>189</v>
      </c>
      <c r="B42" s="44">
        <v>0</v>
      </c>
      <c r="C42" s="44">
        <v>0</v>
      </c>
      <c r="D42" s="44">
        <v>0</v>
      </c>
      <c r="E42" s="44">
        <v>3.33</v>
      </c>
      <c r="F42" s="45">
        <v>3.33</v>
      </c>
      <c r="G42" s="45">
        <v>3.33</v>
      </c>
      <c r="H42" s="45">
        <v>6.67</v>
      </c>
      <c r="I42" s="45">
        <v>26.67</v>
      </c>
    </row>
    <row r="43" spans="1:26" ht="12.75" customHeight="1" x14ac:dyDescent="0.25">
      <c r="A43" s="74"/>
      <c r="B43" s="47" t="s">
        <v>169</v>
      </c>
      <c r="C43" s="47" t="s">
        <v>169</v>
      </c>
      <c r="D43" s="45">
        <v>0</v>
      </c>
      <c r="E43" s="45">
        <v>0</v>
      </c>
      <c r="F43" s="45">
        <v>0</v>
      </c>
      <c r="G43" s="45">
        <v>93.33</v>
      </c>
      <c r="H43" s="44">
        <v>96.67</v>
      </c>
      <c r="I43" s="44">
        <v>96.67</v>
      </c>
    </row>
    <row r="44" spans="1:26" ht="12.75" customHeight="1" x14ac:dyDescent="0.25">
      <c r="A44" s="95" t="s">
        <v>190</v>
      </c>
      <c r="B44" s="44">
        <v>0</v>
      </c>
      <c r="C44" s="44">
        <v>0</v>
      </c>
      <c r="D44" s="44">
        <v>0</v>
      </c>
      <c r="E44" s="44">
        <v>3.33</v>
      </c>
      <c r="F44" s="44">
        <v>3.33</v>
      </c>
      <c r="G44" s="44">
        <v>3.33</v>
      </c>
      <c r="H44" s="46">
        <v>13.33</v>
      </c>
      <c r="I44" s="45">
        <v>30</v>
      </c>
    </row>
    <row r="45" spans="1:26" ht="12.75" customHeight="1" x14ac:dyDescent="0.25">
      <c r="A45" s="74"/>
      <c r="B45" s="47" t="s">
        <v>169</v>
      </c>
      <c r="C45" s="47" t="s">
        <v>169</v>
      </c>
      <c r="D45" s="46">
        <v>0</v>
      </c>
      <c r="E45" s="46">
        <v>0</v>
      </c>
      <c r="F45" s="46">
        <v>0</v>
      </c>
      <c r="G45" s="45">
        <v>96.67</v>
      </c>
      <c r="H45" s="44">
        <v>96.67</v>
      </c>
      <c r="I45" s="44">
        <v>96.67</v>
      </c>
    </row>
    <row r="46" spans="1:26" ht="12.75" customHeight="1" x14ac:dyDescent="0.25">
      <c r="A46" s="95" t="s">
        <v>191</v>
      </c>
      <c r="B46" s="44">
        <v>0</v>
      </c>
      <c r="C46" s="44">
        <v>0</v>
      </c>
      <c r="D46" s="44">
        <v>0</v>
      </c>
      <c r="E46" s="44">
        <v>3.33</v>
      </c>
      <c r="F46" s="45">
        <v>3.33</v>
      </c>
      <c r="G46" s="45">
        <v>3.33</v>
      </c>
      <c r="H46" s="46">
        <v>13.33</v>
      </c>
      <c r="I46" s="45">
        <v>33.33</v>
      </c>
    </row>
    <row r="47" spans="1:26" ht="12.75" customHeight="1" x14ac:dyDescent="0.25">
      <c r="A47" s="74"/>
      <c r="B47" s="47" t="s">
        <v>169</v>
      </c>
      <c r="C47" s="47" t="s">
        <v>169</v>
      </c>
      <c r="D47" s="44">
        <v>0</v>
      </c>
      <c r="E47" s="44">
        <v>0</v>
      </c>
      <c r="F47" s="44">
        <v>0</v>
      </c>
      <c r="G47" s="45">
        <v>100</v>
      </c>
      <c r="H47" s="44">
        <v>100</v>
      </c>
      <c r="I47" s="44">
        <v>100</v>
      </c>
    </row>
    <row r="48" spans="1:26" ht="12.75" customHeight="1" x14ac:dyDescent="0.25">
      <c r="A48" s="95" t="s">
        <v>192</v>
      </c>
      <c r="B48" s="44">
        <v>0</v>
      </c>
      <c r="C48" s="44">
        <v>0</v>
      </c>
      <c r="D48" s="44">
        <v>0</v>
      </c>
      <c r="E48" s="44">
        <v>3.33</v>
      </c>
      <c r="F48" s="44">
        <v>6.67</v>
      </c>
      <c r="G48" s="45">
        <v>10</v>
      </c>
      <c r="H48" s="45">
        <v>16.670000000000002</v>
      </c>
      <c r="I48" s="45">
        <v>33.33</v>
      </c>
    </row>
    <row r="49" spans="1:26" ht="12.75" customHeight="1" x14ac:dyDescent="0.25">
      <c r="A49" s="74"/>
      <c r="B49" s="47" t="s">
        <v>169</v>
      </c>
      <c r="C49" s="47" t="s">
        <v>169</v>
      </c>
      <c r="D49" s="45">
        <v>0</v>
      </c>
      <c r="E49" s="45">
        <v>0</v>
      </c>
      <c r="F49" s="45">
        <v>0</v>
      </c>
      <c r="G49" s="45">
        <v>100</v>
      </c>
      <c r="H49" s="44">
        <v>100</v>
      </c>
      <c r="I49" s="44">
        <v>100</v>
      </c>
    </row>
    <row r="50" spans="1:26" ht="12.75" customHeight="1" x14ac:dyDescent="0.25">
      <c r="A50" s="95" t="s">
        <v>193</v>
      </c>
      <c r="B50" s="45">
        <v>0</v>
      </c>
      <c r="C50" s="45">
        <v>0</v>
      </c>
      <c r="D50" s="45">
        <v>0</v>
      </c>
      <c r="E50" s="45">
        <v>3.33</v>
      </c>
      <c r="F50" s="45">
        <v>10</v>
      </c>
      <c r="G50" s="45">
        <v>10</v>
      </c>
      <c r="H50" s="45">
        <v>13.33</v>
      </c>
      <c r="I50" s="45">
        <v>33.33</v>
      </c>
    </row>
    <row r="51" spans="1:26" ht="12.75" customHeight="1" x14ac:dyDescent="0.25">
      <c r="A51" s="74"/>
      <c r="B51" s="47" t="s">
        <v>169</v>
      </c>
      <c r="C51" s="47" t="s">
        <v>169</v>
      </c>
      <c r="D51" s="45">
        <v>0</v>
      </c>
      <c r="E51" s="45">
        <v>0</v>
      </c>
      <c r="F51" s="45">
        <v>0</v>
      </c>
      <c r="G51" s="45">
        <v>100</v>
      </c>
      <c r="H51" s="45">
        <v>100</v>
      </c>
      <c r="I51" s="45">
        <v>100</v>
      </c>
    </row>
    <row r="52" spans="1:26" ht="12.75" customHeight="1" x14ac:dyDescent="0.25">
      <c r="A52" s="95" t="s">
        <v>194</v>
      </c>
      <c r="B52" s="44">
        <v>0</v>
      </c>
      <c r="C52" s="44">
        <v>0</v>
      </c>
      <c r="D52" s="44">
        <v>0</v>
      </c>
      <c r="E52" s="44">
        <v>3.33</v>
      </c>
      <c r="F52" s="44">
        <v>6.67</v>
      </c>
      <c r="G52" s="45">
        <v>10</v>
      </c>
      <c r="H52" s="46">
        <v>16.670000000000002</v>
      </c>
      <c r="I52" s="45">
        <v>40</v>
      </c>
    </row>
    <row r="53" spans="1:26" ht="12.75" customHeight="1" x14ac:dyDescent="0.25">
      <c r="A53" s="74"/>
      <c r="B53" s="47" t="s">
        <v>169</v>
      </c>
      <c r="C53" s="47" t="s">
        <v>169</v>
      </c>
      <c r="D53" s="45">
        <v>0</v>
      </c>
      <c r="E53" s="45">
        <v>0</v>
      </c>
      <c r="F53" s="45">
        <v>0</v>
      </c>
      <c r="G53" s="45">
        <v>100</v>
      </c>
      <c r="H53" s="45">
        <v>100</v>
      </c>
      <c r="I53" s="45">
        <v>100</v>
      </c>
    </row>
    <row r="54" spans="1:26" ht="12.75" customHeight="1" x14ac:dyDescent="0.25">
      <c r="A54" s="95" t="s">
        <v>195</v>
      </c>
      <c r="B54" s="44">
        <v>0</v>
      </c>
      <c r="C54" s="45">
        <v>0</v>
      </c>
      <c r="D54" s="45">
        <v>0</v>
      </c>
      <c r="E54" s="45">
        <v>0</v>
      </c>
      <c r="F54" s="45">
        <v>10</v>
      </c>
      <c r="G54" s="45">
        <v>10</v>
      </c>
      <c r="H54" s="45">
        <v>16.670000000000002</v>
      </c>
      <c r="I54" s="45">
        <v>36.67</v>
      </c>
    </row>
    <row r="55" spans="1:26" ht="12.75" customHeight="1" x14ac:dyDescent="0.25">
      <c r="A55" s="74"/>
      <c r="B55" s="47" t="s">
        <v>169</v>
      </c>
      <c r="C55" s="47" t="s">
        <v>169</v>
      </c>
      <c r="D55" s="45">
        <v>0</v>
      </c>
      <c r="E55" s="45">
        <v>0</v>
      </c>
      <c r="F55" s="45">
        <v>0</v>
      </c>
      <c r="G55" s="45">
        <v>100</v>
      </c>
      <c r="H55" s="44">
        <v>100</v>
      </c>
      <c r="I55" s="44">
        <v>100</v>
      </c>
    </row>
    <row r="56" spans="1:26" ht="12.75" customHeight="1" x14ac:dyDescent="0.25">
      <c r="A56" s="95" t="s">
        <v>196</v>
      </c>
      <c r="B56" s="44">
        <v>0</v>
      </c>
      <c r="C56" s="44">
        <v>0</v>
      </c>
      <c r="D56" s="44">
        <v>0</v>
      </c>
      <c r="E56" s="44">
        <v>0</v>
      </c>
      <c r="F56" s="45">
        <v>6.67</v>
      </c>
      <c r="G56" s="45">
        <v>10</v>
      </c>
      <c r="H56" s="45">
        <v>20</v>
      </c>
      <c r="I56" s="45">
        <v>33.33</v>
      </c>
    </row>
    <row r="57" spans="1:26" ht="12.75" customHeight="1" x14ac:dyDescent="0.25">
      <c r="A57" s="74"/>
      <c r="B57" s="47" t="s">
        <v>169</v>
      </c>
      <c r="C57" s="47" t="s">
        <v>169</v>
      </c>
      <c r="D57" s="44">
        <v>0</v>
      </c>
      <c r="E57" s="44">
        <v>0</v>
      </c>
      <c r="F57" s="44">
        <v>0</v>
      </c>
      <c r="G57" s="45">
        <v>100</v>
      </c>
      <c r="H57" s="44">
        <v>100</v>
      </c>
      <c r="I57" s="44">
        <v>100</v>
      </c>
    </row>
    <row r="58" spans="1:26" ht="12.75" customHeight="1" x14ac:dyDescent="0.25">
      <c r="A58" s="95" t="s">
        <v>197</v>
      </c>
      <c r="B58" s="44">
        <v>0</v>
      </c>
      <c r="C58" s="44">
        <v>0</v>
      </c>
      <c r="D58" s="44">
        <v>0</v>
      </c>
      <c r="E58" s="44">
        <v>0</v>
      </c>
      <c r="F58" s="45">
        <v>0</v>
      </c>
      <c r="G58" s="45">
        <v>3.33</v>
      </c>
      <c r="H58" s="45">
        <v>6.67</v>
      </c>
      <c r="I58" s="45">
        <v>23.33</v>
      </c>
    </row>
    <row r="59" spans="1:26" ht="12.75" customHeight="1" x14ac:dyDescent="0.25">
      <c r="A59" s="74"/>
      <c r="B59" s="47" t="s">
        <v>169</v>
      </c>
      <c r="C59" s="47" t="s">
        <v>169</v>
      </c>
      <c r="D59" s="44">
        <v>6.67</v>
      </c>
      <c r="E59" s="44">
        <v>6.67</v>
      </c>
      <c r="F59" s="44">
        <v>6.67</v>
      </c>
      <c r="G59" s="45">
        <v>93.33</v>
      </c>
      <c r="H59" s="44">
        <v>96.67</v>
      </c>
      <c r="I59" s="44">
        <v>96.67</v>
      </c>
    </row>
    <row r="60" spans="1:26" ht="12.75" customHeight="1" x14ac:dyDescent="0.25">
      <c r="A60" s="96" t="s">
        <v>198</v>
      </c>
      <c r="B60" s="45">
        <v>0</v>
      </c>
      <c r="C60" s="45">
        <v>0.13</v>
      </c>
      <c r="D60" s="45">
        <v>0.13</v>
      </c>
      <c r="E60" s="45">
        <v>0.97</v>
      </c>
      <c r="F60" s="45">
        <v>2.77</v>
      </c>
      <c r="G60" s="45">
        <v>3.9</v>
      </c>
      <c r="H60" s="45">
        <v>8.9</v>
      </c>
      <c r="I60" s="45">
        <v>22.93</v>
      </c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2.75" customHeight="1" x14ac:dyDescent="0.25">
      <c r="A61" s="97"/>
      <c r="B61" s="47" t="s">
        <v>169</v>
      </c>
      <c r="C61" s="47" t="s">
        <v>169</v>
      </c>
      <c r="D61" s="45">
        <v>0.97</v>
      </c>
      <c r="E61" s="45">
        <v>0.97</v>
      </c>
      <c r="F61" s="45">
        <v>0.97</v>
      </c>
      <c r="G61" s="45">
        <v>97.07</v>
      </c>
      <c r="H61" s="45">
        <v>98.6</v>
      </c>
      <c r="I61" s="45">
        <v>98.6</v>
      </c>
    </row>
    <row r="62" spans="1:26" ht="12.75" customHeight="1" x14ac:dyDescent="0.25">
      <c r="A62" s="98" t="s">
        <v>199</v>
      </c>
      <c r="B62" s="99"/>
      <c r="C62" s="100"/>
      <c r="D62" s="100"/>
      <c r="E62" s="100"/>
      <c r="F62" s="100"/>
      <c r="G62" s="100"/>
      <c r="H62" s="100"/>
      <c r="I62" s="101"/>
    </row>
    <row r="63" spans="1:26" ht="12.75" customHeight="1" x14ac:dyDescent="0.25">
      <c r="A63" s="74"/>
      <c r="B63" s="102"/>
      <c r="C63" s="103"/>
      <c r="D63" s="103"/>
      <c r="E63" s="103"/>
      <c r="F63" s="103"/>
      <c r="G63" s="103"/>
      <c r="H63" s="103"/>
      <c r="I63" s="97"/>
    </row>
    <row r="64" spans="1:26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3">
    <mergeCell ref="A52:A53"/>
    <mergeCell ref="A54:A55"/>
    <mergeCell ref="A42:A43"/>
    <mergeCell ref="A44:A45"/>
    <mergeCell ref="A46:A47"/>
    <mergeCell ref="A48:A49"/>
    <mergeCell ref="A50:A51"/>
    <mergeCell ref="A56:A57"/>
    <mergeCell ref="A58:A59"/>
    <mergeCell ref="A60:A61"/>
    <mergeCell ref="A62:A63"/>
    <mergeCell ref="B62:I63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E2"/>
    <mergeCell ref="C3:E3"/>
    <mergeCell ref="A8:I8"/>
    <mergeCell ref="A9:A10"/>
    <mergeCell ref="B9:F9"/>
    <mergeCell ref="G9:I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defaultColWidth="12.6640625" defaultRowHeight="15" customHeight="1" x14ac:dyDescent="0.25"/>
  <cols>
    <col min="1" max="1" width="9.88671875" customWidth="1"/>
    <col min="2" max="8" width="6.6640625" customWidth="1"/>
    <col min="9" max="9" width="7.88671875" customWidth="1"/>
    <col min="10" max="10" width="6.88671875" customWidth="1"/>
    <col min="11" max="23" width="9.109375" customWidth="1"/>
    <col min="24" max="26" width="14.44140625" customWidth="1"/>
  </cols>
  <sheetData>
    <row r="1" spans="1:23" ht="15.6" x14ac:dyDescent="0.3">
      <c r="A1" s="38" t="s">
        <v>129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2.75" customHeight="1" x14ac:dyDescent="0.25">
      <c r="A2" s="91" t="s">
        <v>200</v>
      </c>
      <c r="B2" s="86"/>
      <c r="C2" s="86"/>
      <c r="D2" s="86"/>
      <c r="E2" s="86"/>
      <c r="F2" s="12"/>
      <c r="G2" s="40" t="s">
        <v>150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2.75" customHeight="1" x14ac:dyDescent="0.25">
      <c r="A3" s="12" t="s">
        <v>151</v>
      </c>
      <c r="B3" s="12"/>
      <c r="C3" s="92"/>
      <c r="D3" s="86"/>
      <c r="E3" s="86"/>
      <c r="F3" s="12"/>
      <c r="G3" s="12" t="s">
        <v>152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2.75" customHeight="1" x14ac:dyDescent="0.25">
      <c r="A4" s="39" t="s">
        <v>153</v>
      </c>
      <c r="B4" s="12"/>
      <c r="C4" s="12"/>
      <c r="D4" s="12"/>
      <c r="E4" s="12"/>
      <c r="F4" s="12"/>
      <c r="G4" s="12" t="s">
        <v>154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2.75" customHeight="1" x14ac:dyDescent="0.25">
      <c r="A5" s="12" t="s">
        <v>155</v>
      </c>
      <c r="B5" s="12"/>
      <c r="C5" s="12"/>
      <c r="D5" s="12"/>
      <c r="E5" s="12"/>
      <c r="F5" s="12"/>
      <c r="G5" s="12" t="s">
        <v>156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2.75" customHeight="1" x14ac:dyDescent="0.25">
      <c r="A6" s="9"/>
      <c r="B6" s="9"/>
      <c r="C6" s="9"/>
      <c r="D6" s="9"/>
      <c r="E6" s="12"/>
      <c r="F6" s="12"/>
      <c r="G6" s="12" t="s">
        <v>201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2.75" customHeight="1" x14ac:dyDescent="0.25">
      <c r="A7" s="9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34.5" customHeight="1" x14ac:dyDescent="0.25">
      <c r="A8" s="93" t="s">
        <v>202</v>
      </c>
      <c r="B8" s="75"/>
      <c r="C8" s="75"/>
      <c r="D8" s="75"/>
      <c r="E8" s="75"/>
      <c r="F8" s="75"/>
      <c r="G8" s="75"/>
      <c r="H8" s="75"/>
      <c r="I8" s="75"/>
      <c r="J8" s="7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2.75" customHeight="1" x14ac:dyDescent="0.25">
      <c r="A9" s="94" t="s">
        <v>0</v>
      </c>
      <c r="B9" s="82" t="s">
        <v>203</v>
      </c>
      <c r="C9" s="75"/>
      <c r="D9" s="75"/>
      <c r="E9" s="75"/>
      <c r="F9" s="75"/>
      <c r="G9" s="75"/>
      <c r="H9" s="75"/>
      <c r="I9" s="75"/>
      <c r="J9" s="76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2.75" customHeight="1" x14ac:dyDescent="0.25">
      <c r="A10" s="74"/>
      <c r="B10" s="41" t="s">
        <v>162</v>
      </c>
      <c r="C10" s="42" t="s">
        <v>163</v>
      </c>
      <c r="D10" s="42" t="s">
        <v>204</v>
      </c>
      <c r="E10" s="42" t="s">
        <v>164</v>
      </c>
      <c r="F10" s="42" t="s">
        <v>165</v>
      </c>
      <c r="G10" s="42" t="s">
        <v>205</v>
      </c>
      <c r="H10" s="42" t="s">
        <v>166</v>
      </c>
      <c r="I10" s="42" t="s">
        <v>167</v>
      </c>
      <c r="J10" s="41" t="s">
        <v>168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12.75" customHeight="1" x14ac:dyDescent="0.25">
      <c r="A11" s="3" t="s">
        <v>46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8" t="s">
        <v>169</v>
      </c>
      <c r="H11" s="44">
        <v>3.33</v>
      </c>
      <c r="I11" s="44">
        <v>3.33</v>
      </c>
      <c r="J11" s="44">
        <v>20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2.75" customHeight="1" x14ac:dyDescent="0.25">
      <c r="A12" s="3" t="s">
        <v>1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8" t="s">
        <v>169</v>
      </c>
      <c r="H12" s="44">
        <v>0</v>
      </c>
      <c r="I12" s="44">
        <v>0</v>
      </c>
      <c r="J12" s="44">
        <v>13.33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2.75" customHeight="1" x14ac:dyDescent="0.25">
      <c r="A13" s="3" t="s">
        <v>2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8" t="s">
        <v>169</v>
      </c>
      <c r="H13" s="44">
        <v>0</v>
      </c>
      <c r="I13" s="44">
        <v>3.33</v>
      </c>
      <c r="J13" s="44">
        <v>23.33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2.75" customHeight="1" x14ac:dyDescent="0.25">
      <c r="A14" s="3" t="s">
        <v>3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8" t="s">
        <v>169</v>
      </c>
      <c r="H14" s="44">
        <v>0</v>
      </c>
      <c r="I14" s="44">
        <v>3.33</v>
      </c>
      <c r="J14" s="44">
        <v>26.67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2.75" customHeight="1" x14ac:dyDescent="0.25">
      <c r="A15" s="3" t="s">
        <v>4</v>
      </c>
      <c r="B15" s="44">
        <v>3.33</v>
      </c>
      <c r="C15" s="44">
        <v>3.33</v>
      </c>
      <c r="D15" s="44">
        <v>3.33</v>
      </c>
      <c r="E15" s="44">
        <v>3.33</v>
      </c>
      <c r="F15" s="44">
        <v>3.33</v>
      </c>
      <c r="G15" s="48" t="s">
        <v>169</v>
      </c>
      <c r="H15" s="44">
        <v>3.33</v>
      </c>
      <c r="I15" s="44">
        <v>6.67</v>
      </c>
      <c r="J15" s="44">
        <v>13.33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2.75" customHeight="1" x14ac:dyDescent="0.25">
      <c r="A16" s="3" t="s">
        <v>5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8" t="s">
        <v>169</v>
      </c>
      <c r="H16" s="44">
        <v>0</v>
      </c>
      <c r="I16" s="44">
        <v>3.33</v>
      </c>
      <c r="J16" s="44">
        <v>13.33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2.75" customHeight="1" x14ac:dyDescent="0.25">
      <c r="A17" s="3" t="s">
        <v>6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8" t="s">
        <v>169</v>
      </c>
      <c r="H17" s="44">
        <v>0</v>
      </c>
      <c r="I17" s="44">
        <v>3.33</v>
      </c>
      <c r="J17" s="44">
        <v>10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2.75" customHeight="1" x14ac:dyDescent="0.25">
      <c r="A18" s="3" t="s">
        <v>7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8" t="s">
        <v>169</v>
      </c>
      <c r="H18" s="44">
        <v>0</v>
      </c>
      <c r="I18" s="44">
        <v>3.33</v>
      </c>
      <c r="J18" s="44">
        <v>10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2.75" customHeight="1" x14ac:dyDescent="0.25">
      <c r="A19" s="3" t="s">
        <v>8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8" t="s">
        <v>169</v>
      </c>
      <c r="H19" s="44">
        <v>0</v>
      </c>
      <c r="I19" s="44">
        <v>3.33</v>
      </c>
      <c r="J19" s="44">
        <v>13.33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2.75" customHeight="1" x14ac:dyDescent="0.25">
      <c r="A20" s="3" t="s">
        <v>9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8" t="s">
        <v>169</v>
      </c>
      <c r="H20" s="44">
        <v>0</v>
      </c>
      <c r="I20" s="44">
        <v>0</v>
      </c>
      <c r="J20" s="44">
        <v>6.67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2.75" customHeight="1" x14ac:dyDescent="0.25">
      <c r="A21" s="3" t="s">
        <v>10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8" t="s">
        <v>169</v>
      </c>
      <c r="H21" s="44">
        <v>0</v>
      </c>
      <c r="I21" s="44">
        <v>3.33</v>
      </c>
      <c r="J21" s="44">
        <v>16.670000000000002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2.75" customHeight="1" x14ac:dyDescent="0.25">
      <c r="A22" s="3" t="s">
        <v>11</v>
      </c>
      <c r="B22" s="44">
        <v>0</v>
      </c>
      <c r="C22" s="44">
        <v>0</v>
      </c>
      <c r="D22" s="44">
        <v>0</v>
      </c>
      <c r="E22" s="44">
        <v>0</v>
      </c>
      <c r="F22" s="44">
        <v>6.67</v>
      </c>
      <c r="G22" s="48" t="s">
        <v>169</v>
      </c>
      <c r="H22" s="44">
        <v>10</v>
      </c>
      <c r="I22" s="44">
        <v>16.670000000000002</v>
      </c>
      <c r="J22" s="44">
        <v>23.33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2.75" customHeight="1" x14ac:dyDescent="0.25">
      <c r="A23" s="3" t="s">
        <v>12</v>
      </c>
      <c r="B23" s="44">
        <v>0</v>
      </c>
      <c r="C23" s="44">
        <v>0</v>
      </c>
      <c r="D23" s="44">
        <v>0</v>
      </c>
      <c r="E23" s="44">
        <v>0</v>
      </c>
      <c r="F23" s="44">
        <v>3.33</v>
      </c>
      <c r="G23" s="48" t="s">
        <v>169</v>
      </c>
      <c r="H23" s="44">
        <v>6.67</v>
      </c>
      <c r="I23" s="44">
        <v>16.670000000000002</v>
      </c>
      <c r="J23" s="44">
        <v>26.67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2.75" customHeight="1" x14ac:dyDescent="0.25">
      <c r="A24" s="3" t="s">
        <v>13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8" t="s">
        <v>169</v>
      </c>
      <c r="H24" s="44">
        <v>3.33</v>
      </c>
      <c r="I24" s="44">
        <v>13.33</v>
      </c>
      <c r="J24" s="44">
        <v>20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2.75" customHeight="1" x14ac:dyDescent="0.25">
      <c r="A25" s="3" t="s">
        <v>14</v>
      </c>
      <c r="B25" s="44">
        <v>0</v>
      </c>
      <c r="C25" s="44">
        <v>0</v>
      </c>
      <c r="D25" s="44">
        <v>0</v>
      </c>
      <c r="E25" s="44">
        <v>0</v>
      </c>
      <c r="F25" s="44">
        <v>3.33</v>
      </c>
      <c r="G25" s="48" t="s">
        <v>169</v>
      </c>
      <c r="H25" s="44">
        <v>3.33</v>
      </c>
      <c r="I25" s="44">
        <v>10</v>
      </c>
      <c r="J25" s="44">
        <v>23.33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2.75" customHeight="1" x14ac:dyDescent="0.25">
      <c r="A26" s="3" t="s">
        <v>15</v>
      </c>
      <c r="B26" s="44">
        <v>0</v>
      </c>
      <c r="C26" s="44">
        <v>0</v>
      </c>
      <c r="D26" s="44">
        <v>0</v>
      </c>
      <c r="E26" s="44">
        <v>3.33</v>
      </c>
      <c r="F26" s="44">
        <v>3.33</v>
      </c>
      <c r="G26" s="48" t="s">
        <v>169</v>
      </c>
      <c r="H26" s="44">
        <v>3.33</v>
      </c>
      <c r="I26" s="44">
        <v>6.67</v>
      </c>
      <c r="J26" s="44">
        <v>26.67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2.75" customHeight="1" x14ac:dyDescent="0.25">
      <c r="A27" s="3" t="s">
        <v>16</v>
      </c>
      <c r="B27" s="44">
        <v>0</v>
      </c>
      <c r="C27" s="44">
        <v>0</v>
      </c>
      <c r="D27" s="44">
        <v>0</v>
      </c>
      <c r="E27" s="44">
        <v>3.33</v>
      </c>
      <c r="F27" s="44">
        <v>3.33</v>
      </c>
      <c r="G27" s="48" t="s">
        <v>169</v>
      </c>
      <c r="H27" s="44">
        <v>3.33</v>
      </c>
      <c r="I27" s="44">
        <v>13.33</v>
      </c>
      <c r="J27" s="44">
        <v>30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2.75" customHeight="1" x14ac:dyDescent="0.25">
      <c r="A28" s="3" t="s">
        <v>17</v>
      </c>
      <c r="B28" s="44">
        <v>0</v>
      </c>
      <c r="C28" s="44">
        <v>0</v>
      </c>
      <c r="D28" s="44">
        <v>0</v>
      </c>
      <c r="E28" s="44">
        <v>3.33</v>
      </c>
      <c r="F28" s="44">
        <v>3.33</v>
      </c>
      <c r="G28" s="48" t="s">
        <v>169</v>
      </c>
      <c r="H28" s="44">
        <v>3.33</v>
      </c>
      <c r="I28" s="44">
        <v>13.33</v>
      </c>
      <c r="J28" s="44">
        <v>33.33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2.75" customHeight="1" x14ac:dyDescent="0.25">
      <c r="A29" s="3" t="s">
        <v>18</v>
      </c>
      <c r="B29" s="44">
        <v>0</v>
      </c>
      <c r="C29" s="44">
        <v>0</v>
      </c>
      <c r="D29" s="44">
        <v>0</v>
      </c>
      <c r="E29" s="44">
        <v>3.33</v>
      </c>
      <c r="F29" s="44">
        <v>6.67</v>
      </c>
      <c r="G29" s="48" t="s">
        <v>169</v>
      </c>
      <c r="H29" s="44">
        <v>10</v>
      </c>
      <c r="I29" s="44">
        <v>16.670000000000002</v>
      </c>
      <c r="J29" s="44">
        <v>33.33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2.75" customHeight="1" x14ac:dyDescent="0.25">
      <c r="A30" s="3" t="s">
        <v>19</v>
      </c>
      <c r="B30" s="44">
        <v>0</v>
      </c>
      <c r="C30" s="44">
        <v>0</v>
      </c>
      <c r="D30" s="44">
        <v>0</v>
      </c>
      <c r="E30" s="44">
        <v>3.33</v>
      </c>
      <c r="F30" s="44">
        <v>10</v>
      </c>
      <c r="G30" s="48" t="s">
        <v>169</v>
      </c>
      <c r="H30" s="44">
        <v>10</v>
      </c>
      <c r="I30" s="44">
        <v>13.33</v>
      </c>
      <c r="J30" s="44">
        <v>33.33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2.75" customHeight="1" x14ac:dyDescent="0.25">
      <c r="A31" s="3" t="s">
        <v>20</v>
      </c>
      <c r="B31" s="44">
        <v>0</v>
      </c>
      <c r="C31" s="44">
        <v>0</v>
      </c>
      <c r="D31" s="44">
        <v>0</v>
      </c>
      <c r="E31" s="44">
        <v>3.33</v>
      </c>
      <c r="F31" s="44">
        <v>6.67</v>
      </c>
      <c r="G31" s="48" t="s">
        <v>169</v>
      </c>
      <c r="H31" s="44">
        <v>10</v>
      </c>
      <c r="I31" s="44">
        <v>16.670000000000002</v>
      </c>
      <c r="J31" s="44">
        <v>40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2.75" customHeight="1" x14ac:dyDescent="0.25">
      <c r="A32" s="3" t="s">
        <v>21</v>
      </c>
      <c r="B32" s="44">
        <v>0</v>
      </c>
      <c r="C32" s="44">
        <v>0</v>
      </c>
      <c r="D32" s="44">
        <v>0</v>
      </c>
      <c r="E32" s="44">
        <v>0</v>
      </c>
      <c r="F32" s="44">
        <v>10</v>
      </c>
      <c r="G32" s="48" t="s">
        <v>169</v>
      </c>
      <c r="H32" s="44">
        <v>10</v>
      </c>
      <c r="I32" s="44">
        <v>16.670000000000002</v>
      </c>
      <c r="J32" s="44">
        <v>36.67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2.75" customHeight="1" x14ac:dyDescent="0.25">
      <c r="A33" s="3" t="s">
        <v>22</v>
      </c>
      <c r="B33" s="44">
        <v>0</v>
      </c>
      <c r="C33" s="44">
        <v>0</v>
      </c>
      <c r="D33" s="44">
        <v>0</v>
      </c>
      <c r="E33" s="44">
        <v>0</v>
      </c>
      <c r="F33" s="44">
        <v>6.67</v>
      </c>
      <c r="G33" s="48" t="s">
        <v>169</v>
      </c>
      <c r="H33" s="44">
        <v>10</v>
      </c>
      <c r="I33" s="44">
        <v>20</v>
      </c>
      <c r="J33" s="44">
        <v>33.33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2.75" customHeight="1" x14ac:dyDescent="0.25">
      <c r="A34" s="3" t="s">
        <v>23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8" t="s">
        <v>169</v>
      </c>
      <c r="H34" s="44">
        <v>3.33</v>
      </c>
      <c r="I34" s="44">
        <v>6.67</v>
      </c>
      <c r="J34" s="44">
        <v>23.33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2.75" customHeight="1" x14ac:dyDescent="0.25">
      <c r="A35" s="2" t="s">
        <v>206</v>
      </c>
      <c r="B35" s="45">
        <v>0.13</v>
      </c>
      <c r="C35" s="45">
        <v>0.13</v>
      </c>
      <c r="D35" s="45">
        <v>0.13</v>
      </c>
      <c r="E35" s="45">
        <v>0.97</v>
      </c>
      <c r="F35" s="45">
        <v>2.77</v>
      </c>
      <c r="G35" s="48" t="s">
        <v>169</v>
      </c>
      <c r="H35" s="45">
        <v>3.9</v>
      </c>
      <c r="I35" s="45">
        <v>8.9</v>
      </c>
      <c r="J35" s="45">
        <v>22.93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2.75" customHeight="1" x14ac:dyDescent="0.25">
      <c r="A36" s="9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2.75" customHeight="1" x14ac:dyDescent="0.25">
      <c r="A37" s="9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2.75" customHeight="1" x14ac:dyDescent="0.25">
      <c r="A38" s="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2.75" customHeight="1" x14ac:dyDescent="0.25">
      <c r="A39" s="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2.75" customHeight="1" x14ac:dyDescent="0.25">
      <c r="A40" s="9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2.75" customHeight="1" x14ac:dyDescent="0.25">
      <c r="A41" s="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2.75" customHeight="1" x14ac:dyDescent="0.25">
      <c r="A42" s="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2.75" customHeight="1" x14ac:dyDescent="0.25">
      <c r="A43" s="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2.75" customHeight="1" x14ac:dyDescent="0.25">
      <c r="A44" s="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2.75" customHeight="1" x14ac:dyDescent="0.25">
      <c r="A45" s="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2.75" customHeight="1" x14ac:dyDescent="0.25">
      <c r="A46" s="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2.75" customHeight="1" x14ac:dyDescent="0.25">
      <c r="A47" s="9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2.75" customHeight="1" x14ac:dyDescent="0.25">
      <c r="A48" s="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2.75" customHeight="1" x14ac:dyDescent="0.25">
      <c r="A49" s="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2.75" customHeight="1" x14ac:dyDescent="0.25">
      <c r="A50" s="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2.75" customHeight="1" x14ac:dyDescent="0.25">
      <c r="A51" s="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2.75" customHeight="1" x14ac:dyDescent="0.25">
      <c r="A52" s="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2.75" customHeight="1" x14ac:dyDescent="0.25">
      <c r="A53" s="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2.75" customHeight="1" x14ac:dyDescent="0.25">
      <c r="A54" s="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2.75" customHeight="1" x14ac:dyDescent="0.25">
      <c r="A55" s="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2.75" customHeight="1" x14ac:dyDescent="0.25">
      <c r="A56" s="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12.75" customHeight="1" x14ac:dyDescent="0.25">
      <c r="A57" s="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12.75" customHeight="1" x14ac:dyDescent="0.25">
      <c r="A58" s="9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2.75" customHeight="1" x14ac:dyDescent="0.25">
      <c r="A59" s="9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12.75" customHeight="1" x14ac:dyDescent="0.25">
      <c r="A60" s="9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2.75" customHeight="1" x14ac:dyDescent="0.25">
      <c r="A61" s="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12.75" customHeight="1" x14ac:dyDescent="0.25">
      <c r="A62" s="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2.75" customHeight="1" x14ac:dyDescent="0.25">
      <c r="A63" s="9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12.75" customHeight="1" x14ac:dyDescent="0.25">
      <c r="A64" s="9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2.75" customHeight="1" x14ac:dyDescent="0.25">
      <c r="A65" s="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12.75" customHeight="1" x14ac:dyDescent="0.25">
      <c r="A66" s="9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2.75" customHeight="1" x14ac:dyDescent="0.25">
      <c r="A67" s="9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12.75" customHeight="1" x14ac:dyDescent="0.25">
      <c r="A68" s="9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2.75" customHeight="1" x14ac:dyDescent="0.25">
      <c r="A69" s="9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12.75" customHeight="1" x14ac:dyDescent="0.25">
      <c r="A70" s="9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12.75" customHeight="1" x14ac:dyDescent="0.25">
      <c r="A71" s="9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12.75" customHeight="1" x14ac:dyDescent="0.25">
      <c r="A72" s="9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2.75" customHeight="1" x14ac:dyDescent="0.25">
      <c r="A73" s="9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12.75" customHeight="1" x14ac:dyDescent="0.25">
      <c r="A74" s="9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12.75" customHeight="1" x14ac:dyDescent="0.25">
      <c r="A75" s="9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12.75" customHeight="1" x14ac:dyDescent="0.25">
      <c r="A76" s="9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2.75" customHeight="1" x14ac:dyDescent="0.25">
      <c r="A77" s="9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t="12.75" customHeight="1" x14ac:dyDescent="0.25">
      <c r="A78" s="9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2.75" customHeight="1" x14ac:dyDescent="0.25">
      <c r="A79" s="9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12.75" customHeight="1" x14ac:dyDescent="0.25">
      <c r="A80" s="9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12.75" customHeight="1" x14ac:dyDescent="0.25">
      <c r="A81" s="9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12.75" customHeight="1" x14ac:dyDescent="0.25">
      <c r="A82" s="9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12.75" customHeight="1" x14ac:dyDescent="0.25">
      <c r="A83" s="9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12.75" customHeight="1" x14ac:dyDescent="0.25">
      <c r="A84" s="9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12.75" customHeight="1" x14ac:dyDescent="0.25">
      <c r="A85" s="9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12.75" customHeight="1" x14ac:dyDescent="0.25">
      <c r="A86" s="9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2.75" customHeight="1" x14ac:dyDescent="0.25">
      <c r="A87" s="9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12.75" customHeight="1" x14ac:dyDescent="0.25">
      <c r="A88" s="9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2.75" customHeight="1" x14ac:dyDescent="0.25">
      <c r="A89" s="9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12.75" customHeight="1" x14ac:dyDescent="0.25">
      <c r="A90" s="9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2.75" customHeight="1" x14ac:dyDescent="0.25">
      <c r="A91" s="9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12.75" customHeight="1" x14ac:dyDescent="0.25">
      <c r="A92" s="9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2.75" customHeight="1" x14ac:dyDescent="0.25">
      <c r="A93" s="9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12.75" customHeight="1" x14ac:dyDescent="0.25">
      <c r="A94" s="9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12.75" customHeight="1" x14ac:dyDescent="0.25">
      <c r="A95" s="9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12.75" customHeight="1" x14ac:dyDescent="0.25">
      <c r="A96" s="9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ht="12.75" customHeight="1" x14ac:dyDescent="0.25">
      <c r="A97" s="9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ht="12.75" customHeight="1" x14ac:dyDescent="0.25">
      <c r="A98" s="9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ht="12.75" customHeight="1" x14ac:dyDescent="0.25">
      <c r="A99" s="9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2.75" customHeight="1" x14ac:dyDescent="0.25">
      <c r="A100" s="9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ht="12.75" customHeight="1" x14ac:dyDescent="0.25">
      <c r="A101" s="9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ht="12.75" customHeight="1" x14ac:dyDescent="0.25">
      <c r="A102" s="9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ht="12.75" customHeight="1" x14ac:dyDescent="0.25">
      <c r="A103" s="9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ht="12.75" customHeight="1" x14ac:dyDescent="0.25">
      <c r="A104" s="9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ht="12.75" customHeight="1" x14ac:dyDescent="0.25">
      <c r="A105" s="9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ht="12.75" customHeight="1" x14ac:dyDescent="0.25">
      <c r="A106" s="9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ht="12.75" customHeight="1" x14ac:dyDescent="0.25">
      <c r="A107" s="9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ht="12.75" customHeight="1" x14ac:dyDescent="0.25">
      <c r="A108" s="9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ht="12.75" customHeight="1" x14ac:dyDescent="0.25">
      <c r="A109" s="9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ht="12.75" customHeight="1" x14ac:dyDescent="0.25">
      <c r="A110" s="9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ht="12.75" customHeight="1" x14ac:dyDescent="0.25">
      <c r="A111" s="9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ht="12.75" customHeight="1" x14ac:dyDescent="0.25">
      <c r="A112" s="9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12.75" customHeight="1" x14ac:dyDescent="0.25">
      <c r="A113" s="9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ht="12.75" customHeight="1" x14ac:dyDescent="0.25">
      <c r="A114" s="9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ht="12.75" customHeight="1" x14ac:dyDescent="0.25">
      <c r="A115" s="9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ht="12.75" customHeight="1" x14ac:dyDescent="0.25">
      <c r="A116" s="9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ht="12.75" customHeight="1" x14ac:dyDescent="0.25">
      <c r="A117" s="9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ht="12.75" customHeight="1" x14ac:dyDescent="0.25">
      <c r="A118" s="9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ht="12.75" customHeight="1" x14ac:dyDescent="0.25">
      <c r="A119" s="9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12.75" customHeight="1" x14ac:dyDescent="0.25">
      <c r="A120" s="9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ht="12.75" customHeight="1" x14ac:dyDescent="0.25">
      <c r="A121" s="9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ht="12.75" customHeight="1" x14ac:dyDescent="0.25">
      <c r="A122" s="9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ht="12.75" customHeight="1" x14ac:dyDescent="0.25">
      <c r="A123" s="9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ht="12.75" customHeight="1" x14ac:dyDescent="0.25">
      <c r="A124" s="9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ht="12.75" customHeight="1" x14ac:dyDescent="0.25">
      <c r="A125" s="9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ht="12.75" customHeight="1" x14ac:dyDescent="0.25">
      <c r="A126" s="9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2.75" customHeight="1" x14ac:dyDescent="0.25">
      <c r="A127" s="9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ht="12.75" customHeight="1" x14ac:dyDescent="0.25">
      <c r="A128" s="9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12.75" customHeight="1" x14ac:dyDescent="0.25">
      <c r="A129" s="9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12.75" customHeight="1" x14ac:dyDescent="0.25">
      <c r="A130" s="9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2.75" customHeight="1" x14ac:dyDescent="0.25">
      <c r="A131" s="9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2.75" customHeight="1" x14ac:dyDescent="0.25">
      <c r="A132" s="9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2.75" customHeight="1" x14ac:dyDescent="0.25">
      <c r="A133" s="9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2.75" customHeight="1" x14ac:dyDescent="0.25">
      <c r="A134" s="9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2.75" customHeight="1" x14ac:dyDescent="0.25">
      <c r="A135" s="9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2.75" customHeight="1" x14ac:dyDescent="0.25">
      <c r="A136" s="9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2.75" customHeight="1" x14ac:dyDescent="0.25">
      <c r="A137" s="9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12.75" customHeight="1" x14ac:dyDescent="0.25">
      <c r="A138" s="9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12.75" customHeight="1" x14ac:dyDescent="0.25">
      <c r="A139" s="9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12.75" customHeight="1" x14ac:dyDescent="0.25">
      <c r="A140" s="9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2.75" customHeight="1" x14ac:dyDescent="0.25">
      <c r="A141" s="9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12.75" customHeight="1" x14ac:dyDescent="0.25">
      <c r="A142" s="9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2.75" customHeight="1" x14ac:dyDescent="0.25">
      <c r="A143" s="9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12.75" customHeight="1" x14ac:dyDescent="0.25">
      <c r="A144" s="9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2.75" customHeight="1" x14ac:dyDescent="0.25">
      <c r="A145" s="9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12.75" customHeight="1" x14ac:dyDescent="0.25">
      <c r="A146" s="9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12.75" customHeight="1" x14ac:dyDescent="0.25">
      <c r="A147" s="9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12.75" customHeight="1" x14ac:dyDescent="0.25">
      <c r="A148" s="9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12.75" customHeight="1" x14ac:dyDescent="0.25">
      <c r="A149" s="9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12.75" customHeight="1" x14ac:dyDescent="0.25">
      <c r="A150" s="9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12.75" customHeight="1" x14ac:dyDescent="0.25">
      <c r="A151" s="9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12.75" customHeight="1" x14ac:dyDescent="0.25">
      <c r="A152" s="9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2.75" customHeight="1" x14ac:dyDescent="0.25">
      <c r="A153" s="9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12.75" customHeight="1" x14ac:dyDescent="0.25">
      <c r="A154" s="9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2.75" customHeight="1" x14ac:dyDescent="0.25">
      <c r="A155" s="9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12.75" customHeight="1" x14ac:dyDescent="0.25">
      <c r="A156" s="9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2.75" customHeight="1" x14ac:dyDescent="0.25">
      <c r="A157" s="9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12.75" customHeight="1" x14ac:dyDescent="0.25">
      <c r="A158" s="9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12.75" customHeight="1" x14ac:dyDescent="0.25">
      <c r="A159" s="9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12.75" customHeight="1" x14ac:dyDescent="0.25">
      <c r="A160" s="9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2.75" customHeight="1" x14ac:dyDescent="0.25">
      <c r="A161" s="9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ht="12.75" customHeight="1" x14ac:dyDescent="0.25">
      <c r="A162" s="9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ht="12.75" customHeight="1" x14ac:dyDescent="0.25">
      <c r="A163" s="9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ht="12.75" customHeight="1" x14ac:dyDescent="0.25">
      <c r="A164" s="9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ht="12.75" customHeight="1" x14ac:dyDescent="0.25">
      <c r="A165" s="9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ht="12.75" customHeight="1" x14ac:dyDescent="0.25">
      <c r="A166" s="9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ht="12.75" customHeight="1" x14ac:dyDescent="0.25">
      <c r="A167" s="9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ht="12.75" customHeight="1" x14ac:dyDescent="0.25">
      <c r="A168" s="9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ht="12.75" customHeight="1" x14ac:dyDescent="0.25">
      <c r="A169" s="9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ht="12.75" customHeight="1" x14ac:dyDescent="0.25">
      <c r="A170" s="9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ht="12.75" customHeight="1" x14ac:dyDescent="0.25">
      <c r="A171" s="9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ht="12.75" customHeight="1" x14ac:dyDescent="0.25">
      <c r="A172" s="9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ht="12.75" customHeight="1" x14ac:dyDescent="0.25">
      <c r="A173" s="9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ht="12.75" customHeight="1" x14ac:dyDescent="0.25">
      <c r="A174" s="9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ht="12.75" customHeight="1" x14ac:dyDescent="0.25">
      <c r="A175" s="9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ht="12.75" customHeight="1" x14ac:dyDescent="0.25">
      <c r="A176" s="9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ht="12.75" customHeight="1" x14ac:dyDescent="0.25">
      <c r="A177" s="9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ht="12.75" customHeight="1" x14ac:dyDescent="0.25">
      <c r="A178" s="9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ht="12.75" customHeight="1" x14ac:dyDescent="0.25">
      <c r="A179" s="9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ht="12.75" customHeight="1" x14ac:dyDescent="0.25">
      <c r="A180" s="9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ht="12.75" customHeight="1" x14ac:dyDescent="0.25">
      <c r="A181" s="9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ht="12.75" customHeight="1" x14ac:dyDescent="0.25">
      <c r="A182" s="9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2.75" customHeight="1" x14ac:dyDescent="0.25">
      <c r="A183" s="9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ht="12.75" customHeight="1" x14ac:dyDescent="0.25">
      <c r="A184" s="9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2.75" customHeight="1" x14ac:dyDescent="0.25">
      <c r="A185" s="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ht="12.75" customHeight="1" x14ac:dyDescent="0.25">
      <c r="A186" s="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2.75" customHeight="1" x14ac:dyDescent="0.25">
      <c r="A187" s="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ht="12.75" customHeight="1" x14ac:dyDescent="0.25">
      <c r="A188" s="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ht="12.75" customHeight="1" x14ac:dyDescent="0.25">
      <c r="A189" s="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ht="12.75" customHeight="1" x14ac:dyDescent="0.25">
      <c r="A190" s="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ht="12.75" customHeight="1" x14ac:dyDescent="0.25">
      <c r="A191" s="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ht="12.75" customHeight="1" x14ac:dyDescent="0.25">
      <c r="A192" s="9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2.75" customHeight="1" x14ac:dyDescent="0.25">
      <c r="A193" s="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12.75" customHeight="1" x14ac:dyDescent="0.25">
      <c r="A194" s="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12.75" customHeight="1" x14ac:dyDescent="0.25">
      <c r="A195" s="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2.75" customHeight="1" x14ac:dyDescent="0.25">
      <c r="A196" s="9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12.75" customHeight="1" x14ac:dyDescent="0.25">
      <c r="A197" s="9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2.75" customHeight="1" x14ac:dyDescent="0.25">
      <c r="A198" s="9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12.75" customHeight="1" x14ac:dyDescent="0.25">
      <c r="A199" s="9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2.75" customHeight="1" x14ac:dyDescent="0.25">
      <c r="A200" s="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12.75" customHeight="1" x14ac:dyDescent="0.25">
      <c r="A201" s="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12.75" customHeight="1" x14ac:dyDescent="0.25">
      <c r="A202" s="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12.75" customHeight="1" x14ac:dyDescent="0.25">
      <c r="A203" s="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2.75" customHeight="1" x14ac:dyDescent="0.25">
      <c r="A204" s="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12.75" customHeight="1" x14ac:dyDescent="0.25">
      <c r="A205" s="9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12.75" customHeight="1" x14ac:dyDescent="0.25">
      <c r="A206" s="9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12.75" customHeight="1" x14ac:dyDescent="0.25">
      <c r="A207" s="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12.75" customHeight="1" x14ac:dyDescent="0.25">
      <c r="A208" s="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2.75" customHeight="1" x14ac:dyDescent="0.25">
      <c r="A209" s="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3" ht="12.75" customHeight="1" x14ac:dyDescent="0.25">
      <c r="A210" s="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2.75" customHeight="1" x14ac:dyDescent="0.25">
      <c r="A211" s="9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spans="1:23" ht="12.75" customHeight="1" x14ac:dyDescent="0.25">
      <c r="A212" s="9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2.75" customHeight="1" x14ac:dyDescent="0.25">
      <c r="A213" s="9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spans="1:23" ht="12.75" customHeight="1" x14ac:dyDescent="0.25">
      <c r="A214" s="9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3" ht="12.75" customHeight="1" x14ac:dyDescent="0.25">
      <c r="A215" s="9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3" ht="12.75" customHeight="1" x14ac:dyDescent="0.25">
      <c r="A216" s="9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3" ht="12.75" customHeight="1" x14ac:dyDescent="0.25">
      <c r="A217" s="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3" ht="12.75" customHeight="1" x14ac:dyDescent="0.25">
      <c r="A218" s="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3" ht="12.75" customHeight="1" x14ac:dyDescent="0.25">
      <c r="A219" s="9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3" ht="12.75" customHeight="1" x14ac:dyDescent="0.25">
      <c r="A220" s="9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3" ht="12.75" customHeight="1" x14ac:dyDescent="0.25">
      <c r="A221" s="9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3" ht="12.75" customHeight="1" x14ac:dyDescent="0.25">
      <c r="A222" s="9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2.75" customHeight="1" x14ac:dyDescent="0.25">
      <c r="A223" s="9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3" ht="12.75" customHeight="1" x14ac:dyDescent="0.25">
      <c r="A224" s="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2.75" customHeight="1" x14ac:dyDescent="0.25">
      <c r="A225" s="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3" ht="12.75" customHeight="1" x14ac:dyDescent="0.25">
      <c r="A226" s="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2.75" customHeight="1" x14ac:dyDescent="0.25">
      <c r="A227" s="9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3" ht="12.75" customHeight="1" x14ac:dyDescent="0.25">
      <c r="A228" s="9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spans="1:23" ht="12.75" customHeight="1" x14ac:dyDescent="0.25">
      <c r="A229" s="9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spans="1:23" ht="12.75" customHeight="1" x14ac:dyDescent="0.25">
      <c r="A230" s="9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3" ht="12.75" customHeight="1" x14ac:dyDescent="0.25">
      <c r="A231" s="9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spans="1:23" ht="12.75" customHeight="1" x14ac:dyDescent="0.25">
      <c r="A232" s="9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3" ht="12.75" customHeight="1" x14ac:dyDescent="0.25">
      <c r="A233" s="9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3" ht="12.75" customHeight="1" x14ac:dyDescent="0.25">
      <c r="A234" s="9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3" ht="12.75" customHeight="1" x14ac:dyDescent="0.25">
      <c r="A235" s="9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3" ht="15.75" customHeight="1" x14ac:dyDescent="0.25"/>
    <row r="237" spans="1:23" ht="15.75" customHeight="1" x14ac:dyDescent="0.25"/>
    <row r="238" spans="1:23" ht="15.75" customHeight="1" x14ac:dyDescent="0.25"/>
    <row r="239" spans="1:23" ht="15.75" customHeight="1" x14ac:dyDescent="0.25"/>
    <row r="240" spans="1:2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2:E2"/>
    <mergeCell ref="C3:E3"/>
    <mergeCell ref="A8:J8"/>
    <mergeCell ref="A9:A10"/>
    <mergeCell ref="B9:J9"/>
  </mergeCells>
  <pageMargins left="0.75" right="0.75" top="1" bottom="1" header="0" footer="0"/>
  <pageSetup paperSize="9" scale="9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640625" defaultRowHeight="15" customHeight="1" x14ac:dyDescent="0.25"/>
  <cols>
    <col min="1" max="1" width="9.44140625" customWidth="1"/>
    <col min="2" max="2" width="13.33203125" customWidth="1"/>
    <col min="3" max="3" width="13.6640625" customWidth="1"/>
    <col min="5" max="6" width="13.6640625" customWidth="1"/>
    <col min="7" max="7" width="14.44140625" customWidth="1"/>
    <col min="8" max="26" width="9.109375" customWidth="1"/>
  </cols>
  <sheetData>
    <row r="1" spans="1:26" ht="15.6" x14ac:dyDescent="0.3">
      <c r="A1" s="38" t="s">
        <v>129</v>
      </c>
      <c r="B1" s="12"/>
      <c r="C1" s="12"/>
      <c r="D1" s="12"/>
      <c r="E1" s="12"/>
      <c r="F1" s="12"/>
      <c r="G1" s="9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25">
      <c r="A2" s="91" t="s">
        <v>207</v>
      </c>
      <c r="B2" s="86"/>
      <c r="C2" s="86"/>
      <c r="D2" s="12"/>
      <c r="E2" s="12" t="s">
        <v>208</v>
      </c>
      <c r="F2" s="9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5">
      <c r="A3" s="12" t="s">
        <v>209</v>
      </c>
      <c r="B3" s="12"/>
      <c r="C3" s="12"/>
      <c r="D3" s="12"/>
      <c r="E3" s="12" t="s">
        <v>210</v>
      </c>
      <c r="F3" s="12"/>
      <c r="G3" s="3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5">
      <c r="A4" s="91" t="s">
        <v>211</v>
      </c>
      <c r="B4" s="86"/>
      <c r="C4" s="86"/>
      <c r="D4" s="39"/>
      <c r="E4" s="12" t="s">
        <v>212</v>
      </c>
      <c r="F4" s="9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5">
      <c r="A5" s="12" t="s">
        <v>213</v>
      </c>
      <c r="B5" s="12"/>
      <c r="C5" s="12"/>
      <c r="D5" s="12"/>
      <c r="E5" s="12" t="s">
        <v>214</v>
      </c>
      <c r="F5" s="9"/>
      <c r="G5" s="3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 x14ac:dyDescent="0.25">
      <c r="A6" s="9"/>
      <c r="B6" s="9"/>
      <c r="C6" s="9"/>
      <c r="D6" s="9"/>
      <c r="E6" s="12" t="s">
        <v>215</v>
      </c>
      <c r="F6" s="9"/>
      <c r="G6" s="12"/>
      <c r="H6" s="9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5">
      <c r="A7" s="9"/>
      <c r="B7" s="9"/>
      <c r="C7" s="9"/>
      <c r="D7" s="9"/>
      <c r="E7" s="12"/>
      <c r="F7" s="9"/>
      <c r="G7" s="12"/>
      <c r="H7" s="9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5">
      <c r="A8" s="104" t="s">
        <v>216</v>
      </c>
      <c r="B8" s="78"/>
      <c r="C8" s="78"/>
      <c r="D8" s="78"/>
      <c r="E8" s="78"/>
      <c r="F8" s="78"/>
      <c r="G8" s="84"/>
      <c r="H8" s="49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5">
      <c r="A9" s="105"/>
      <c r="B9" s="103"/>
      <c r="C9" s="103"/>
      <c r="D9" s="103"/>
      <c r="E9" s="103"/>
      <c r="F9" s="103"/>
      <c r="G9" s="106"/>
      <c r="H9" s="4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5">
      <c r="A10" s="107" t="s">
        <v>0</v>
      </c>
      <c r="B10" s="82" t="s">
        <v>217</v>
      </c>
      <c r="C10" s="75"/>
      <c r="D10" s="75"/>
      <c r="E10" s="75"/>
      <c r="F10" s="75"/>
      <c r="G10" s="10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5">
      <c r="A11" s="108"/>
      <c r="B11" s="50" t="s">
        <v>161</v>
      </c>
      <c r="C11" s="51" t="s">
        <v>162</v>
      </c>
      <c r="D11" s="51" t="s">
        <v>171</v>
      </c>
      <c r="E11" s="51" t="s">
        <v>218</v>
      </c>
      <c r="F11" s="51" t="s">
        <v>172</v>
      </c>
      <c r="G11" s="52" t="s">
        <v>165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5">
      <c r="A12" s="53">
        <v>0</v>
      </c>
      <c r="B12" s="54">
        <v>0</v>
      </c>
      <c r="C12" s="55">
        <v>0</v>
      </c>
      <c r="D12" s="55">
        <v>0</v>
      </c>
      <c r="E12" s="55">
        <v>0</v>
      </c>
      <c r="F12" s="56">
        <v>100</v>
      </c>
      <c r="G12" s="55">
        <v>100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5">
      <c r="A13" s="57">
        <v>1</v>
      </c>
      <c r="B13" s="54">
        <v>3.33</v>
      </c>
      <c r="C13" s="55">
        <v>3.33</v>
      </c>
      <c r="D13" s="56">
        <v>3.33</v>
      </c>
      <c r="E13" s="56">
        <v>3.33</v>
      </c>
      <c r="F13" s="56">
        <v>100</v>
      </c>
      <c r="G13" s="55">
        <v>100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5">
      <c r="A14" s="57">
        <v>2</v>
      </c>
      <c r="B14" s="58">
        <v>3.33</v>
      </c>
      <c r="C14" s="56">
        <v>3.33</v>
      </c>
      <c r="D14" s="56">
        <v>3.33</v>
      </c>
      <c r="E14" s="56">
        <v>3.33</v>
      </c>
      <c r="F14" s="56">
        <v>93.33</v>
      </c>
      <c r="G14" s="55">
        <v>100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5">
      <c r="A15" s="57">
        <v>3</v>
      </c>
      <c r="B15" s="55">
        <v>0</v>
      </c>
      <c r="C15" s="55">
        <v>0</v>
      </c>
      <c r="D15" s="55">
        <v>0</v>
      </c>
      <c r="E15" s="55">
        <v>0</v>
      </c>
      <c r="F15" s="56">
        <v>90</v>
      </c>
      <c r="G15" s="55">
        <v>93.33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5">
      <c r="A16" s="57">
        <v>4</v>
      </c>
      <c r="B16" s="55">
        <v>0</v>
      </c>
      <c r="C16" s="55">
        <v>0</v>
      </c>
      <c r="D16" s="55">
        <v>0</v>
      </c>
      <c r="E16" s="55">
        <v>0</v>
      </c>
      <c r="F16" s="56">
        <v>96.67</v>
      </c>
      <c r="G16" s="56">
        <v>100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5">
      <c r="A17" s="57">
        <v>5</v>
      </c>
      <c r="B17" s="55">
        <v>3.33</v>
      </c>
      <c r="C17" s="56">
        <v>3.33</v>
      </c>
      <c r="D17" s="56">
        <v>3.33</v>
      </c>
      <c r="E17" s="56">
        <v>3.33</v>
      </c>
      <c r="F17" s="56">
        <v>96.67</v>
      </c>
      <c r="G17" s="56">
        <v>100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5">
      <c r="A18" s="57">
        <v>6</v>
      </c>
      <c r="B18" s="55">
        <v>0</v>
      </c>
      <c r="C18" s="56">
        <v>0</v>
      </c>
      <c r="D18" s="56">
        <v>0</v>
      </c>
      <c r="E18" s="56">
        <v>0</v>
      </c>
      <c r="F18" s="56">
        <v>96.67</v>
      </c>
      <c r="G18" s="55">
        <v>100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5">
      <c r="A19" s="57">
        <v>7</v>
      </c>
      <c r="B19" s="55">
        <v>0</v>
      </c>
      <c r="C19" s="55">
        <v>0</v>
      </c>
      <c r="D19" s="55">
        <v>0</v>
      </c>
      <c r="E19" s="55">
        <v>0</v>
      </c>
      <c r="F19" s="56">
        <v>96.67</v>
      </c>
      <c r="G19" s="55">
        <v>100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5">
      <c r="A20" s="57">
        <v>8</v>
      </c>
      <c r="B20" s="54">
        <v>3.33</v>
      </c>
      <c r="C20" s="55">
        <v>3.33</v>
      </c>
      <c r="D20" s="55">
        <v>3.33</v>
      </c>
      <c r="E20" s="55">
        <v>3.33</v>
      </c>
      <c r="F20" s="56">
        <v>100</v>
      </c>
      <c r="G20" s="55">
        <v>100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5">
      <c r="A21" s="57">
        <v>9</v>
      </c>
      <c r="B21" s="54">
        <v>0</v>
      </c>
      <c r="C21" s="55">
        <v>0</v>
      </c>
      <c r="D21" s="55">
        <v>0</v>
      </c>
      <c r="E21" s="56">
        <v>0</v>
      </c>
      <c r="F21" s="56">
        <v>100</v>
      </c>
      <c r="G21" s="55">
        <v>100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5">
      <c r="A22" s="57">
        <v>10</v>
      </c>
      <c r="B22" s="56">
        <v>0</v>
      </c>
      <c r="C22" s="56">
        <v>0</v>
      </c>
      <c r="D22" s="56">
        <v>0</v>
      </c>
      <c r="E22" s="56">
        <v>0</v>
      </c>
      <c r="F22" s="56">
        <v>96.67</v>
      </c>
      <c r="G22" s="55">
        <v>96.67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5">
      <c r="A23" s="57">
        <v>11</v>
      </c>
      <c r="B23" s="56">
        <v>0</v>
      </c>
      <c r="C23" s="56">
        <v>0</v>
      </c>
      <c r="D23" s="56">
        <v>0</v>
      </c>
      <c r="E23" s="56">
        <v>0</v>
      </c>
      <c r="F23" s="56">
        <v>96.67</v>
      </c>
      <c r="G23" s="55">
        <v>100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5">
      <c r="A24" s="57">
        <v>12</v>
      </c>
      <c r="B24" s="55">
        <v>0</v>
      </c>
      <c r="C24" s="55">
        <v>0</v>
      </c>
      <c r="D24" s="55">
        <v>0</v>
      </c>
      <c r="E24" s="55">
        <v>0</v>
      </c>
      <c r="F24" s="56">
        <v>96.67</v>
      </c>
      <c r="G24" s="56">
        <v>96.67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5">
      <c r="A25" s="57">
        <v>13</v>
      </c>
      <c r="B25" s="55">
        <v>0</v>
      </c>
      <c r="C25" s="55">
        <v>0</v>
      </c>
      <c r="D25" s="55">
        <v>0</v>
      </c>
      <c r="E25" s="55">
        <v>0</v>
      </c>
      <c r="F25" s="56">
        <v>93.33</v>
      </c>
      <c r="G25" s="55">
        <v>93.33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5">
      <c r="A26" s="57">
        <v>14</v>
      </c>
      <c r="B26" s="56">
        <v>3.33</v>
      </c>
      <c r="C26" s="56">
        <v>3.33</v>
      </c>
      <c r="D26" s="56">
        <v>3.33</v>
      </c>
      <c r="E26" s="56">
        <v>3.33</v>
      </c>
      <c r="F26" s="56">
        <v>93.33</v>
      </c>
      <c r="G26" s="56">
        <v>96.67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5">
      <c r="A27" s="57">
        <v>15</v>
      </c>
      <c r="B27" s="56">
        <v>0</v>
      </c>
      <c r="C27" s="56">
        <v>0</v>
      </c>
      <c r="D27" s="56">
        <v>0</v>
      </c>
      <c r="E27" s="56">
        <v>0</v>
      </c>
      <c r="F27" s="56">
        <v>93.33</v>
      </c>
      <c r="G27" s="55">
        <v>96.67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57">
        <v>16</v>
      </c>
      <c r="B28" s="59">
        <v>0</v>
      </c>
      <c r="C28" s="59">
        <v>0</v>
      </c>
      <c r="D28" s="59">
        <v>0</v>
      </c>
      <c r="E28" s="59">
        <v>0</v>
      </c>
      <c r="F28" s="56">
        <v>96.67</v>
      </c>
      <c r="G28" s="55">
        <v>96.67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57">
        <v>17</v>
      </c>
      <c r="B29" s="54">
        <v>0</v>
      </c>
      <c r="C29" s="55">
        <v>0</v>
      </c>
      <c r="D29" s="55">
        <v>0</v>
      </c>
      <c r="E29" s="55">
        <v>0</v>
      </c>
      <c r="F29" s="56">
        <v>100</v>
      </c>
      <c r="G29" s="55">
        <v>100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57">
        <v>18</v>
      </c>
      <c r="B30" s="56">
        <v>0</v>
      </c>
      <c r="C30" s="56">
        <v>0</v>
      </c>
      <c r="D30" s="56">
        <v>0</v>
      </c>
      <c r="E30" s="56">
        <v>0</v>
      </c>
      <c r="F30" s="56">
        <v>100</v>
      </c>
      <c r="G30" s="55">
        <v>100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5">
      <c r="A31" s="57">
        <v>19</v>
      </c>
      <c r="B31" s="58">
        <v>0</v>
      </c>
      <c r="C31" s="56">
        <v>0</v>
      </c>
      <c r="D31" s="56">
        <v>0</v>
      </c>
      <c r="E31" s="56">
        <v>0</v>
      </c>
      <c r="F31" s="56">
        <v>100</v>
      </c>
      <c r="G31" s="56">
        <v>100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5">
      <c r="A32" s="57">
        <v>20</v>
      </c>
      <c r="B32" s="56">
        <v>0</v>
      </c>
      <c r="C32" s="56">
        <v>0</v>
      </c>
      <c r="D32" s="56">
        <v>0</v>
      </c>
      <c r="E32" s="56">
        <v>0</v>
      </c>
      <c r="F32" s="56">
        <v>100</v>
      </c>
      <c r="G32" s="56">
        <v>100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5">
      <c r="A33" s="57">
        <v>21</v>
      </c>
      <c r="B33" s="58">
        <v>0</v>
      </c>
      <c r="C33" s="56">
        <v>0</v>
      </c>
      <c r="D33" s="56">
        <v>0</v>
      </c>
      <c r="E33" s="56">
        <v>0</v>
      </c>
      <c r="F33" s="56">
        <v>100</v>
      </c>
      <c r="G33" s="55">
        <v>100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5">
      <c r="A34" s="57">
        <v>22</v>
      </c>
      <c r="B34" s="55">
        <v>0</v>
      </c>
      <c r="C34" s="55">
        <v>0</v>
      </c>
      <c r="D34" s="55">
        <v>0</v>
      </c>
      <c r="E34" s="55">
        <v>0</v>
      </c>
      <c r="F34" s="56">
        <v>100</v>
      </c>
      <c r="G34" s="55">
        <v>100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5">
      <c r="A35" s="60">
        <v>23</v>
      </c>
      <c r="B35" s="55">
        <v>6.67</v>
      </c>
      <c r="C35" s="55">
        <v>6.67</v>
      </c>
      <c r="D35" s="55">
        <v>6.67</v>
      </c>
      <c r="E35" s="55">
        <v>6.67</v>
      </c>
      <c r="F35" s="56">
        <v>93.33</v>
      </c>
      <c r="G35" s="55">
        <v>96.67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5">
      <c r="A36" s="34" t="s">
        <v>198</v>
      </c>
      <c r="B36" s="58">
        <v>0.97</v>
      </c>
      <c r="C36" s="56">
        <v>0.97</v>
      </c>
      <c r="D36" s="56">
        <v>0.97</v>
      </c>
      <c r="E36" s="56">
        <v>0.97</v>
      </c>
      <c r="F36" s="56">
        <v>97.07</v>
      </c>
      <c r="G36" s="56">
        <v>98.6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2:C2"/>
    <mergeCell ref="A4:C4"/>
    <mergeCell ref="A8:G9"/>
    <mergeCell ref="A10:A11"/>
    <mergeCell ref="B10:G10"/>
  </mergeCells>
  <pageMargins left="0.71" right="0.74" top="1" bottom="1" header="0" footer="0"/>
  <pageSetup paperSize="9" scale="9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abSelected="1" workbookViewId="0"/>
  </sheetViews>
  <sheetFormatPr defaultColWidth="12.6640625" defaultRowHeight="15" customHeight="1" x14ac:dyDescent="0.25"/>
  <cols>
    <col min="1" max="1" width="9.109375" customWidth="1"/>
    <col min="2" max="3" width="6" customWidth="1"/>
    <col min="4" max="4" width="6.6640625" customWidth="1"/>
    <col min="5" max="5" width="6.88671875" customWidth="1"/>
    <col min="6" max="6" width="8.109375" customWidth="1"/>
    <col min="7" max="10" width="6.6640625" customWidth="1"/>
    <col min="11" max="11" width="5.6640625" customWidth="1"/>
    <col min="12" max="12" width="5.44140625" customWidth="1"/>
    <col min="13" max="13" width="11" customWidth="1"/>
    <col min="14" max="16" width="4.44140625" customWidth="1"/>
    <col min="17" max="23" width="3.44140625" customWidth="1"/>
    <col min="24" max="24" width="5.44140625" customWidth="1"/>
    <col min="25" max="26" width="9.109375" customWidth="1"/>
    <col min="27" max="27" width="14.44140625" customWidth="1"/>
  </cols>
  <sheetData>
    <row r="1" spans="1:27" ht="15.6" x14ac:dyDescent="0.3">
      <c r="A1" s="38" t="s">
        <v>129</v>
      </c>
      <c r="B1" s="12"/>
      <c r="C1" s="12"/>
      <c r="D1" s="12"/>
      <c r="E1" s="12"/>
      <c r="F1" s="12"/>
      <c r="G1" s="12"/>
      <c r="H1" s="12"/>
      <c r="I1" s="12"/>
      <c r="J1" s="12"/>
      <c r="K1" s="9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7" ht="12.75" customHeight="1" x14ac:dyDescent="0.25">
      <c r="A2" s="39" t="s">
        <v>219</v>
      </c>
      <c r="B2" s="12"/>
      <c r="C2" s="12"/>
      <c r="D2" s="12"/>
      <c r="E2" s="12"/>
      <c r="F2" s="12"/>
      <c r="G2" s="12" t="s">
        <v>220</v>
      </c>
      <c r="H2" s="12"/>
      <c r="I2" s="12"/>
      <c r="J2" s="61" t="s">
        <v>132</v>
      </c>
      <c r="K2" s="39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7" ht="12.75" customHeight="1" x14ac:dyDescent="0.25">
      <c r="A3" s="12" t="s">
        <v>221</v>
      </c>
      <c r="B3" s="12"/>
      <c r="C3" s="92"/>
      <c r="D3" s="86"/>
      <c r="E3" s="86"/>
      <c r="F3" s="12"/>
      <c r="G3" s="12" t="s">
        <v>222</v>
      </c>
      <c r="H3" s="12"/>
      <c r="I3" s="12"/>
      <c r="J3" s="61" t="s">
        <v>132</v>
      </c>
      <c r="K3" s="39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7" ht="12.75" customHeight="1" x14ac:dyDescent="0.25">
      <c r="A4" s="39" t="s">
        <v>223</v>
      </c>
      <c r="B4" s="12"/>
      <c r="C4" s="12"/>
      <c r="D4" s="12"/>
      <c r="E4" s="12"/>
      <c r="F4" s="39"/>
      <c r="G4" s="12" t="s">
        <v>224</v>
      </c>
      <c r="H4" s="12"/>
      <c r="I4" s="12"/>
      <c r="J4" s="61" t="s">
        <v>132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7" ht="12.75" customHeight="1" x14ac:dyDescent="0.25">
      <c r="A5" s="12" t="s">
        <v>225</v>
      </c>
      <c r="B5" s="12" t="s">
        <v>132</v>
      </c>
      <c r="C5" s="12"/>
      <c r="D5" s="12"/>
      <c r="E5" s="12"/>
      <c r="F5" s="12"/>
      <c r="G5" s="12" t="s">
        <v>226</v>
      </c>
      <c r="H5" s="12"/>
      <c r="I5" s="12"/>
      <c r="J5" s="61" t="s">
        <v>132</v>
      </c>
      <c r="K5" s="39"/>
      <c r="L5" s="12"/>
      <c r="M5" s="12"/>
      <c r="N5" s="12"/>
      <c r="O5" s="12"/>
      <c r="P5" s="12"/>
      <c r="Q5" s="110"/>
      <c r="R5" s="86"/>
      <c r="S5" s="86"/>
      <c r="T5" s="86"/>
      <c r="U5" s="86"/>
      <c r="V5" s="86"/>
      <c r="W5" s="86"/>
      <c r="X5" s="86"/>
      <c r="Y5" s="86"/>
      <c r="Z5" s="86"/>
      <c r="AA5" s="86"/>
    </row>
    <row r="6" spans="1:27" ht="12.75" customHeight="1" x14ac:dyDescent="0.25">
      <c r="A6" s="9"/>
      <c r="B6" s="9"/>
      <c r="C6" s="9"/>
      <c r="D6" s="9"/>
      <c r="E6" s="12"/>
      <c r="F6" s="12"/>
      <c r="G6" s="12" t="s">
        <v>215</v>
      </c>
      <c r="H6" s="12"/>
      <c r="I6" s="12"/>
      <c r="J6" s="61"/>
      <c r="K6" s="39"/>
      <c r="L6" s="12"/>
      <c r="M6" s="12"/>
      <c r="N6" s="12"/>
      <c r="O6" s="12"/>
      <c r="P6" s="12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</row>
    <row r="7" spans="1:27" ht="12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7" ht="12.75" customHeight="1" x14ac:dyDescent="0.25">
      <c r="A8" s="104" t="s">
        <v>227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84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7" ht="12.75" customHeight="1" x14ac:dyDescent="0.25">
      <c r="A9" s="105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6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7" ht="12.75" customHeight="1" x14ac:dyDescent="0.25">
      <c r="A10" s="107" t="s">
        <v>228</v>
      </c>
      <c r="B10" s="82" t="s">
        <v>229</v>
      </c>
      <c r="C10" s="75"/>
      <c r="D10" s="75"/>
      <c r="E10" s="75"/>
      <c r="F10" s="75"/>
      <c r="G10" s="75"/>
      <c r="H10" s="75"/>
      <c r="I10" s="75"/>
      <c r="J10" s="75"/>
      <c r="K10" s="75"/>
      <c r="L10" s="10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7" ht="12.75" customHeight="1" x14ac:dyDescent="0.25">
      <c r="A11" s="108"/>
      <c r="B11" s="62" t="s">
        <v>230</v>
      </c>
      <c r="C11" s="62" t="s">
        <v>231</v>
      </c>
      <c r="D11" s="62" t="s">
        <v>232</v>
      </c>
      <c r="E11" s="62" t="s">
        <v>233</v>
      </c>
      <c r="F11" s="62" t="s">
        <v>234</v>
      </c>
      <c r="G11" s="50" t="s">
        <v>235</v>
      </c>
      <c r="H11" s="50" t="s">
        <v>236</v>
      </c>
      <c r="I11" s="50" t="s">
        <v>237</v>
      </c>
      <c r="J11" s="50" t="s">
        <v>238</v>
      </c>
      <c r="K11" s="50" t="s">
        <v>239</v>
      </c>
      <c r="L11" s="63" t="s">
        <v>240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7" ht="12.75" customHeight="1" x14ac:dyDescent="0.25">
      <c r="A12" s="64" t="s">
        <v>241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56">
        <v>2366.67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7" ht="12.75" customHeight="1" x14ac:dyDescent="0.25">
      <c r="A13" s="57" t="s">
        <v>242</v>
      </c>
      <c r="B13" s="56">
        <v>160</v>
      </c>
      <c r="C13" s="59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6">
        <v>160</v>
      </c>
      <c r="M13" s="12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12"/>
      <c r="Z13" s="12"/>
    </row>
    <row r="14" spans="1:27" ht="12.75" customHeight="1" x14ac:dyDescent="0.25">
      <c r="A14" s="67" t="s">
        <v>243</v>
      </c>
      <c r="B14" s="56">
        <v>130</v>
      </c>
      <c r="C14" s="55">
        <v>3.33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6">
        <v>133.33000000000001</v>
      </c>
      <c r="M14" s="12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12"/>
      <c r="Z14" s="12"/>
    </row>
    <row r="15" spans="1:27" ht="12.75" customHeight="1" x14ac:dyDescent="0.25">
      <c r="A15" s="67" t="s">
        <v>244</v>
      </c>
      <c r="B15" s="56">
        <v>63.33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6">
        <v>63.33</v>
      </c>
      <c r="M15" s="12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12"/>
      <c r="Z15" s="12"/>
    </row>
    <row r="16" spans="1:27" ht="12.75" customHeight="1" x14ac:dyDescent="0.25">
      <c r="A16" s="67" t="s">
        <v>245</v>
      </c>
      <c r="B16" s="56">
        <v>126.67</v>
      </c>
      <c r="C16" s="55">
        <v>26.67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6">
        <v>153.33000000000001</v>
      </c>
      <c r="M16" s="12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12"/>
      <c r="Z16" s="12"/>
    </row>
    <row r="17" spans="1:26" ht="12.75" customHeight="1" x14ac:dyDescent="0.25">
      <c r="A17" s="67" t="s">
        <v>246</v>
      </c>
      <c r="B17" s="56">
        <v>170</v>
      </c>
      <c r="C17" s="55">
        <v>13.33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6">
        <v>183.33</v>
      </c>
      <c r="M17" s="12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12"/>
      <c r="Z17" s="12"/>
    </row>
    <row r="18" spans="1:26" ht="12.75" customHeight="1" x14ac:dyDescent="0.25">
      <c r="A18" s="57" t="s">
        <v>247</v>
      </c>
      <c r="B18" s="56">
        <v>176.67</v>
      </c>
      <c r="C18" s="55">
        <v>10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6">
        <v>186.67</v>
      </c>
      <c r="M18" s="12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12"/>
      <c r="Z18" s="12"/>
    </row>
    <row r="19" spans="1:26" ht="12.75" customHeight="1" x14ac:dyDescent="0.25">
      <c r="A19" s="57" t="s">
        <v>248</v>
      </c>
      <c r="B19" s="56">
        <v>113.33</v>
      </c>
      <c r="C19" s="56">
        <v>3.33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6">
        <v>116.67</v>
      </c>
      <c r="M19" s="12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12"/>
      <c r="Z19" s="12"/>
    </row>
    <row r="20" spans="1:26" ht="12.75" customHeight="1" x14ac:dyDescent="0.25">
      <c r="A20" s="57" t="s">
        <v>249</v>
      </c>
      <c r="B20" s="56">
        <v>76.67</v>
      </c>
      <c r="C20" s="56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6">
        <v>76.67</v>
      </c>
      <c r="M20" s="12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12"/>
      <c r="Z20" s="12"/>
    </row>
    <row r="21" spans="1:26" ht="12.75" customHeight="1" x14ac:dyDescent="0.25">
      <c r="A21" s="57" t="s">
        <v>250</v>
      </c>
      <c r="B21" s="56">
        <v>86.67</v>
      </c>
      <c r="C21" s="56">
        <v>3.33</v>
      </c>
      <c r="D21" s="56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9">
        <v>90</v>
      </c>
      <c r="M21" s="12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12"/>
      <c r="Z21" s="12"/>
    </row>
    <row r="22" spans="1:26" ht="12.75" customHeight="1" x14ac:dyDescent="0.25">
      <c r="A22" s="57" t="s">
        <v>251</v>
      </c>
      <c r="B22" s="56">
        <v>103.33</v>
      </c>
      <c r="C22" s="56">
        <v>0</v>
      </c>
      <c r="D22" s="59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6">
        <v>103.33</v>
      </c>
      <c r="M22" s="12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12"/>
      <c r="Z22" s="12"/>
    </row>
    <row r="23" spans="1:26" ht="12.75" customHeight="1" x14ac:dyDescent="0.25">
      <c r="A23" s="57" t="s">
        <v>252</v>
      </c>
      <c r="B23" s="56">
        <v>160</v>
      </c>
      <c r="C23" s="56">
        <v>6.67</v>
      </c>
      <c r="D23" s="56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6">
        <v>166.67</v>
      </c>
      <c r="M23" s="12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12"/>
      <c r="Z23" s="12"/>
    </row>
    <row r="24" spans="1:26" ht="12.75" customHeight="1" x14ac:dyDescent="0.25">
      <c r="A24" s="60" t="s">
        <v>253</v>
      </c>
      <c r="B24" s="56">
        <v>160</v>
      </c>
      <c r="C24" s="56">
        <v>3.33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6">
        <v>163.33000000000001</v>
      </c>
      <c r="M24" s="12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12"/>
      <c r="Z24" s="12"/>
    </row>
    <row r="25" spans="1:26" ht="12.75" customHeight="1" x14ac:dyDescent="0.25">
      <c r="A25" s="68" t="s">
        <v>240</v>
      </c>
      <c r="B25" s="55">
        <v>458</v>
      </c>
      <c r="C25" s="55">
        <v>21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1899</v>
      </c>
      <c r="M25" s="12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12"/>
      <c r="Z25" s="12"/>
    </row>
    <row r="26" spans="1:26" ht="12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12"/>
      <c r="Z26" s="12"/>
    </row>
    <row r="27" spans="1:26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5"/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C3:E3"/>
    <mergeCell ref="Q5:AA6"/>
    <mergeCell ref="A8:L9"/>
    <mergeCell ref="A10:A11"/>
    <mergeCell ref="B10:L10"/>
  </mergeCells>
  <pageMargins left="0.75" right="0.75" top="1" bottom="1" header="0" footer="0"/>
  <pageSetup paperSize="9"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640625" defaultRowHeight="15" customHeight="1" x14ac:dyDescent="0.25"/>
  <cols>
    <col min="1" max="1" width="6.6640625" customWidth="1"/>
    <col min="2" max="2" width="8.88671875" customWidth="1"/>
    <col min="3" max="3" width="9.33203125" customWidth="1"/>
    <col min="4" max="4" width="9" customWidth="1"/>
    <col min="5" max="5" width="10" customWidth="1"/>
    <col min="6" max="6" width="9.6640625" customWidth="1"/>
    <col min="7" max="7" width="10" customWidth="1"/>
    <col min="8" max="8" width="10.88671875" customWidth="1"/>
    <col min="9" max="9" width="14.44140625" customWidth="1"/>
    <col min="10" max="26" width="9.109375" customWidth="1"/>
  </cols>
  <sheetData>
    <row r="1" spans="1:26" ht="15.6" x14ac:dyDescent="0.3">
      <c r="A1" s="38" t="s">
        <v>129</v>
      </c>
      <c r="B1" s="12"/>
      <c r="C1" s="9"/>
      <c r="D1" s="12"/>
      <c r="E1" s="12"/>
      <c r="F1" s="12"/>
      <c r="G1" s="12"/>
      <c r="H1" s="12"/>
      <c r="I1" s="12"/>
      <c r="J1" s="9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25">
      <c r="A2" s="39" t="s">
        <v>254</v>
      </c>
      <c r="B2" s="12"/>
      <c r="C2" s="12"/>
      <c r="D2" s="12"/>
      <c r="E2" s="12"/>
      <c r="F2" s="40" t="s">
        <v>220</v>
      </c>
      <c r="G2" s="12"/>
      <c r="H2" s="61" t="s">
        <v>132</v>
      </c>
      <c r="I2" s="39"/>
      <c r="J2" s="39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5">
      <c r="A3" s="12" t="s">
        <v>255</v>
      </c>
      <c r="B3" s="12"/>
      <c r="C3" s="12"/>
      <c r="D3" s="12"/>
      <c r="E3" s="12"/>
      <c r="F3" s="12" t="s">
        <v>256</v>
      </c>
      <c r="G3" s="12"/>
      <c r="H3" s="61"/>
      <c r="I3" s="39"/>
      <c r="J3" s="39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5">
      <c r="A4" s="39" t="s">
        <v>223</v>
      </c>
      <c r="B4" s="12"/>
      <c r="C4" s="12"/>
      <c r="D4" s="12"/>
      <c r="E4" s="39"/>
      <c r="F4" s="12" t="s">
        <v>224</v>
      </c>
      <c r="G4" s="12"/>
      <c r="H4" s="61" t="s">
        <v>132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5">
      <c r="A5" s="39" t="s">
        <v>257</v>
      </c>
      <c r="B5" s="12"/>
      <c r="C5" s="12"/>
      <c r="D5" s="12"/>
      <c r="E5" s="12"/>
      <c r="F5" s="12" t="s">
        <v>226</v>
      </c>
      <c r="G5" s="12"/>
      <c r="H5" s="61" t="s">
        <v>132</v>
      </c>
      <c r="I5" s="39"/>
      <c r="J5" s="39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 x14ac:dyDescent="0.25">
      <c r="A6" s="9"/>
      <c r="B6" s="9"/>
      <c r="C6" s="9"/>
      <c r="D6" s="9"/>
      <c r="E6" s="12"/>
      <c r="F6" s="12" t="s">
        <v>258</v>
      </c>
      <c r="G6" s="12"/>
      <c r="H6" s="61"/>
      <c r="I6" s="39"/>
      <c r="J6" s="39"/>
      <c r="K6" s="12"/>
      <c r="L6" s="12"/>
      <c r="M6" s="110"/>
      <c r="N6" s="86"/>
      <c r="O6" s="86"/>
      <c r="P6" s="86"/>
      <c r="Q6" s="86"/>
      <c r="R6" s="86"/>
      <c r="S6" s="86"/>
      <c r="T6" s="86"/>
      <c r="U6" s="49"/>
      <c r="V6" s="49"/>
      <c r="W6" s="49"/>
      <c r="X6" s="12"/>
      <c r="Y6" s="12"/>
      <c r="Z6" s="12"/>
    </row>
    <row r="7" spans="1:26" ht="12.75" customHeight="1" x14ac:dyDescent="0.25">
      <c r="A7" s="9"/>
      <c r="B7" s="9"/>
      <c r="C7" s="9"/>
      <c r="D7" s="9"/>
      <c r="E7" s="12"/>
      <c r="F7" s="12"/>
      <c r="G7" s="12"/>
      <c r="H7" s="61"/>
      <c r="I7" s="39"/>
      <c r="J7" s="39"/>
      <c r="K7" s="12"/>
      <c r="L7" s="12"/>
      <c r="M7" s="86"/>
      <c r="N7" s="86"/>
      <c r="O7" s="86"/>
      <c r="P7" s="86"/>
      <c r="Q7" s="86"/>
      <c r="R7" s="86"/>
      <c r="S7" s="86"/>
      <c r="T7" s="86"/>
      <c r="U7" s="49"/>
      <c r="V7" s="49"/>
      <c r="W7" s="49"/>
      <c r="X7" s="12"/>
      <c r="Y7" s="12"/>
      <c r="Z7" s="12"/>
    </row>
    <row r="8" spans="1:26" ht="12.75" customHeight="1" x14ac:dyDescent="0.25">
      <c r="A8" s="104" t="s">
        <v>259</v>
      </c>
      <c r="B8" s="78"/>
      <c r="C8" s="78"/>
      <c r="D8" s="78"/>
      <c r="E8" s="78"/>
      <c r="F8" s="78"/>
      <c r="G8" s="78"/>
      <c r="H8" s="78"/>
      <c r="I8" s="84"/>
      <c r="J8" s="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5">
      <c r="A9" s="111" t="s">
        <v>0</v>
      </c>
      <c r="B9" s="112" t="s">
        <v>260</v>
      </c>
      <c r="C9" s="113"/>
      <c r="D9" s="113"/>
      <c r="E9" s="113"/>
      <c r="F9" s="113"/>
      <c r="G9" s="113"/>
      <c r="H9" s="113"/>
      <c r="I9" s="114"/>
      <c r="J9" s="9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5">
      <c r="A10" s="108"/>
      <c r="B10" s="50" t="s">
        <v>261</v>
      </c>
      <c r="C10" s="69" t="s">
        <v>262</v>
      </c>
      <c r="D10" s="62" t="s">
        <v>263</v>
      </c>
      <c r="E10" s="50" t="s">
        <v>264</v>
      </c>
      <c r="F10" s="50" t="s">
        <v>265</v>
      </c>
      <c r="G10" s="50" t="s">
        <v>266</v>
      </c>
      <c r="H10" s="50" t="s">
        <v>267</v>
      </c>
      <c r="I10" s="70" t="s">
        <v>268</v>
      </c>
      <c r="J10" s="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5">
      <c r="A11" s="53">
        <v>0</v>
      </c>
      <c r="B11" s="55">
        <v>0</v>
      </c>
      <c r="C11" s="55">
        <v>0</v>
      </c>
      <c r="D11" s="55">
        <v>0</v>
      </c>
      <c r="E11" s="55">
        <v>0</v>
      </c>
      <c r="F11" s="56">
        <v>20</v>
      </c>
      <c r="G11" s="56">
        <v>93.33</v>
      </c>
      <c r="H11" s="56">
        <v>3.33</v>
      </c>
      <c r="I11" s="55">
        <v>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6" ht="12.75" customHeight="1" x14ac:dyDescent="0.25">
      <c r="A12" s="57">
        <v>1</v>
      </c>
      <c r="B12" s="55">
        <v>0</v>
      </c>
      <c r="C12" s="55">
        <v>0</v>
      </c>
      <c r="D12" s="55">
        <v>0</v>
      </c>
      <c r="E12" s="55">
        <v>0</v>
      </c>
      <c r="F12" s="56">
        <v>6.67</v>
      </c>
      <c r="G12" s="56">
        <v>90</v>
      </c>
      <c r="H12" s="56">
        <v>23.33</v>
      </c>
      <c r="I12" s="55">
        <v>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6" ht="12.75" customHeight="1" x14ac:dyDescent="0.25">
      <c r="A13" s="57">
        <v>2</v>
      </c>
      <c r="B13" s="55">
        <v>0</v>
      </c>
      <c r="C13" s="55">
        <v>0</v>
      </c>
      <c r="D13" s="55">
        <v>0</v>
      </c>
      <c r="E13" s="55">
        <v>0</v>
      </c>
      <c r="F13" s="56">
        <v>3.33</v>
      </c>
      <c r="G13" s="56">
        <v>56.67</v>
      </c>
      <c r="H13" s="56">
        <v>50</v>
      </c>
      <c r="I13" s="55">
        <v>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6" ht="12.75" customHeight="1" x14ac:dyDescent="0.25">
      <c r="A14" s="57">
        <v>3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6">
        <v>46.67</v>
      </c>
      <c r="H14" s="56">
        <v>60</v>
      </c>
      <c r="I14" s="55">
        <v>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6" ht="12.75" customHeight="1" x14ac:dyDescent="0.25">
      <c r="A15" s="57">
        <v>4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6">
        <v>36.67</v>
      </c>
      <c r="H15" s="56">
        <v>70</v>
      </c>
      <c r="I15" s="56">
        <v>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6" ht="12.75" customHeight="1" x14ac:dyDescent="0.25">
      <c r="A16" s="57">
        <v>5</v>
      </c>
      <c r="B16" s="55">
        <v>0</v>
      </c>
      <c r="C16" s="55">
        <v>0</v>
      </c>
      <c r="D16" s="55">
        <v>0</v>
      </c>
      <c r="E16" s="55">
        <v>0</v>
      </c>
      <c r="F16" s="56">
        <v>3.33</v>
      </c>
      <c r="G16" s="56">
        <v>33.33</v>
      </c>
      <c r="H16" s="56">
        <v>70</v>
      </c>
      <c r="I16" s="56">
        <v>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2.75" customHeight="1" x14ac:dyDescent="0.25">
      <c r="A17" s="57">
        <v>6</v>
      </c>
      <c r="B17" s="55">
        <v>0</v>
      </c>
      <c r="C17" s="55">
        <v>0</v>
      </c>
      <c r="D17" s="55">
        <v>0</v>
      </c>
      <c r="E17" s="55">
        <v>0</v>
      </c>
      <c r="F17" s="56">
        <v>3.33</v>
      </c>
      <c r="G17" s="56">
        <v>40</v>
      </c>
      <c r="H17" s="56">
        <v>70</v>
      </c>
      <c r="I17" s="56">
        <v>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2.75" customHeight="1" x14ac:dyDescent="0.25">
      <c r="A18" s="57">
        <v>7</v>
      </c>
      <c r="B18" s="55">
        <v>0</v>
      </c>
      <c r="C18" s="55">
        <v>0</v>
      </c>
      <c r="D18" s="55">
        <v>0</v>
      </c>
      <c r="E18" s="55">
        <v>0</v>
      </c>
      <c r="F18" s="56">
        <v>6.67</v>
      </c>
      <c r="G18" s="56">
        <v>50</v>
      </c>
      <c r="H18" s="56">
        <v>60</v>
      </c>
      <c r="I18" s="56">
        <v>0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2.75" customHeight="1" x14ac:dyDescent="0.25">
      <c r="A19" s="57">
        <v>8</v>
      </c>
      <c r="B19" s="55">
        <v>0</v>
      </c>
      <c r="C19" s="55">
        <v>0</v>
      </c>
      <c r="D19" s="55">
        <v>0</v>
      </c>
      <c r="E19" s="55">
        <v>0</v>
      </c>
      <c r="F19" s="56">
        <v>6.67</v>
      </c>
      <c r="G19" s="56">
        <v>70</v>
      </c>
      <c r="H19" s="56">
        <v>43.33</v>
      </c>
      <c r="I19" s="55">
        <v>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2.75" customHeight="1" x14ac:dyDescent="0.25">
      <c r="A20" s="57">
        <v>9</v>
      </c>
      <c r="B20" s="55">
        <v>0</v>
      </c>
      <c r="C20" s="55">
        <v>0</v>
      </c>
      <c r="D20" s="55">
        <v>0</v>
      </c>
      <c r="E20" s="55">
        <v>0</v>
      </c>
      <c r="F20" s="59">
        <v>10</v>
      </c>
      <c r="G20" s="56">
        <v>90</v>
      </c>
      <c r="H20" s="56">
        <v>16.670000000000002</v>
      </c>
      <c r="I20" s="55">
        <v>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2.75" customHeight="1" x14ac:dyDescent="0.25">
      <c r="A21" s="57">
        <v>10</v>
      </c>
      <c r="B21" s="55">
        <v>0</v>
      </c>
      <c r="C21" s="55">
        <v>0</v>
      </c>
      <c r="D21" s="55">
        <v>0</v>
      </c>
      <c r="E21" s="55">
        <v>0</v>
      </c>
      <c r="F21" s="56">
        <v>13.33</v>
      </c>
      <c r="G21" s="56">
        <v>96.67</v>
      </c>
      <c r="H21" s="59">
        <v>0</v>
      </c>
      <c r="I21" s="55">
        <v>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2.75" customHeight="1" x14ac:dyDescent="0.25">
      <c r="A22" s="57">
        <v>11</v>
      </c>
      <c r="B22" s="55">
        <v>0</v>
      </c>
      <c r="C22" s="55">
        <v>0</v>
      </c>
      <c r="D22" s="55">
        <v>0</v>
      </c>
      <c r="E22" s="55">
        <v>0</v>
      </c>
      <c r="F22" s="56">
        <v>13.33</v>
      </c>
      <c r="G22" s="56">
        <v>93.33</v>
      </c>
      <c r="H22" s="55">
        <v>0</v>
      </c>
      <c r="I22" s="55">
        <v>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2.75" customHeight="1" x14ac:dyDescent="0.25">
      <c r="A23" s="57">
        <v>12</v>
      </c>
      <c r="B23" s="55">
        <v>0</v>
      </c>
      <c r="C23" s="55">
        <v>0</v>
      </c>
      <c r="D23" s="55">
        <v>0</v>
      </c>
      <c r="E23" s="55">
        <v>0</v>
      </c>
      <c r="F23" s="56">
        <v>33.33</v>
      </c>
      <c r="G23" s="56">
        <v>76.67</v>
      </c>
      <c r="H23" s="55">
        <v>0</v>
      </c>
      <c r="I23" s="55">
        <v>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2.75" customHeight="1" x14ac:dyDescent="0.25">
      <c r="A24" s="57">
        <v>13</v>
      </c>
      <c r="B24" s="55">
        <v>0</v>
      </c>
      <c r="C24" s="55">
        <v>0</v>
      </c>
      <c r="D24" s="55">
        <v>0</v>
      </c>
      <c r="E24" s="55">
        <v>0</v>
      </c>
      <c r="F24" s="56">
        <v>36.67</v>
      </c>
      <c r="G24" s="56">
        <v>70</v>
      </c>
      <c r="H24" s="55">
        <v>0</v>
      </c>
      <c r="I24" s="55">
        <v>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2.75" customHeight="1" x14ac:dyDescent="0.25">
      <c r="A25" s="57">
        <v>14</v>
      </c>
      <c r="B25" s="55">
        <v>0</v>
      </c>
      <c r="C25" s="55">
        <v>0</v>
      </c>
      <c r="D25" s="55">
        <v>0</v>
      </c>
      <c r="E25" s="55">
        <v>0</v>
      </c>
      <c r="F25" s="56">
        <v>43.33</v>
      </c>
      <c r="G25" s="56">
        <v>66.67</v>
      </c>
      <c r="H25" s="55">
        <v>0</v>
      </c>
      <c r="I25" s="55">
        <v>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2.75" customHeight="1" x14ac:dyDescent="0.25">
      <c r="A26" s="57">
        <v>15</v>
      </c>
      <c r="B26" s="55">
        <v>0</v>
      </c>
      <c r="C26" s="55">
        <v>0</v>
      </c>
      <c r="D26" s="55">
        <v>0</v>
      </c>
      <c r="E26" s="55">
        <v>0</v>
      </c>
      <c r="F26" s="56">
        <v>46.67</v>
      </c>
      <c r="G26" s="56">
        <v>60</v>
      </c>
      <c r="H26" s="55">
        <v>3.33</v>
      </c>
      <c r="I26" s="55">
        <v>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2.75" customHeight="1" x14ac:dyDescent="0.25">
      <c r="A27" s="57">
        <v>16</v>
      </c>
      <c r="B27" s="55">
        <v>0</v>
      </c>
      <c r="C27" s="55">
        <v>0</v>
      </c>
      <c r="D27" s="55">
        <v>0</v>
      </c>
      <c r="E27" s="55">
        <v>0</v>
      </c>
      <c r="F27" s="56">
        <v>63.33</v>
      </c>
      <c r="G27" s="56">
        <v>53.33</v>
      </c>
      <c r="H27" s="55">
        <v>0</v>
      </c>
      <c r="I27" s="55">
        <v>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2.75" customHeight="1" x14ac:dyDescent="0.25">
      <c r="A28" s="57">
        <v>17</v>
      </c>
      <c r="B28" s="55">
        <v>0</v>
      </c>
      <c r="C28" s="55">
        <v>0</v>
      </c>
      <c r="D28" s="55">
        <v>0</v>
      </c>
      <c r="E28" s="55">
        <v>0</v>
      </c>
      <c r="F28" s="56">
        <v>76.67</v>
      </c>
      <c r="G28" s="56">
        <v>53.33</v>
      </c>
      <c r="H28" s="55">
        <v>0</v>
      </c>
      <c r="I28" s="55">
        <v>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2.75" customHeight="1" x14ac:dyDescent="0.25">
      <c r="A29" s="57">
        <v>18</v>
      </c>
      <c r="B29" s="55">
        <v>0</v>
      </c>
      <c r="C29" s="55">
        <v>0</v>
      </c>
      <c r="D29" s="55">
        <v>0</v>
      </c>
      <c r="E29" s="55">
        <v>0</v>
      </c>
      <c r="F29" s="56">
        <v>80</v>
      </c>
      <c r="G29" s="56">
        <v>43.33</v>
      </c>
      <c r="H29" s="55">
        <v>0</v>
      </c>
      <c r="I29" s="55"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2.75" customHeight="1" x14ac:dyDescent="0.25">
      <c r="A30" s="57">
        <v>19</v>
      </c>
      <c r="B30" s="55">
        <v>0</v>
      </c>
      <c r="C30" s="55">
        <v>0</v>
      </c>
      <c r="D30" s="55">
        <v>0</v>
      </c>
      <c r="E30" s="55">
        <v>0</v>
      </c>
      <c r="F30" s="59">
        <v>80</v>
      </c>
      <c r="G30" s="56">
        <v>46.67</v>
      </c>
      <c r="H30" s="55">
        <v>0</v>
      </c>
      <c r="I30" s="55">
        <v>0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2.75" customHeight="1" x14ac:dyDescent="0.25">
      <c r="A31" s="57">
        <v>20</v>
      </c>
      <c r="B31" s="55">
        <v>0</v>
      </c>
      <c r="C31" s="55">
        <v>0</v>
      </c>
      <c r="D31" s="55">
        <v>0</v>
      </c>
      <c r="E31" s="55">
        <v>0</v>
      </c>
      <c r="F31" s="55">
        <v>80</v>
      </c>
      <c r="G31" s="56">
        <v>43.33</v>
      </c>
      <c r="H31" s="55">
        <v>0</v>
      </c>
      <c r="I31" s="55">
        <v>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2.75" customHeight="1" x14ac:dyDescent="0.25">
      <c r="A32" s="57">
        <v>21</v>
      </c>
      <c r="B32" s="55">
        <v>0</v>
      </c>
      <c r="C32" s="55">
        <v>0</v>
      </c>
      <c r="D32" s="55">
        <v>0</v>
      </c>
      <c r="E32" s="55">
        <v>0</v>
      </c>
      <c r="F32" s="56">
        <v>86.67</v>
      </c>
      <c r="G32" s="56">
        <v>33.33</v>
      </c>
      <c r="H32" s="55">
        <v>0</v>
      </c>
      <c r="I32" s="55">
        <v>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6" ht="12.75" customHeight="1" x14ac:dyDescent="0.25">
      <c r="A33" s="57">
        <v>22</v>
      </c>
      <c r="B33" s="55">
        <v>0</v>
      </c>
      <c r="C33" s="55">
        <v>0</v>
      </c>
      <c r="D33" s="55">
        <v>0</v>
      </c>
      <c r="E33" s="55">
        <v>0</v>
      </c>
      <c r="F33" s="56">
        <v>70</v>
      </c>
      <c r="G33" s="56">
        <v>40</v>
      </c>
      <c r="H33" s="55">
        <v>0</v>
      </c>
      <c r="I33" s="55">
        <v>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6" ht="12.75" customHeight="1" x14ac:dyDescent="0.25">
      <c r="A34" s="71">
        <v>23</v>
      </c>
      <c r="B34" s="55">
        <v>0</v>
      </c>
      <c r="C34" s="55">
        <v>0</v>
      </c>
      <c r="D34" s="55">
        <v>0</v>
      </c>
      <c r="E34" s="55">
        <v>0</v>
      </c>
      <c r="F34" s="56">
        <v>26.67</v>
      </c>
      <c r="G34" s="59">
        <v>90</v>
      </c>
      <c r="H34" s="56">
        <v>3.33</v>
      </c>
      <c r="I34" s="55">
        <v>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6" ht="12.75" customHeight="1" x14ac:dyDescent="0.25">
      <c r="A35" s="72" t="s">
        <v>198</v>
      </c>
      <c r="B35" s="73"/>
      <c r="C35" s="73"/>
      <c r="D35" s="73"/>
      <c r="E35" s="73"/>
      <c r="F35" s="73"/>
      <c r="G35" s="73"/>
      <c r="H35" s="73"/>
      <c r="I35" s="7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6" ht="12.7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M6:T7"/>
    <mergeCell ref="A8:I8"/>
    <mergeCell ref="A9:A10"/>
    <mergeCell ref="B9:I9"/>
  </mergeCells>
  <pageMargins left="0.75" right="0.75" top="1" bottom="1" header="0" footer="0"/>
  <pageSetup paperSize="9" scale="9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defaultColWidth="12.6640625" defaultRowHeight="15" customHeight="1" x14ac:dyDescent="0.25"/>
  <cols>
    <col min="1" max="6" width="9" customWidth="1"/>
    <col min="7" max="26" width="14.441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defaultColWidth="12.6640625" defaultRowHeight="15" customHeight="1" x14ac:dyDescent="0.25"/>
  <cols>
    <col min="1" max="6" width="9" customWidth="1"/>
    <col min="7" max="26" width="14.441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00"/>
  <sheetViews>
    <sheetView workbookViewId="0"/>
  </sheetViews>
  <sheetFormatPr defaultColWidth="12.6640625" defaultRowHeight="15" customHeight="1" x14ac:dyDescent="0.25"/>
  <cols>
    <col min="1" max="6" width="9" customWidth="1"/>
    <col min="7" max="26" width="14.441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workbookViewId="0"/>
  </sheetViews>
  <sheetFormatPr defaultColWidth="12.6640625" defaultRowHeight="15" customHeight="1" x14ac:dyDescent="0.25"/>
  <cols>
    <col min="1" max="6" width="9" customWidth="1"/>
    <col min="7" max="26" width="14.441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ENTRY ANGIN</vt:lpstr>
      <vt:lpstr>COVER</vt:lpstr>
      <vt:lpstr>MODEL A</vt:lpstr>
      <vt:lpstr>MODEL B</vt:lpstr>
      <vt:lpstr>MODEL C</vt:lpstr>
      <vt:lpstr>MODEL D</vt:lpstr>
      <vt:lpstr>MODEL E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2026-02-07T14:21:28Z</dcterms:created>
  <dcterms:modified xsi:type="dcterms:W3CDTF">2026-06-12T23:30:54Z</dcterms:modified>
</cp:coreProperties>
</file>